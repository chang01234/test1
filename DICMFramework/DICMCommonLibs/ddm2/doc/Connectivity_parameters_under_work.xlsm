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fileSharing readOnlyRecommended="1"/>
  <workbookPr codeName="ThisWorkbook" defaultThemeVersion="166925"/>
  <mc:AlternateContent xmlns:mc="http://schemas.openxmlformats.org/markup-compatibility/2006">
    <mc:Choice Requires="x15">
      <x15ac:absPath xmlns:x15ac="http://schemas.microsoft.com/office/spreadsheetml/2010/11/ac" url="C:\repos\dicm_template_5.3.4\DICMFramework\DICMCommonLibs\ddm2\doc\"/>
    </mc:Choice>
  </mc:AlternateContent>
  <xr:revisionPtr revIDLastSave="0" documentId="13_ncr:1_{3F7F69BC-C9B9-4DAF-9929-85A041973380}" xr6:coauthVersionLast="47" xr6:coauthVersionMax="47" xr10:uidLastSave="{00000000-0000-0000-0000-000000000000}"/>
  <bookViews>
    <workbookView xWindow="-120" yWindow="-120" windowWidth="29040" windowHeight="15840" xr2:uid="{DC26A1BD-1273-4407-97BE-44F6E339FF04}"/>
  </bookViews>
  <sheets>
    <sheet name="Parameters" sheetId="1" r:id="rId1"/>
    <sheet name="Types" sheetId="5" r:id="rId2"/>
    <sheet name="Enums" sheetId="6" r:id="rId3"/>
    <sheet name="Errorcodes" sheetId="16" r:id="rId4"/>
    <sheet name="Appliance" sheetId="7" state="hidden" r:id="rId5"/>
    <sheet name="MiniDDM Parameters" sheetId="9" r:id="rId6"/>
    <sheet name="BLE Sensor Nodes" sheetId="14" r:id="rId7"/>
    <sheet name="BLE Sensors" sheetId="15" r:id="rId8"/>
    <sheet name="Bytes" sheetId="8" state="hidden" r:id="rId9"/>
    <sheet name="Help" sheetId="12" r:id="rId10"/>
    <sheet name="Export snippets" sheetId="11" r:id="rId11"/>
  </sheets>
  <functionGroups builtInGroupCount="19"/>
  <definedNames>
    <definedName name="_xlnm._FilterDatabase" localSheetId="0" hidden="1">Parameters!$A$1:$R$2432</definedName>
    <definedName name="ac_ac_0_fanspeed">Enums!$B$1</definedName>
    <definedName name="ac_ac_0_mode">Enums!$B$2</definedName>
    <definedName name="ac_ac_0_model">Enums!$B$3</definedName>
    <definedName name="ac0actext_in">Enums!$A$108</definedName>
    <definedName name="ac0actext_out">Enums!$A$109</definedName>
    <definedName name="ac0currlim">Enums!$A$209</definedName>
    <definedName name="ac0feature">Enums!$A$207</definedName>
    <definedName name="ac0filter">Enums!$A$204</definedName>
    <definedName name="ac0filter_in">Enums!$A$203</definedName>
    <definedName name="ac0filter_out">Enums!$A$204</definedName>
    <definedName name="ac0flaps">Enums!$A$190</definedName>
    <definedName name="ac0fmd">Enums!$A$86</definedName>
    <definedName name="ac0hmode">Enums!$A$199</definedName>
    <definedName name="ac0operst">Enums!$A$187</definedName>
    <definedName name="ac0test">Enums!$A$113</definedName>
    <definedName name="ac0tmd">Enums!$A$85</definedName>
    <definedName name="accm0event">Enums!$A$49</definedName>
    <definedName name="arrayi32_t">Types!$O$17</definedName>
    <definedName name="bms0flow">Enums!$A$61</definedName>
    <definedName name="boolarr_t">Types!$O$12</definedName>
    <definedName name="bt0addwl_t">Types!$O$13</definedName>
    <definedName name="bt0pair">Enums!$A$48</definedName>
    <definedName name="bt0pair_in">Enums!$A$48</definedName>
    <definedName name="bt0pair_out">Enums!$A$46</definedName>
    <definedName name="bt0scan_t">Types!$O$2</definedName>
    <definedName name="btaddwl_t">Types!$O$13</definedName>
    <definedName name="btwl0addr_t">Types!$O$5</definedName>
    <definedName name="btwl0addr_type">Enums!$A$49</definedName>
    <definedName name="btwl0addrtp">Enums!$A$49</definedName>
    <definedName name="btwl0class">Enums!$A$89</definedName>
    <definedName name="btwl0cnct">Enums!$A$49</definedName>
    <definedName name="btwl0nodec">Enums!$A$88</definedName>
    <definedName name="btwl0nodei">Enums!$A$228</definedName>
    <definedName name="cbs0days">Enums!$A$206</definedName>
    <definedName name="cbs0smode">Enums!$A$205</definedName>
    <definedName name="cc0acpt">Enums!$A$147</definedName>
    <definedName name="cc0batprotlvl">Enums!$A$148</definedName>
    <definedName name="cc0pcy">Enums!$A$116</definedName>
    <definedName name="cc0phpos">Enums!$A$146</definedName>
    <definedName name="cc0powsrc">Enums!$A$149</definedName>
    <definedName name="cc0ppst">Enums!$A$146</definedName>
    <definedName name="cc0ptype">Enums!$A$72</definedName>
    <definedName name="cc0sts">Enums!$A$118</definedName>
    <definedName name="cc0tempunit">Enums!$A$150</definedName>
    <definedName name="cfg0ostat">Enums!$A$101</definedName>
    <definedName name="cz0filind">Enums!$A$73</definedName>
    <definedName name="cz0ftdiff">Enums!$A$62</definedName>
    <definedName name="cz0hmd">Enums!$A$56</definedName>
    <definedName name="cz0hprio">Enums!$A$63</definedName>
    <definedName name="cz0smode">Enums!$A$66</definedName>
    <definedName name="demo0mode">Enums!$A$87</definedName>
    <definedName name="dim0type">Enums!$A$189</definedName>
    <definedName name="door0status">Enums!$A$53</definedName>
    <definedName name="enum">Enums!$A$49</definedName>
    <definedName name="error_t">Types!$O$5</definedName>
    <definedName name="evm0cmd">Enums!$A$180</definedName>
    <definedName name="evm0nack_t">Types!$O$15</definedName>
    <definedName name="evm0trig_t">Types!$O$25</definedName>
    <definedName name="fridge_fridge_0_mode">Enums!$A$8</definedName>
    <definedName name="group0active">Enums!$A$198</definedName>
    <definedName name="group0enable">Enums!$A$197</definedName>
    <definedName name="group0type">Enums!$A$196</definedName>
    <definedName name="groupclasses_t">Types!$O$19</definedName>
    <definedName name="gw0btpair">Enums!$A$15</definedName>
    <definedName name="gw0btpair_in">Enums!$A$46</definedName>
    <definedName name="gw0btpair_out">Enums!$A$15</definedName>
    <definedName name="gw0cupd">Enums!$A$111</definedName>
    <definedName name="gw0inv_t">Types!$O$3</definedName>
    <definedName name="gw0ptype">Enums!$A$110</definedName>
    <definedName name="gw0rrsn">Enums!$A$14</definedName>
    <definedName name="hd0batprot">Enums!$A$112</definedName>
    <definedName name="hd0ptype">Enums!$A$38</definedName>
    <definedName name="hd0tempcm">Enums!$A$82</definedName>
    <definedName name="heater_htr_0_energySel">Enums!$A$6</definedName>
    <definedName name="heater_htr_0_model">Enums!$A$7</definedName>
    <definedName name="heater_htr_0_wtrTemp">Enums!$A$5</definedName>
    <definedName name="hmi0event_t">Types!$O$9</definedName>
    <definedName name="hmi0sound">Enums!$A$88</definedName>
    <definedName name="hmi0tempunit">Enums!$A$68</definedName>
    <definedName name="hmi0timeformat">Enums!$A$179</definedName>
    <definedName name="htr0el">Enums!$A$13</definedName>
    <definedName name="iv0aqst">Enums!$A$125</definedName>
    <definedName name="iv0blreq">Enums!$A$127</definedName>
    <definedName name="iv0errst">Enums!$A$208</definedName>
    <definedName name="iv0fav">Enums!$A$22</definedName>
    <definedName name="iv0filstat">Enums!$A$70</definedName>
    <definedName name="iv0ionst">Enums!$A$128</definedName>
    <definedName name="iv0mode">Enums!$A$69</definedName>
    <definedName name="iv0prst">Enums!$A$126</definedName>
    <definedName name="iv0pwron">Enums!$A$122</definedName>
    <definedName name="iv0pwrsrc">Enums!$A$124</definedName>
    <definedName name="iv0stgt">Enums!$A$145</definedName>
    <definedName name="iv0vehmd">Enums!$A$71</definedName>
    <definedName name="iv0warn">Enums!$A$123</definedName>
    <definedName name="ivpmgr0state">Enums!$A$129</definedName>
    <definedName name="key0door">Enums!$A$67</definedName>
    <definedName name="linkedclass_t">Types!$O$10</definedName>
    <definedName name="lsrcfg0bindata_t">Types!$O$14</definedName>
    <definedName name="macin0freqst">Enums!$A$184</definedName>
    <definedName name="macin0qualst">Enums!$A$182</definedName>
    <definedName name="macin0voltst">Enums!$A$183</definedName>
    <definedName name="macout0phase">Enums!$A$186</definedName>
    <definedName name="mbat0hmode">Enums!$A$227</definedName>
    <definedName name="mbat0htr">Enums!$A$202</definedName>
    <definedName name="mchrg0algo">Enums!$A$201</definedName>
    <definedName name="mchrg0force">Enums!$A$223</definedName>
    <definedName name="mchrg0fstatus">Enums!$A$224</definedName>
    <definedName name="mchrg0mode">Enums!$A$199</definedName>
    <definedName name="mchrg0oper">Enums!$A$200</definedName>
    <definedName name="mchrg0type">Enums!$A$181</definedName>
    <definedName name="minvert0stack">Enums!$A$185</definedName>
    <definedName name="mpcsvc0region">Enums!$A$90</definedName>
    <definedName name="mpcsvc0size">Enums!$A$106</definedName>
    <definedName name="mpcsvc0unit">Enums!$A$107</definedName>
    <definedName name="mqtt0stat">Enums!$A$75</definedName>
    <definedName name="mshunt0type">Enums!$A$221</definedName>
    <definedName name="mtr0dir">Enums!$A$74</definedName>
    <definedName name="ngn0trans">Enums!$A$57</definedName>
    <definedName name="nrx0errst">Enums!$A$121</definedName>
    <definedName name="nrx0level">Enums!$A$120</definedName>
    <definedName name="nrx0mode">Enums!$A$119</definedName>
    <definedName name="pir0event">Enums!$A$54</definedName>
    <definedName name="pmic0bhlt">Enums!$A$78</definedName>
    <definedName name="pmic0bstat">Enums!$A$76</definedName>
    <definedName name="pmic0chrgt">Enums!$A$77</definedName>
    <definedName name="prod0prop_t">Types!$O$16</definedName>
    <definedName name="prod0reset">Enums!$A$222</definedName>
    <definedName name="rfan0dmclsfoff">Enums!$A$134</definedName>
    <definedName name="rfan0dmmode">Enums!$A$130</definedName>
    <definedName name="rfan0feature">Enums!$A$210</definedName>
    <definedName name="rfan0fm">Enums!$A$139</definedName>
    <definedName name="rfan0foffdmcls">Enums!$A$135</definedName>
    <definedName name="rfan0fspdincdec">Enums!$A$136</definedName>
    <definedName name="rfan0rainsns">Enums!$A$141</definedName>
    <definedName name="rfan0rainsnssts">Enums!$A$131</definedName>
    <definedName name="rfan0setpctldm">Enums!$A$133</definedName>
    <definedName name="rfan0sleepfmode">Enums!$A$132</definedName>
    <definedName name="rfan0spdmd">Enums!$A$140</definedName>
    <definedName name="rfan0syst">Enums!$A$138</definedName>
    <definedName name="rfan0winddrsw">Enums!$A$137</definedName>
    <definedName name="rvc2ac0compstat">Enums!$A$157</definedName>
    <definedName name="rvc2dcsrc0timeremtype">Enums!$A$167</definedName>
    <definedName name="rvc2dcsrcconn0func">Enums!$A$170</definedName>
    <definedName name="rvc2dim0cmd">Enums!$A$158</definedName>
    <definedName name="rvc2rfan0rainsns">Enums!$A$159</definedName>
    <definedName name="rvc2th0noise">Enums!$A$155</definedName>
    <definedName name="rvc2thsched0sun">Enums!$A$156</definedName>
    <definedName name="rvc4dcsrc0chgst">Enums!$A$168</definedName>
    <definedName name="rvc4dcsrc0type">Enums!$A$169</definedName>
    <definedName name="rvcacfour0qual">Enums!$A$217</definedName>
    <definedName name="rvcacfour0voltfault">Enums!$A$216</definedName>
    <definedName name="rvcacthree0phase">Enums!$A$215</definedName>
    <definedName name="rvcbattcell0tempsts">Enums!$A$174</definedName>
    <definedName name="rvcbattcell0voltsts">Enums!$A$173</definedName>
    <definedName name="rvcbattsum0tempsts">Enums!$A$172</definedName>
    <definedName name="rvcbattsum0voltsts">Enums!$A$171</definedName>
    <definedName name="rvcchrg0force">Enums!$A$212</definedName>
    <definedName name="rvcchrg0operst">Enums!$A$214</definedName>
    <definedName name="rvcchrgthree0derreas">Enums!$A$213</definedName>
    <definedName name="rvcdm0opst">Enums!$A$211</definedName>
    <definedName name="rvcfurnace0hsrc">Enums!$A$151</definedName>
    <definedName name="rvchtr0esrc">Enums!$A$160</definedName>
    <definedName name="rvchtrfault0one">Enums!$A$166</definedName>
    <definedName name="rvchtrst0acairst">Enums!$A$164</definedName>
    <definedName name="rvchtrst0acwtrst">Enums!$A$165</definedName>
    <definedName name="rvchtrst0gairst">Enums!$A$162</definedName>
    <definedName name="rvchtrst0gwtrst">Enums!$A$163</definedName>
    <definedName name="rvchtrst0wtemp">Enums!$A$161</definedName>
    <definedName name="rvcinvertac0inst">Enums!$A$218</definedName>
    <definedName name="rvcinvertcfgthree0stackmode">Enums!$A$219</definedName>
    <definedName name="rvcmgnt0ack_t">Types!$O$21</definedName>
    <definedName name="rvcmgnt0download_t">Types!$O$22</definedName>
    <definedName name="rvcmgnt0rawrx_t">Types!$O$4</definedName>
    <definedName name="rvcmgnt0rawtx_t">Types!$O$20</definedName>
    <definedName name="rvcmgnt0req_t">Types!$O$24</definedName>
    <definedName name="rvcmgnt0resetconf">Enums!$A$220</definedName>
    <definedName name="rvcprop0data_t">Types!$O$23</definedName>
    <definedName name="rvcrefrig0cav">Enums!$A$191</definedName>
    <definedName name="rvcrefrig0door">Enums!$A$193</definedName>
    <definedName name="rvcrefrig0fuel">Enums!$A$194</definedName>
    <definedName name="rvcrefrig0lgt">Enums!$A$192</definedName>
    <definedName name="rvcrefrig0mode">Enums!$A$195</definedName>
    <definedName name="rvcsolar0force">Enums!$A$176</definedName>
    <definedName name="rvcsolar0oper">Enums!$A$175</definedName>
    <definedName name="rvcsolarcfg0algo">Enums!$A$177</definedName>
    <definedName name="rvcsolarcfg0mode">Enums!$A$178</definedName>
    <definedName name="rvcth0fmode">Enums!$A$153</definedName>
    <definedName name="rvcth0mode">Enums!$A$152</definedName>
    <definedName name="rvcth0smode">Enums!$A$154</definedName>
    <definedName name="saccm0bw">Enums!$A$93</definedName>
    <definedName name="saccm0datarate">Enums!$A$91</definedName>
    <definedName name="saccm0dbm">Enums!$A$105</definedName>
    <definedName name="saccm0event">Enums!$A$89</definedName>
    <definedName name="saccm0eventsel">Enums!$A$90</definedName>
    <definedName name="saccm0fallthresh">Enums!$A$99</definedName>
    <definedName name="saccm0filtpath">Enums!$A$95</definedName>
    <definedName name="saccm0fullscale">Enums!$A$94</definedName>
    <definedName name="saccm0powerm">Enums!$A$92</definedName>
    <definedName name="saccm0sendaccx">Enums!$A$90</definedName>
    <definedName name="saccm0tapdir">Enums!$A$97</definedName>
    <definedName name="saccm0tapmode">Enums!$A$103</definedName>
    <definedName name="saccm0tapp">Enums!$A$98</definedName>
    <definedName name="saccm0taprecogx">Enums!$A$104</definedName>
    <definedName name="saccm0tiltt">Enums!$A$96</definedName>
    <definedName name="sat_kat_0_cmd">Enums!$A$11</definedName>
    <definedName name="sat_kat_0_model">Enums!$A$9</definedName>
    <definedName name="sat_kat_0_orbitPos">Enums!$A$12</definedName>
    <definedName name="sat_kat_0_status">Enums!$A$10</definedName>
    <definedName name="sbmeb0samprate">Enums!$A$102</definedName>
    <definedName name="sdev0mdl">Enums!$A$50</definedName>
    <definedName name="shallan0evt">Enums!$A$142</definedName>
    <definedName name="snode0mfgr">Enums!$A$15</definedName>
    <definedName name="spir0evt">Enums!$A$115</definedName>
    <definedName name="sup0stype">Enums!$A$144</definedName>
    <definedName name="sup0type">Enums!$A$143</definedName>
    <definedName name="sv0mc">Enums!$A$100</definedName>
    <definedName name="sv0psts">Enums!$A$79</definedName>
    <definedName name="svc0gpior">Enums!$A$105</definedName>
    <definedName name="svc0gpiow">Enums!$A$143</definedName>
    <definedName name="svc0tsrc">Enums!$A$117</definedName>
    <definedName name="sw0icon">Enums!$A$58</definedName>
    <definedName name="sw0mind">Enums!$A$60</definedName>
    <definedName name="sw0mstate">Enums!$A$59</definedName>
    <definedName name="sw0type">Enums!$A$55</definedName>
    <definedName name="sys_sys_0_logoType">Enums!$A$4</definedName>
    <definedName name="sysappl0smarteco">Enums!$A$188</definedName>
    <definedName name="temparr_t">Types!$O$7</definedName>
    <definedName name="temprangearr_t">Types!$O$11</definedName>
    <definedName name="test_t">Types!$O$11</definedName>
    <definedName name="th0fav">Enums!$A$22</definedName>
    <definedName name="updlinkedclass_t">Types!$O$18</definedName>
    <definedName name="usm0mode">Enums!$A$225</definedName>
    <definedName name="usm0stat">Enums!$A$114</definedName>
    <definedName name="usm0state">Enums!$A$226</definedName>
    <definedName name="wifi0ev">Enums!$A$83</definedName>
    <definedName name="wifi0md">Enums!$A$84</definedName>
    <definedName name="wifi0scan_t">Types!$O$6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5" i="16" l="1"/>
  <c r="D76" i="16"/>
  <c r="D77" i="16"/>
  <c r="D78" i="16"/>
  <c r="D79" i="16" s="1"/>
  <c r="D80" i="16" s="1"/>
  <c r="D81" i="16" s="1"/>
  <c r="D82" i="16" s="1"/>
  <c r="D83" i="16" s="1"/>
  <c r="D84" i="16" s="1"/>
  <c r="D85" i="16" s="1"/>
  <c r="D86" i="16" s="1"/>
  <c r="D87" i="16" s="1"/>
  <c r="D88" i="16" s="1"/>
  <c r="D89" i="16" s="1"/>
  <c r="D90" i="16" s="1"/>
  <c r="C90" i="16"/>
  <c r="C74" i="16"/>
  <c r="C84" i="16"/>
  <c r="C83" i="16"/>
  <c r="C89" i="16"/>
  <c r="C86" i="16"/>
  <c r="C87" i="16"/>
  <c r="C88" i="16"/>
  <c r="C82" i="16"/>
  <c r="C81" i="16"/>
  <c r="C77" i="16"/>
  <c r="C78" i="16"/>
  <c r="C79" i="16"/>
  <c r="C80" i="16"/>
  <c r="C85" i="16"/>
  <c r="D63" i="16"/>
  <c r="E63" i="16" s="1"/>
  <c r="C76" i="16"/>
  <c r="C69" i="16"/>
  <c r="C70" i="16"/>
  <c r="C71" i="16"/>
  <c r="C72" i="16"/>
  <c r="C73" i="16"/>
  <c r="C75" i="16"/>
  <c r="E62" i="16"/>
  <c r="C62" i="16"/>
  <c r="C63" i="16"/>
  <c r="C64" i="16"/>
  <c r="C65" i="16"/>
  <c r="C66" i="16"/>
  <c r="C67" i="16"/>
  <c r="C68" i="16"/>
  <c r="E38" i="16"/>
  <c r="C38" i="16"/>
  <c r="C39" i="16"/>
  <c r="C40" i="16"/>
  <c r="E37" i="16"/>
  <c r="E20" i="16"/>
  <c r="C20" i="16"/>
  <c r="E18" i="16"/>
  <c r="E19" i="16"/>
  <c r="C18" i="16"/>
  <c r="C50" i="16"/>
  <c r="C51" i="16"/>
  <c r="C52" i="16"/>
  <c r="C53" i="16"/>
  <c r="C54" i="16"/>
  <c r="E50" i="16"/>
  <c r="E51" i="16"/>
  <c r="E52" i="16"/>
  <c r="E53" i="16"/>
  <c r="E54" i="16"/>
  <c r="D21" i="14"/>
  <c r="D20" i="14"/>
  <c r="D19" i="14"/>
  <c r="D18" i="14"/>
  <c r="D17" i="14"/>
  <c r="D16" i="14"/>
  <c r="D15" i="14"/>
  <c r="D14" i="14"/>
  <c r="D13" i="14"/>
  <c r="D12" i="14"/>
  <c r="D11" i="14"/>
  <c r="D10" i="14"/>
  <c r="D9" i="14"/>
  <c r="D8" i="14"/>
  <c r="D7" i="14"/>
  <c r="D6" i="14"/>
  <c r="D5" i="14"/>
  <c r="D4" i="14"/>
  <c r="D3" i="14"/>
  <c r="D2" i="14"/>
  <c r="C37" i="7"/>
  <c r="G36" i="7"/>
  <c r="F36" i="7"/>
  <c r="E36" i="7"/>
  <c r="D36" i="7"/>
  <c r="C36" i="7"/>
  <c r="E35" i="7"/>
  <c r="D35" i="7"/>
  <c r="C35" i="7"/>
  <c r="C34" i="7"/>
  <c r="C33" i="7"/>
  <c r="C32" i="7"/>
  <c r="D31" i="7"/>
  <c r="C31" i="7"/>
  <c r="C27" i="7"/>
  <c r="H26" i="7"/>
  <c r="G26" i="7"/>
  <c r="F26" i="7"/>
  <c r="E26" i="7"/>
  <c r="D26" i="7"/>
  <c r="C26" i="7"/>
  <c r="E25" i="7"/>
  <c r="D25" i="7"/>
  <c r="C25" i="7"/>
  <c r="C24" i="7"/>
  <c r="C23" i="7"/>
  <c r="C22" i="7"/>
  <c r="G21" i="7"/>
  <c r="F21" i="7"/>
  <c r="E21" i="7"/>
  <c r="D21" i="7"/>
  <c r="C21" i="7"/>
  <c r="C16" i="7"/>
  <c r="H15" i="7"/>
  <c r="G15" i="7"/>
  <c r="F15" i="7"/>
  <c r="E15" i="7"/>
  <c r="D15" i="7"/>
  <c r="C15" i="7"/>
  <c r="H14" i="7"/>
  <c r="G14" i="7"/>
  <c r="F14" i="7"/>
  <c r="E14" i="7"/>
  <c r="D14" i="7"/>
  <c r="C14" i="7"/>
  <c r="C13" i="7"/>
  <c r="D12" i="7"/>
  <c r="C12" i="7"/>
  <c r="C9" i="7"/>
  <c r="E8" i="7"/>
  <c r="D8" i="7"/>
  <c r="C8" i="7"/>
  <c r="F7" i="7"/>
  <c r="E7" i="7"/>
  <c r="D7" i="7"/>
  <c r="C7" i="7"/>
  <c r="C6" i="7"/>
  <c r="E5" i="7"/>
  <c r="D5" i="7"/>
  <c r="C5" i="7"/>
  <c r="C61" i="16"/>
  <c r="E60" i="16"/>
  <c r="C60" i="16"/>
  <c r="E59" i="16"/>
  <c r="C59" i="16"/>
  <c r="E58" i="16"/>
  <c r="C58" i="16"/>
  <c r="E57" i="16"/>
  <c r="C57" i="16"/>
  <c r="E56" i="16"/>
  <c r="C56" i="16"/>
  <c r="C55" i="16"/>
  <c r="E49" i="16"/>
  <c r="C49" i="16"/>
  <c r="E48" i="16"/>
  <c r="C48" i="16"/>
  <c r="E47" i="16"/>
  <c r="C47" i="16"/>
  <c r="E46" i="16"/>
  <c r="C46" i="16"/>
  <c r="E45" i="16"/>
  <c r="C45" i="16"/>
  <c r="E44" i="16"/>
  <c r="C44" i="16"/>
  <c r="E43" i="16"/>
  <c r="C43" i="16"/>
  <c r="E42" i="16"/>
  <c r="C42" i="16"/>
  <c r="C41" i="16"/>
  <c r="C37" i="16"/>
  <c r="E36" i="16"/>
  <c r="C36" i="16"/>
  <c r="E35" i="16"/>
  <c r="C35" i="16"/>
  <c r="E34" i="16"/>
  <c r="C34" i="16"/>
  <c r="E33" i="16"/>
  <c r="C33" i="16"/>
  <c r="E32" i="16"/>
  <c r="C32" i="16"/>
  <c r="E31" i="16"/>
  <c r="C31" i="16"/>
  <c r="E30" i="16"/>
  <c r="C30" i="16"/>
  <c r="E29" i="16"/>
  <c r="C29" i="16"/>
  <c r="E28" i="16"/>
  <c r="C28" i="16"/>
  <c r="E27" i="16"/>
  <c r="C27" i="16"/>
  <c r="E26" i="16"/>
  <c r="C26" i="16"/>
  <c r="E25" i="16"/>
  <c r="C25" i="16"/>
  <c r="E24" i="16"/>
  <c r="C24" i="16"/>
  <c r="E23" i="16"/>
  <c r="C23" i="16"/>
  <c r="E22" i="16"/>
  <c r="C22" i="16"/>
  <c r="C21" i="16"/>
  <c r="C19" i="16"/>
  <c r="E17" i="16"/>
  <c r="C17" i="16"/>
  <c r="E16" i="16"/>
  <c r="C16" i="16"/>
  <c r="E15" i="16"/>
  <c r="C15" i="16"/>
  <c r="E14" i="16"/>
  <c r="C14" i="16"/>
  <c r="E13" i="16"/>
  <c r="C13" i="16"/>
  <c r="E12" i="16"/>
  <c r="C12" i="16"/>
  <c r="E11" i="16"/>
  <c r="C11" i="16"/>
  <c r="E10" i="16"/>
  <c r="C10" i="16"/>
  <c r="E9" i="16"/>
  <c r="C9" i="16"/>
  <c r="E8" i="16"/>
  <c r="C8" i="16"/>
  <c r="C7" i="16"/>
  <c r="E6" i="16"/>
  <c r="C6" i="16"/>
  <c r="E5" i="16"/>
  <c r="C5" i="16"/>
  <c r="E4" i="16"/>
  <c r="C4" i="16"/>
  <c r="E3" i="16"/>
  <c r="C3" i="16"/>
  <c r="E2" i="16"/>
  <c r="C2" i="16"/>
  <c r="O119" i="1"/>
  <c r="O118" i="1"/>
  <c r="D64" i="16" l="1"/>
  <c r="D65" i="16" s="1"/>
  <c r="D66" i="16" s="1"/>
  <c r="E64" i="16" l="1"/>
  <c r="E65" i="16"/>
  <c r="D67" i="16"/>
  <c r="E66" i="16"/>
  <c r="D68" i="16" l="1"/>
  <c r="E67" i="16"/>
  <c r="D69" i="16" l="1"/>
  <c r="E68" i="16"/>
  <c r="D70" i="16" l="1"/>
  <c r="E69" i="16"/>
  <c r="E70" i="16" l="1"/>
  <c r="D71" i="16"/>
  <c r="E71" i="16" l="1"/>
  <c r="D72" i="16"/>
  <c r="D73" i="16" l="1"/>
  <c r="D74" i="16" s="1"/>
  <c r="E72" i="16"/>
  <c r="E74" i="16" l="1"/>
  <c r="E73" i="16"/>
  <c r="E75" i="16" l="1"/>
  <c r="E77" i="16" l="1"/>
  <c r="E76" i="16"/>
  <c r="E78" i="16" l="1"/>
  <c r="E79" i="16" l="1"/>
  <c r="E80" i="16" l="1"/>
  <c r="E81" i="16" l="1"/>
  <c r="E83" i="16" l="1"/>
  <c r="E82" i="16"/>
  <c r="E84" i="16" l="1"/>
  <c r="E85" i="16"/>
  <c r="E86" i="16" l="1"/>
  <c r="E87" i="16" l="1"/>
  <c r="E88" i="16" l="1"/>
  <c r="E89" i="16" l="1"/>
  <c r="E90" i="16"/>
</calcChain>
</file>

<file path=xl/sharedStrings.xml><?xml version="1.0" encoding="utf-8"?>
<sst xmlns="http://schemas.openxmlformats.org/spreadsheetml/2006/main" count="30087" uniqueCount="10893">
  <si>
    <t>Group</t>
  </si>
  <si>
    <t>Group Name</t>
  </si>
  <si>
    <t>Class</t>
  </si>
  <si>
    <t>Class name</t>
  </si>
  <si>
    <t>Instance</t>
  </si>
  <si>
    <t>Property</t>
  </si>
  <si>
    <t>Property name</t>
  </si>
  <si>
    <t>Parameter</t>
  </si>
  <si>
    <t>Parameter name</t>
  </si>
  <si>
    <t>In data type</t>
  </si>
  <si>
    <t>In unit</t>
  </si>
  <si>
    <t>In values</t>
  </si>
  <si>
    <t>Out data type</t>
  </si>
  <si>
    <t>Out unit</t>
  </si>
  <si>
    <t>Out values</t>
  </si>
  <si>
    <t>Cloud</t>
  </si>
  <si>
    <t>Full name</t>
  </si>
  <si>
    <t>Comments</t>
  </si>
  <si>
    <t>__gateway</t>
  </si>
  <si>
    <t>gw</t>
  </si>
  <si>
    <t>avl</t>
  </si>
  <si>
    <t>00000000</t>
  </si>
  <si>
    <t>gw0avl</t>
  </si>
  <si>
    <t>-</t>
  </si>
  <si>
    <t>int32_t</t>
  </si>
  <si>
    <t>bool</t>
  </si>
  <si>
    <t>1=Available</t>
  </si>
  <si>
    <t>Gateway</t>
  </si>
  <si>
    <t>https://onedometic.atlassian.net/wiki/spaces/GC/pages/2705555613/Core+GW0+CFG0+SVC0#GW0---Gateway</t>
  </si>
  <si>
    <t>inv</t>
  </si>
  <si>
    <t>00000001</t>
  </si>
  <si>
    <t>gw0inv</t>
  </si>
  <si>
    <t>other</t>
  </si>
  <si>
    <t>Inventory</t>
  </si>
  <si>
    <t>Returns n 32-bit entries</t>
  </si>
  <si>
    <t>ver</t>
  </si>
  <si>
    <t>00000002</t>
  </si>
  <si>
    <t>gw0ver</t>
  </si>
  <si>
    <t>string</t>
  </si>
  <si>
    <t>Gateway FW version</t>
  </si>
  <si>
    <t>ota</t>
  </si>
  <si>
    <t>00000003</t>
  </si>
  <si>
    <t>gw0ota</t>
  </si>
  <si>
    <t>UTF-8 URL</t>
  </si>
  <si>
    <t>OTA status string</t>
  </si>
  <si>
    <t>Over the air update</t>
  </si>
  <si>
    <t>upt</t>
  </si>
  <si>
    <t>00000004</t>
  </si>
  <si>
    <t>gw0upt</t>
  </si>
  <si>
    <t>min</t>
  </si>
  <si>
    <t>Uptime</t>
  </si>
  <si>
    <t>Time since boot in minutes</t>
  </si>
  <si>
    <t>tst</t>
  </si>
  <si>
    <t>00000005</t>
  </si>
  <si>
    <t>gw0tst</t>
  </si>
  <si>
    <t>Test</t>
  </si>
  <si>
    <t>Does nothing but saves to flash</t>
  </si>
  <si>
    <t>awssc</t>
  </si>
  <si>
    <t>00000006</t>
  </si>
  <si>
    <t>gw0awssc</t>
  </si>
  <si>
    <t>jumbo</t>
  </si>
  <si>
    <t>PEM</t>
  </si>
  <si>
    <t>MD5 signature</t>
  </si>
  <si>
    <t>AWS Server Certificate PEM</t>
  </si>
  <si>
    <t>awscc</t>
  </si>
  <si>
    <t>00000007</t>
  </si>
  <si>
    <t>gw0awscc</t>
  </si>
  <si>
    <t>AWS Client Certificate PEM</t>
  </si>
  <si>
    <t>awsccpk</t>
  </si>
  <si>
    <t>00000008</t>
  </si>
  <si>
    <t>gw0awsccpk</t>
  </si>
  <si>
    <t>AWS Private key PEM</t>
  </si>
  <si>
    <t>awsca</t>
  </si>
  <si>
    <t>00000009</t>
  </si>
  <si>
    <t>gw0awsca</t>
  </si>
  <si>
    <t>AWS CA Certificate PEM</t>
  </si>
  <si>
    <t>otasc</t>
  </si>
  <si>
    <t>0000000a</t>
  </si>
  <si>
    <t>gw0otasc</t>
  </si>
  <si>
    <t>OTA Server Certificate PEM</t>
  </si>
  <si>
    <t>otacc</t>
  </si>
  <si>
    <t>0000000b</t>
  </si>
  <si>
    <t>gw0otacc</t>
  </si>
  <si>
    <t>OTA Client Certificate PEM</t>
  </si>
  <si>
    <t>otaccpk</t>
  </si>
  <si>
    <t>0000000c</t>
  </si>
  <si>
    <t>gw0otaccpk</t>
  </si>
  <si>
    <t>OTA Private key PEM</t>
  </si>
  <si>
    <t>otaca</t>
  </si>
  <si>
    <t>0000000d</t>
  </si>
  <si>
    <t>gw0otaca</t>
  </si>
  <si>
    <t>OTA CA Certificate PEM</t>
  </si>
  <si>
    <t>dsn</t>
  </si>
  <si>
    <t>0000000e</t>
  </si>
  <si>
    <t>gw0dsn</t>
  </si>
  <si>
    <t>Dometic Serial Number</t>
  </si>
  <si>
    <t>sku</t>
  </si>
  <si>
    <t>0000000f</t>
  </si>
  <si>
    <t>gw0sku</t>
  </si>
  <si>
    <t>Stock Keeping Unit</t>
  </si>
  <si>
    <t>pnc</t>
  </si>
  <si>
    <t>00000010</t>
  </si>
  <si>
    <t>gw0pnc</t>
  </si>
  <si>
    <t>Product Numeric Code</t>
  </si>
  <si>
    <t>mac</t>
  </si>
  <si>
    <t>00000011</t>
  </si>
  <si>
    <t>gw0mac</t>
  </si>
  <si>
    <t>MAC address</t>
  </si>
  <si>
    <t>6 bytes</t>
  </si>
  <si>
    <t>thing</t>
  </si>
  <si>
    <t>00000012</t>
  </si>
  <si>
    <t>gw0thing</t>
  </si>
  <si>
    <t>Thing ID</t>
  </si>
  <si>
    <t>ptype</t>
  </si>
  <si>
    <t>00000013</t>
  </si>
  <si>
    <t>gw0ptype</t>
  </si>
  <si>
    <t>enum</t>
  </si>
  <si>
    <t>Product Type</t>
  </si>
  <si>
    <t>cupdt</t>
  </si>
  <si>
    <t>00000014</t>
  </si>
  <si>
    <t>gw0cupdt</t>
  </si>
  <si>
    <t>s</t>
  </si>
  <si>
    <t>Time between cloud updates</t>
  </si>
  <si>
    <t>rrsn</t>
  </si>
  <si>
    <t>00000015</t>
  </si>
  <si>
    <t>gw0rrsn</t>
  </si>
  <si>
    <t>ESP32 reset reason</t>
  </si>
  <si>
    <t>UNUSED</t>
  </si>
  <si>
    <t>00000016</t>
  </si>
  <si>
    <t>gw0UNUSED</t>
  </si>
  <si>
    <t>batwin</t>
  </si>
  <si>
    <t>00000017</t>
  </si>
  <si>
    <t>gw0batwin</t>
  </si>
  <si>
    <t>V</t>
  </si>
  <si>
    <t>Voltage window</t>
  </si>
  <si>
    <t>Voltage window for when a battery voltage is updated to cloud</t>
  </si>
  <si>
    <t>tempwin</t>
  </si>
  <si>
    <t>00000018</t>
  </si>
  <si>
    <t>gw0tempwin</t>
  </si>
  <si>
    <t>^C</t>
  </si>
  <si>
    <t>Temperature window</t>
  </si>
  <si>
    <t>Temperature window for when a temperature change is updated to cloud</t>
  </si>
  <si>
    <t>remtwin</t>
  </si>
  <si>
    <t>00000019</t>
  </si>
  <si>
    <t>gw0remtwin</t>
  </si>
  <si>
    <t>h</t>
  </si>
  <si>
    <t>Time window</t>
  </si>
  <si>
    <t>Time window for when a battery remaining time is updated to cloud</t>
  </si>
  <si>
    <t>cupd</t>
  </si>
  <si>
    <t>0000001a</t>
  </si>
  <si>
    <t>gw0cupd</t>
  </si>
  <si>
    <t>Command Utility Parameter Debug</t>
  </si>
  <si>
    <t>thtyid</t>
  </si>
  <si>
    <t>0000001b</t>
  </si>
  <si>
    <t>gw0thtyid</t>
  </si>
  <si>
    <t>Thing type ID</t>
  </si>
  <si>
    <t>dev1st</t>
  </si>
  <si>
    <t>0000001c</t>
  </si>
  <si>
    <t>gw0dev1st</t>
  </si>
  <si>
    <t>GW device 1 connected status</t>
  </si>
  <si>
    <t>ict</t>
  </si>
  <si>
    <t>0000001d</t>
  </si>
  <si>
    <t>gw0ict</t>
  </si>
  <si>
    <t>void</t>
  </si>
  <si>
    <t>1=Internet Ok</t>
  </si>
  <si>
    <t>Internet Connection Test</t>
  </si>
  <si>
    <t>Test internet connection, Input any value and test outputs 0=No internet or 1=Internet Ok</t>
  </si>
  <si>
    <t>ocnt</t>
  </si>
  <si>
    <t>0000001e</t>
  </si>
  <si>
    <t>gw0ocnt</t>
  </si>
  <si>
    <t>OTA counter</t>
  </si>
  <si>
    <t>OTA counter, nbr of started OTA</t>
  </si>
  <si>
    <t>rcnt</t>
  </si>
  <si>
    <t>0000001f</t>
  </si>
  <si>
    <t>gw0rcnt</t>
  </si>
  <si>
    <t>Restart counter</t>
  </si>
  <si>
    <t>Restart counter, number of registered restarts</t>
  </si>
  <si>
    <t>errmsg</t>
  </si>
  <si>
    <t>00000020</t>
  </si>
  <si>
    <t>gw0errmsg</t>
  </si>
  <si>
    <t>Last error message (app/gw)</t>
  </si>
  <si>
    <t>name</t>
  </si>
  <si>
    <t>00000021</t>
  </si>
  <si>
    <t>gw0name</t>
  </si>
  <si>
    <t>Display Name</t>
  </si>
  <si>
    <t>cfg</t>
  </si>
  <si>
    <t>00010000</t>
  </si>
  <si>
    <t>cfg0avl</t>
  </si>
  <si>
    <t>Configuration</t>
  </si>
  <si>
    <t>https://onedometic.atlassian.net/wiki/spaces/GC/pages/2705555613/Core+GW0+CFG0+SVC0#CFG0---Configuration</t>
  </si>
  <si>
    <t>ddest</t>
  </si>
  <si>
    <t>00010001</t>
  </si>
  <si>
    <t>cfg0ddest</t>
  </si>
  <si>
    <t>Debug server destination</t>
  </si>
  <si>
    <t>IP or URL?</t>
  </si>
  <si>
    <t>dport</t>
  </si>
  <si>
    <t>00010002</t>
  </si>
  <si>
    <t>cfg0dport</t>
  </si>
  <si>
    <t>Debug server destination port</t>
  </si>
  <si>
    <t>itempth</t>
  </si>
  <si>
    <t>00010003</t>
  </si>
  <si>
    <t>cfg0itempth</t>
  </si>
  <si>
    <t>Notification Threshold Inside Temperature</t>
  </si>
  <si>
    <t>wwtrth</t>
  </si>
  <si>
    <t>00010004</t>
  </si>
  <si>
    <t>cfg0wwtrth</t>
  </si>
  <si>
    <t>%</t>
  </si>
  <si>
    <t>Notification Threshold Waste water</t>
  </si>
  <si>
    <t>fwtrth</t>
  </si>
  <si>
    <t>00010005</t>
  </si>
  <si>
    <t>cfg0fwtrth</t>
  </si>
  <si>
    <t>Notification Threshold Fresh water</t>
  </si>
  <si>
    <t>batth</t>
  </si>
  <si>
    <t>00010006</t>
  </si>
  <si>
    <t>cfg0batth</t>
  </si>
  <si>
    <t>Notification Threshold Battery</t>
  </si>
  <si>
    <t>fwid</t>
  </si>
  <si>
    <t>00010007</t>
  </si>
  <si>
    <t>cfg0fwid</t>
  </si>
  <si>
    <t>FW version id</t>
  </si>
  <si>
    <t>opath</t>
  </si>
  <si>
    <t>00010008</t>
  </si>
  <si>
    <t>cfg0opath</t>
  </si>
  <si>
    <t>OTA URL path</t>
  </si>
  <si>
    <t>UTF-8 URL to binary</t>
  </si>
  <si>
    <t>ostat</t>
  </si>
  <si>
    <t>00010009</t>
  </si>
  <si>
    <t>cfg0ostat</t>
  </si>
  <si>
    <t>OTA update status</t>
  </si>
  <si>
    <t>ntwth</t>
  </si>
  <si>
    <t>0001000a</t>
  </si>
  <si>
    <t>cfg0ntwth</t>
  </si>
  <si>
    <t>Network Thing type Id</t>
  </si>
  <si>
    <t>Provided by App when onboarding</t>
  </si>
  <si>
    <t/>
  </si>
  <si>
    <t>__appliance</t>
  </si>
  <si>
    <t>chgrsvc</t>
  </si>
  <si>
    <t>01000000</t>
  </si>
  <si>
    <t>chgrsvc0avl</t>
  </si>
  <si>
    <t>Charging Service</t>
  </si>
  <si>
    <t>chrgv</t>
  </si>
  <si>
    <t>01000001</t>
  </si>
  <si>
    <t>chgrsvc0chrgv</t>
  </si>
  <si>
    <t>13…16V</t>
  </si>
  <si>
    <t>Charging voltage</t>
  </si>
  <si>
    <t>Offset -5 Factor 20</t>
  </si>
  <si>
    <t>btryv</t>
  </si>
  <si>
    <t>01000002</t>
  </si>
  <si>
    <t>chgrsvc0btryv</t>
  </si>
  <si>
    <t>0…50V</t>
  </si>
  <si>
    <t>Battery voltage</t>
  </si>
  <si>
    <t>remt</t>
  </si>
  <si>
    <t>01000003</t>
  </si>
  <si>
    <t>chgrsvc0remt</t>
  </si>
  <si>
    <t>Hours remaining</t>
  </si>
  <si>
    <t>Remaining time to charged battery</t>
  </si>
  <si>
    <t>ibs</t>
  </si>
  <si>
    <t>01010000</t>
  </si>
  <si>
    <t>ibs0avl</t>
  </si>
  <si>
    <t>Battery Service</t>
  </si>
  <si>
    <t>i</t>
  </si>
  <si>
    <t>01010001</t>
  </si>
  <si>
    <t>ibs0i</t>
  </si>
  <si>
    <t>A</t>
  </si>
  <si>
    <t>Charging current</t>
  </si>
  <si>
    <t>v</t>
  </si>
  <si>
    <t>01010002</t>
  </si>
  <si>
    <t>ibs0v</t>
  </si>
  <si>
    <t>soc</t>
  </si>
  <si>
    <t>01010003</t>
  </si>
  <si>
    <t>ibs0soc</t>
  </si>
  <si>
    <t>0-100%</t>
  </si>
  <si>
    <t>State of charge</t>
  </si>
  <si>
    <t>temp</t>
  </si>
  <si>
    <t>01010004</t>
  </si>
  <si>
    <t>ibs0temp</t>
  </si>
  <si>
    <t>(-40)…125</t>
  </si>
  <si>
    <t>Battery temperature</t>
  </si>
  <si>
    <t>rcal</t>
  </si>
  <si>
    <t>01010005</t>
  </si>
  <si>
    <t>ibs0rcal</t>
  </si>
  <si>
    <t>1=Recalibrated</t>
  </si>
  <si>
    <t>Recalibrated state</t>
  </si>
  <si>
    <t>ocgv</t>
  </si>
  <si>
    <t>01010006</t>
  </si>
  <si>
    <t>ibs0ocgv</t>
  </si>
  <si>
    <t>Optimal charging voltage</t>
  </si>
  <si>
    <t>battyp</t>
  </si>
  <si>
    <t>01010007</t>
  </si>
  <si>
    <t>ibs0battyp</t>
  </si>
  <si>
    <t>Battery type</t>
  </si>
  <si>
    <t>soh</t>
  </si>
  <si>
    <t>01010008</t>
  </si>
  <si>
    <t>ibs0soh</t>
  </si>
  <si>
    <t>State of Health</t>
  </si>
  <si>
    <t>cnom</t>
  </si>
  <si>
    <t>01010009</t>
  </si>
  <si>
    <t>ibs0cnom</t>
  </si>
  <si>
    <t>Ah</t>
  </si>
  <si>
    <t>Nominal Capacity (setting)</t>
  </si>
  <si>
    <t>Batttery Nominal Capacity (on battery label)</t>
  </si>
  <si>
    <t>ac</t>
  </si>
  <si>
    <t>01020000</t>
  </si>
  <si>
    <t>ac0avl</t>
  </si>
  <si>
    <t>Air Condition</t>
  </si>
  <si>
    <t>on</t>
  </si>
  <si>
    <t>01020001</t>
  </si>
  <si>
    <t>ac0on</t>
  </si>
  <si>
    <t>0=Off ; 1=On</t>
  </si>
  <si>
    <t>Power on or off</t>
  </si>
  <si>
    <t>fspd</t>
  </si>
  <si>
    <t>01020002</t>
  </si>
  <si>
    <t>ac0fspd</t>
  </si>
  <si>
    <t>Fan speed</t>
  </si>
  <si>
    <t>md</t>
  </si>
  <si>
    <t>01020003</t>
  </si>
  <si>
    <t>ac0md</t>
  </si>
  <si>
    <t>Mode</t>
  </si>
  <si>
    <t>ttemp</t>
  </si>
  <si>
    <t>01020004</t>
  </si>
  <si>
    <t>ac0ttemp</t>
  </si>
  <si>
    <t>16...31</t>
  </si>
  <si>
    <t>Target temperature</t>
  </si>
  <si>
    <t>lgt</t>
  </si>
  <si>
    <t>01020005</t>
  </si>
  <si>
    <t>ac0lgt</t>
  </si>
  <si>
    <t>Light</t>
  </si>
  <si>
    <t>dmr</t>
  </si>
  <si>
    <t>01020006</t>
  </si>
  <si>
    <t>ac0dmr</t>
  </si>
  <si>
    <t>0...100</t>
  </si>
  <si>
    <t>Dimmer</t>
  </si>
  <si>
    <t>pwr</t>
  </si>
  <si>
    <t>01020007</t>
  </si>
  <si>
    <t>ac0pwr</t>
  </si>
  <si>
    <t>W</t>
  </si>
  <si>
    <t>Power (limit)</t>
  </si>
  <si>
    <t>mmd</t>
  </si>
  <si>
    <t>01020008</t>
  </si>
  <si>
    <t>ac0mmd</t>
  </si>
  <si>
    <t>1=manual mode</t>
  </si>
  <si>
    <t>Manual Mode</t>
  </si>
  <si>
    <t>mdl</t>
  </si>
  <si>
    <t>01020009</t>
  </si>
  <si>
    <t>ac0mdl</t>
  </si>
  <si>
    <t>Model</t>
  </si>
  <si>
    <t>itemp</t>
  </si>
  <si>
    <t>0102000a</t>
  </si>
  <si>
    <t>ac0itemp</t>
  </si>
  <si>
    <t>Internal temperature</t>
  </si>
  <si>
    <t>fs</t>
  </si>
  <si>
    <t>0102000b</t>
  </si>
  <si>
    <t>ac0fs</t>
  </si>
  <si>
    <t>fmd</t>
  </si>
  <si>
    <t>0102000c</t>
  </si>
  <si>
    <t>ac0fmd</t>
  </si>
  <si>
    <t>Fan mode</t>
  </si>
  <si>
    <t>lgtbs</t>
  </si>
  <si>
    <t>0102000d</t>
  </si>
  <si>
    <t>ac0lgtbs</t>
  </si>
  <si>
    <t>0=Low ; 1=High</t>
  </si>
  <si>
    <t>Brightness</t>
  </si>
  <si>
    <t>elgt</t>
  </si>
  <si>
    <t>0102000e</t>
  </si>
  <si>
    <t>ac0elgt</t>
  </si>
  <si>
    <t>External Light</t>
  </si>
  <si>
    <t>pur</t>
  </si>
  <si>
    <t>0102000f</t>
  </si>
  <si>
    <t>ac0pur</t>
  </si>
  <si>
    <t>Purifier</t>
  </si>
  <si>
    <t>sysu</t>
  </si>
  <si>
    <t>01020010</t>
  </si>
  <si>
    <t>ac0sysu</t>
  </si>
  <si>
    <t>htr0sysu</t>
  </si>
  <si>
    <t>System units</t>
  </si>
  <si>
    <t>tsup</t>
  </si>
  <si>
    <t>01020011</t>
  </si>
  <si>
    <t>ac0tsup</t>
  </si>
  <si>
    <t>0=No ; 1=Yes</t>
  </si>
  <si>
    <t>Timer supported</t>
  </si>
  <si>
    <t>tmd</t>
  </si>
  <si>
    <t>01020012</t>
  </si>
  <si>
    <t>ac0tmd</t>
  </si>
  <si>
    <t>Timer mode</t>
  </si>
  <si>
    <t>tona</t>
  </si>
  <si>
    <t>01020013</t>
  </si>
  <si>
    <t>ac0tona</t>
  </si>
  <si>
    <t>Timer on active</t>
  </si>
  <si>
    <t>tonh</t>
  </si>
  <si>
    <t>01020014</t>
  </si>
  <si>
    <t>ac0tonh</t>
  </si>
  <si>
    <t>Timer on hour</t>
  </si>
  <si>
    <t>tonm</t>
  </si>
  <si>
    <t>01020015</t>
  </si>
  <si>
    <t>ac0tonm</t>
  </si>
  <si>
    <t>Timer on minute</t>
  </si>
  <si>
    <t>toffa</t>
  </si>
  <si>
    <t>01020016</t>
  </si>
  <si>
    <t>ac0toffa</t>
  </si>
  <si>
    <t>Timer off active</t>
  </si>
  <si>
    <t>toffh</t>
  </si>
  <si>
    <t>01020017</t>
  </si>
  <si>
    <t>ac0toffh</t>
  </si>
  <si>
    <t>Timer off hour</t>
  </si>
  <si>
    <t>toffm</t>
  </si>
  <si>
    <t>01020018</t>
  </si>
  <si>
    <t>ac0toffm</t>
  </si>
  <si>
    <t>Timer off minute</t>
  </si>
  <si>
    <t>errc</t>
  </si>
  <si>
    <t>01020019</t>
  </si>
  <si>
    <t>ac0errc</t>
  </si>
  <si>
    <t>Error code</t>
  </si>
  <si>
    <t>status</t>
  </si>
  <si>
    <t>0102001a</t>
  </si>
  <si>
    <t>ac0status</t>
  </si>
  <si>
    <t>Error and Alert codes</t>
  </si>
  <si>
    <t>Sent as array of active errors/alerts, where each code is a uint16, see link</t>
  </si>
  <si>
    <t>sleep</t>
  </si>
  <si>
    <t>0102001b</t>
  </si>
  <si>
    <t>ac0sleep</t>
  </si>
  <si>
    <t>Sleep mode</t>
  </si>
  <si>
    <t>hfavl</t>
  </si>
  <si>
    <t>0102001c</t>
  </si>
  <si>
    <t>ac0hfavl</t>
  </si>
  <si>
    <t>0=Not available; 1=Available</t>
  </si>
  <si>
    <t>Heating function</t>
  </si>
  <si>
    <t>lfavl</t>
  </si>
  <si>
    <t>0102001d</t>
  </si>
  <si>
    <t>ac0lfavl</t>
  </si>
  <si>
    <t>Light function</t>
  </si>
  <si>
    <t>actext</t>
  </si>
  <si>
    <t>0102001e</t>
  </si>
  <si>
    <t>ac0actext</t>
  </si>
  <si>
    <t>ac0actext_in</t>
  </si>
  <si>
    <t>ac0actext_out</t>
  </si>
  <si>
    <t>Actuators(external)</t>
  </si>
  <si>
    <t>Bitfield</t>
  </si>
  <si>
    <t>remctrl</t>
  </si>
  <si>
    <t>0102001f</t>
  </si>
  <si>
    <t>ac0remctrl</t>
  </si>
  <si>
    <t>0=Enable; 1=Disable</t>
  </si>
  <si>
    <t>0=Enabled; 1=Disabled</t>
  </si>
  <si>
    <t>Remote control disable</t>
  </si>
  <si>
    <t>test</t>
  </si>
  <si>
    <t>01020020</t>
  </si>
  <si>
    <t>ac0test</t>
  </si>
  <si>
    <t>Special test mode</t>
  </si>
  <si>
    <t>sys</t>
  </si>
  <si>
    <t>01030000</t>
  </si>
  <si>
    <t>sys0avl</t>
  </si>
  <si>
    <t>System</t>
  </si>
  <si>
    <t>line</t>
  </si>
  <si>
    <t>01030001</t>
  </si>
  <si>
    <t>sys0line</t>
  </si>
  <si>
    <t>Line</t>
  </si>
  <si>
    <t>msw</t>
  </si>
  <si>
    <t>01030002</t>
  </si>
  <si>
    <t>sys0msw</t>
  </si>
  <si>
    <t>Main Switch</t>
  </si>
  <si>
    <t>ngnr</t>
  </si>
  <si>
    <t>01030003</t>
  </si>
  <si>
    <t>sys0ngnr</t>
  </si>
  <si>
    <t>Engine running</t>
  </si>
  <si>
    <t>01030004</t>
  </si>
  <si>
    <t>sys0itemp</t>
  </si>
  <si>
    <t>(-67,5)…59,5</t>
  </si>
  <si>
    <t>Inside temperature</t>
  </si>
  <si>
    <t>otemp</t>
  </si>
  <si>
    <t>01030005</t>
  </si>
  <si>
    <t>sys0otemp</t>
  </si>
  <si>
    <t>(-67,5)…59,6</t>
  </si>
  <si>
    <t>Outside temperature</t>
  </si>
  <si>
    <t>hbtry</t>
  </si>
  <si>
    <t>01030006</t>
  </si>
  <si>
    <t>sys0hbtry</t>
  </si>
  <si>
    <t>0-25,5</t>
  </si>
  <si>
    <t>House battery</t>
  </si>
  <si>
    <t>sbtry</t>
  </si>
  <si>
    <t>01030007</t>
  </si>
  <si>
    <t>sys0sbtry</t>
  </si>
  <si>
    <t>Starter battery</t>
  </si>
  <si>
    <t>date</t>
  </si>
  <si>
    <t>01030008</t>
  </si>
  <si>
    <t>sys0date</t>
  </si>
  <si>
    <t>Date</t>
  </si>
  <si>
    <t>time</t>
  </si>
  <si>
    <t>01030009</t>
  </si>
  <si>
    <t>sys0time</t>
  </si>
  <si>
    <t>Time</t>
  </si>
  <si>
    <t>logo</t>
  </si>
  <si>
    <t>0103000a</t>
  </si>
  <si>
    <t>sys0logo</t>
  </si>
  <si>
    <t>logotype</t>
  </si>
  <si>
    <t>fhtr</t>
  </si>
  <si>
    <t>0103000b</t>
  </si>
  <si>
    <t>sys0fhtr</t>
  </si>
  <si>
    <t>Floor heater</t>
  </si>
  <si>
    <t>htr</t>
  </si>
  <si>
    <t>0103000c</t>
  </si>
  <si>
    <t>sys0htr</t>
  </si>
  <si>
    <t>Heater</t>
  </si>
  <si>
    <t>0103000d</t>
  </si>
  <si>
    <t>sys0ver</t>
  </si>
  <si>
    <t>Version</t>
  </si>
  <si>
    <t>01040000</t>
  </si>
  <si>
    <t>lgt0avl</t>
  </si>
  <si>
    <t>bly</t>
  </si>
  <si>
    <t>01040001</t>
  </si>
  <si>
    <t>lgt0bly</t>
  </si>
  <si>
    <t>Bed 2 left</t>
  </si>
  <si>
    <t>16 steps for Toptron, 0xF=100%</t>
  </si>
  <si>
    <t>bry</t>
  </si>
  <si>
    <t>01040002</t>
  </si>
  <si>
    <t>lgt0bry</t>
  </si>
  <si>
    <t>Bed 2 right</t>
  </si>
  <si>
    <t>ceil</t>
  </si>
  <si>
    <t>01040003</t>
  </si>
  <si>
    <t>lgt0ceil</t>
  </si>
  <si>
    <t>Ceiling</t>
  </si>
  <si>
    <t>wall</t>
  </si>
  <si>
    <t>01040004</t>
  </si>
  <si>
    <t>lgt0wall</t>
  </si>
  <si>
    <t>Wall</t>
  </si>
  <si>
    <t>blx</t>
  </si>
  <si>
    <t>01040005</t>
  </si>
  <si>
    <t>lgt0blx</t>
  </si>
  <si>
    <t>Bed 1 left</t>
  </si>
  <si>
    <t>brx</t>
  </si>
  <si>
    <t>01040006</t>
  </si>
  <si>
    <t>lgt0brx</t>
  </si>
  <si>
    <t>Bed 1 right</t>
  </si>
  <si>
    <t>wash</t>
  </si>
  <si>
    <t>01040007</t>
  </si>
  <si>
    <t>lgt0wash</t>
  </si>
  <si>
    <t>Wash</t>
  </si>
  <si>
    <t>wc</t>
  </si>
  <si>
    <t>01040008</t>
  </si>
  <si>
    <t>lgt0wc</t>
  </si>
  <si>
    <t>WC</t>
  </si>
  <si>
    <t>ambx</t>
  </si>
  <si>
    <t>01040009</t>
  </si>
  <si>
    <t>lgt0ambx</t>
  </si>
  <si>
    <t>ambient1</t>
  </si>
  <si>
    <t>amby</t>
  </si>
  <si>
    <t>0104000a</t>
  </si>
  <si>
    <t>lgt0amby</t>
  </si>
  <si>
    <t>ambient2</t>
  </si>
  <si>
    <t>ambz</t>
  </si>
  <si>
    <t>0104000b</t>
  </si>
  <si>
    <t>lgt0ambz</t>
  </si>
  <si>
    <t>ambient3</t>
  </si>
  <si>
    <t>addx</t>
  </si>
  <si>
    <t>0104000c</t>
  </si>
  <si>
    <t>lgt0addx</t>
  </si>
  <si>
    <t>addition1</t>
  </si>
  <si>
    <t>addy</t>
  </si>
  <si>
    <t>0104000d</t>
  </si>
  <si>
    <t>lgt0addy</t>
  </si>
  <si>
    <t>addition2</t>
  </si>
  <si>
    <t>addz</t>
  </si>
  <si>
    <t>0104000e</t>
  </si>
  <si>
    <t>lgt0addz</t>
  </si>
  <si>
    <t>addition3</t>
  </si>
  <si>
    <t>ktnx</t>
  </si>
  <si>
    <t>0104000f</t>
  </si>
  <si>
    <t>lgt0ktnx</t>
  </si>
  <si>
    <t>kitchen1</t>
  </si>
  <si>
    <t>ktny</t>
  </si>
  <si>
    <t>01040010</t>
  </si>
  <si>
    <t>lgt0ktny</t>
  </si>
  <si>
    <t>kitchen2</t>
  </si>
  <si>
    <t>awn</t>
  </si>
  <si>
    <t>01040011</t>
  </si>
  <si>
    <t>lgt0awn</t>
  </si>
  <si>
    <t>awning</t>
  </si>
  <si>
    <t>fwtr</t>
  </si>
  <si>
    <t>01050000</t>
  </si>
  <si>
    <t>fwtr0avl</t>
  </si>
  <si>
    <t>Fresh water</t>
  </si>
  <si>
    <t>lvl</t>
  </si>
  <si>
    <t>01050001</t>
  </si>
  <si>
    <t>fwtr0lvl</t>
  </si>
  <si>
    <t>0…100</t>
  </si>
  <si>
    <t>Fresh water tank level</t>
  </si>
  <si>
    <t>wwtr</t>
  </si>
  <si>
    <t>01060000</t>
  </si>
  <si>
    <t>wwtr0avl</t>
  </si>
  <si>
    <t>Waste water</t>
  </si>
  <si>
    <t>01060001</t>
  </si>
  <si>
    <t>wwtr0lvl</t>
  </si>
  <si>
    <t>Waste water tank level</t>
  </si>
  <si>
    <t>wwtrhtr</t>
  </si>
  <si>
    <t>01070000</t>
  </si>
  <si>
    <t>wwtrhtr0avl</t>
  </si>
  <si>
    <t>Waste water heater</t>
  </si>
  <si>
    <t>sts</t>
  </si>
  <si>
    <t>01070001</t>
  </si>
  <si>
    <t>wwtrhtr0sts</t>
  </si>
  <si>
    <t>Waste water heater status</t>
  </si>
  <si>
    <t>act</t>
  </si>
  <si>
    <t>01070002</t>
  </si>
  <si>
    <t>wwtrhtr0act</t>
  </si>
  <si>
    <t>Waste water heater active</t>
  </si>
  <si>
    <t>chgr</t>
  </si>
  <si>
    <t>01080000</t>
  </si>
  <si>
    <t>chgr0avl</t>
  </si>
  <si>
    <t>Charger</t>
  </si>
  <si>
    <t>01080001</t>
  </si>
  <si>
    <t>chgr0act</t>
  </si>
  <si>
    <t>0=Off ; 1=Charging is active</t>
  </si>
  <si>
    <t>Charging active</t>
  </si>
  <si>
    <t>01080002</t>
  </si>
  <si>
    <t>chgr0i</t>
  </si>
  <si>
    <t>0=0 A; 254=50,8 A</t>
  </si>
  <si>
    <t>sln</t>
  </si>
  <si>
    <t>01080003</t>
  </si>
  <si>
    <t>chgr0sln</t>
  </si>
  <si>
    <t>1=Running in silent mode</t>
  </si>
  <si>
    <t>Silent mode</t>
  </si>
  <si>
    <t>oh</t>
  </si>
  <si>
    <t>01080004</t>
  </si>
  <si>
    <t>chgr0oh</t>
  </si>
  <si>
    <t>1=Overheated</t>
  </si>
  <si>
    <t>Overheated</t>
  </si>
  <si>
    <t>Running with reduced power</t>
  </si>
  <si>
    <t>err</t>
  </si>
  <si>
    <t>01080005</t>
  </si>
  <si>
    <t>chgr0err</t>
  </si>
  <si>
    <t>1= Error active</t>
  </si>
  <si>
    <t>Error</t>
  </si>
  <si>
    <t>01090000</t>
  </si>
  <si>
    <t>htr0avl</t>
  </si>
  <si>
    <t>aon</t>
  </si>
  <si>
    <t>01090001</t>
  </si>
  <si>
    <t>htr0aon</t>
  </si>
  <si>
    <t>Air on/off</t>
  </si>
  <si>
    <t>atemp</t>
  </si>
  <si>
    <t>01090002</t>
  </si>
  <si>
    <t>htr0atemp</t>
  </si>
  <si>
    <t>Air temperature</t>
  </si>
  <si>
    <t>wtron</t>
  </si>
  <si>
    <t>01090003</t>
  </si>
  <si>
    <t>htr0wtron</t>
  </si>
  <si>
    <t>Water on/off</t>
  </si>
  <si>
    <t>wtrtemp</t>
  </si>
  <si>
    <t>01090004</t>
  </si>
  <si>
    <t>htr0wtrtemp</t>
  </si>
  <si>
    <t>Water temperature</t>
  </si>
  <si>
    <t>esel</t>
  </si>
  <si>
    <t>01090005</t>
  </si>
  <si>
    <t>htr0esel</t>
  </si>
  <si>
    <t>Energy selection</t>
  </si>
  <si>
    <t>01090006</t>
  </si>
  <si>
    <t>htr0mmd</t>
  </si>
  <si>
    <t>1=Manual mode</t>
  </si>
  <si>
    <t>Manual mode</t>
  </si>
  <si>
    <t>01090007</t>
  </si>
  <si>
    <t>htr0mdl</t>
  </si>
  <si>
    <t>01090008</t>
  </si>
  <si>
    <t>htr0temp</t>
  </si>
  <si>
    <t>1...8</t>
  </si>
  <si>
    <t>Temperature value</t>
  </si>
  <si>
    <t>el</t>
  </si>
  <si>
    <t>01090009</t>
  </si>
  <si>
    <t>htr0el</t>
  </si>
  <si>
    <t>El Off/1kW/2kW/3kW/0.5kW</t>
  </si>
  <si>
    <t>gas</t>
  </si>
  <si>
    <t>0109000a</t>
  </si>
  <si>
    <t>htr0gas</t>
  </si>
  <si>
    <t>Gas on/off</t>
  </si>
  <si>
    <t>amd</t>
  </si>
  <si>
    <t>0109000b</t>
  </si>
  <si>
    <t>htr0amd</t>
  </si>
  <si>
    <t>Air Heater Mode</t>
  </si>
  <si>
    <t>smaxfan</t>
  </si>
  <si>
    <t>0109000c</t>
  </si>
  <si>
    <t>htr0smaxfan</t>
  </si>
  <si>
    <t>fanspeed</t>
  </si>
  <si>
    <t>Silent mode max fan speed</t>
  </si>
  <si>
    <t>vminfan</t>
  </si>
  <si>
    <t>0109000d</t>
  </si>
  <si>
    <t>htr0vminfan</t>
  </si>
  <si>
    <t>Ventilation mode min fan speed</t>
  </si>
  <si>
    <t>errst</t>
  </si>
  <si>
    <t>0109000e</t>
  </si>
  <si>
    <t>htr0errst</t>
  </si>
  <si>
    <t>Error status</t>
  </si>
  <si>
    <t>errcd1</t>
  </si>
  <si>
    <t>0109000f</t>
  </si>
  <si>
    <t>htr0errcd1</t>
  </si>
  <si>
    <t>Active error code1</t>
  </si>
  <si>
    <t>errcd2</t>
  </si>
  <si>
    <t>01090010</t>
  </si>
  <si>
    <t>htr0errcd2</t>
  </si>
  <si>
    <t>Active error code2</t>
  </si>
  <si>
    <t>errcd3</t>
  </si>
  <si>
    <t>01090011</t>
  </si>
  <si>
    <t>htr0errcd3</t>
  </si>
  <si>
    <t>Active error code3</t>
  </si>
  <si>
    <t>errcd4</t>
  </si>
  <si>
    <t>01090012</t>
  </si>
  <si>
    <t>htr0errcd4</t>
  </si>
  <si>
    <t>Active error code4</t>
  </si>
  <si>
    <t>uvth</t>
  </si>
  <si>
    <t>01090013</t>
  </si>
  <si>
    <t>htr0uvth</t>
  </si>
  <si>
    <t>0-25,3</t>
  </si>
  <si>
    <t>Under voltage threshold</t>
  </si>
  <si>
    <t>01090014</t>
  </si>
  <si>
    <t>ahtoffst</t>
  </si>
  <si>
    <t>01090015</t>
  </si>
  <si>
    <t>htr0ahtoffst</t>
  </si>
  <si>
    <t>0=Inactive; 1=Active</t>
  </si>
  <si>
    <t>Air heater timer off status</t>
  </si>
  <si>
    <t>ahtoffh</t>
  </si>
  <si>
    <t>01090016</t>
  </si>
  <si>
    <t>htr0ahtoffh</t>
  </si>
  <si>
    <t>Air heater timer off (hour)</t>
  </si>
  <si>
    <t>ahtoffm</t>
  </si>
  <si>
    <t>01090017</t>
  </si>
  <si>
    <t>htr0ahtoffm</t>
  </si>
  <si>
    <t>Air heater timer off (min)</t>
  </si>
  <si>
    <t>ahtonst</t>
  </si>
  <si>
    <t>01090018</t>
  </si>
  <si>
    <t>htr0ahtonst</t>
  </si>
  <si>
    <t>Air heater timer in status</t>
  </si>
  <si>
    <t>ahtonh</t>
  </si>
  <si>
    <t>01090019</t>
  </si>
  <si>
    <t>htr0ahtonh</t>
  </si>
  <si>
    <t>Air heater timer on (hour)</t>
  </si>
  <si>
    <t>ahtonm</t>
  </si>
  <si>
    <t>0109001a</t>
  </si>
  <si>
    <t>htr0ahtonm</t>
  </si>
  <si>
    <t>Air heater timer on (min)</t>
  </si>
  <si>
    <t>wtrtst</t>
  </si>
  <si>
    <t>0109001b</t>
  </si>
  <si>
    <t>htr0wtrtst</t>
  </si>
  <si>
    <t>Water heater timer status</t>
  </si>
  <si>
    <t>wtrtonh</t>
  </si>
  <si>
    <t>0109001c</t>
  </si>
  <si>
    <t>htr0wtrtonh</t>
  </si>
  <si>
    <t>Water heater timer on (hour)</t>
  </si>
  <si>
    <t>wtrtonm</t>
  </si>
  <si>
    <t>0109001d</t>
  </si>
  <si>
    <t>htr0wtrtonm</t>
  </si>
  <si>
    <t>Water heater timer on (min)</t>
  </si>
  <si>
    <t>wtrtket</t>
  </si>
  <si>
    <t>0109001e</t>
  </si>
  <si>
    <t>htr0wtrtket</t>
  </si>
  <si>
    <t>Water heater timer keep on time (min)</t>
  </si>
  <si>
    <t>acst</t>
  </si>
  <si>
    <t>0109001f</t>
  </si>
  <si>
    <t>htr0acst</t>
  </si>
  <si>
    <t>0=Not connected; 1=Connected</t>
  </si>
  <si>
    <t>AC status</t>
  </si>
  <si>
    <t>datey</t>
  </si>
  <si>
    <t>01090020</t>
  </si>
  <si>
    <t>htr0datey</t>
  </si>
  <si>
    <t>Date: Year</t>
  </si>
  <si>
    <t>datem</t>
  </si>
  <si>
    <t>01090021</t>
  </si>
  <si>
    <t>htr0datem</t>
  </si>
  <si>
    <t>Date: Month</t>
  </si>
  <si>
    <t>dated</t>
  </si>
  <si>
    <t>01090022</t>
  </si>
  <si>
    <t>htr0dated</t>
  </si>
  <si>
    <t>Date: Day</t>
  </si>
  <si>
    <t>weekd</t>
  </si>
  <si>
    <t>01090023</t>
  </si>
  <si>
    <t>htr0weekd</t>
  </si>
  <si>
    <t>Day of week</t>
  </si>
  <si>
    <t>timeh</t>
  </si>
  <si>
    <t>01090024</t>
  </si>
  <si>
    <t>htr0timeh</t>
  </si>
  <si>
    <t>Time: Hour</t>
  </si>
  <si>
    <t>timem</t>
  </si>
  <si>
    <t>01090025</t>
  </si>
  <si>
    <t>htr0timem</t>
  </si>
  <si>
    <t>Time: Minute</t>
  </si>
  <si>
    <t>times</t>
  </si>
  <si>
    <t>01090026</t>
  </si>
  <si>
    <t>htr0times</t>
  </si>
  <si>
    <t>Time: Second</t>
  </si>
  <si>
    <t>ttz</t>
  </si>
  <si>
    <t>01090027</t>
  </si>
  <si>
    <t>htr0ttz</t>
  </si>
  <si>
    <t>Timezone</t>
  </si>
  <si>
    <t>acwtrhst</t>
  </si>
  <si>
    <t>01090028</t>
  </si>
  <si>
    <t>htr0acwtrhst</t>
  </si>
  <si>
    <t>AC water heater status</t>
  </si>
  <si>
    <t>gaswtrhst</t>
  </si>
  <si>
    <t>01090029</t>
  </si>
  <si>
    <t>htr0gaswtrhst</t>
  </si>
  <si>
    <t>Gas water heater status</t>
  </si>
  <si>
    <t>wtrts</t>
  </si>
  <si>
    <t>0109002a</t>
  </si>
  <si>
    <t>htr0wtrts</t>
  </si>
  <si>
    <t>Water temperature status</t>
  </si>
  <si>
    <t>rts</t>
  </si>
  <si>
    <t>0109002b</t>
  </si>
  <si>
    <t>htr0rts</t>
  </si>
  <si>
    <t>(-50)…150</t>
  </si>
  <si>
    <t>Room temperature</t>
  </si>
  <si>
    <t>Room temperature status in controller</t>
  </si>
  <si>
    <t>cver</t>
  </si>
  <si>
    <t>0109002c</t>
  </si>
  <si>
    <t>htr0cver</t>
  </si>
  <si>
    <t>Comfort MCU version</t>
  </si>
  <si>
    <t>Comfort MCU version (major, minor=LSB)</t>
  </si>
  <si>
    <t>bver</t>
  </si>
  <si>
    <t>0109002d</t>
  </si>
  <si>
    <t>htr0bver</t>
  </si>
  <si>
    <t>Burner MCU version</t>
  </si>
  <si>
    <t>Burner MCU version (major, minor=LSB)</t>
  </si>
  <si>
    <t>pcba</t>
  </si>
  <si>
    <t>0109002e</t>
  </si>
  <si>
    <t>htr0pcba</t>
  </si>
  <si>
    <t>PCBA version</t>
  </si>
  <si>
    <t>prot</t>
  </si>
  <si>
    <t>0109002f</t>
  </si>
  <si>
    <t>htr0prot</t>
  </si>
  <si>
    <t>Protocol version</t>
  </si>
  <si>
    <t>frg</t>
  </si>
  <si>
    <t>010a0000</t>
  </si>
  <si>
    <t>frg0avl</t>
  </si>
  <si>
    <t>Fridge</t>
  </si>
  <si>
    <t>010a0001</t>
  </si>
  <si>
    <t>frg0md</t>
  </si>
  <si>
    <t>010a0002</t>
  </si>
  <si>
    <t>frg0lvl</t>
  </si>
  <si>
    <t>0...4</t>
  </si>
  <si>
    <t>Level</t>
  </si>
  <si>
    <t>010a0003</t>
  </si>
  <si>
    <t>frg0fhtr</t>
  </si>
  <si>
    <t>0 ; 1</t>
  </si>
  <si>
    <t>Frame heater?</t>
  </si>
  <si>
    <t>drst</t>
  </si>
  <si>
    <t>010a0004</t>
  </si>
  <si>
    <t>frg0drst</t>
  </si>
  <si>
    <t>0=Closed; 1= Opened</t>
  </si>
  <si>
    <t>Door status</t>
  </si>
  <si>
    <t>010a0005</t>
  </si>
  <si>
    <t>frg0errst</t>
  </si>
  <si>
    <t>satkat</t>
  </si>
  <si>
    <t>010b0000</t>
  </si>
  <si>
    <t>satkat0avl</t>
  </si>
  <si>
    <t>Kathrein satellite</t>
  </si>
  <si>
    <t>010b0001</t>
  </si>
  <si>
    <t>satkat0mdl</t>
  </si>
  <si>
    <t>010b0002</t>
  </si>
  <si>
    <t>satkat0sts</t>
  </si>
  <si>
    <t>Status</t>
  </si>
  <si>
    <t>Status, High nybble=status, low nybble=error info</t>
  </si>
  <si>
    <t>cmd</t>
  </si>
  <si>
    <t>010b0003</t>
  </si>
  <si>
    <t>satkat0cmd</t>
  </si>
  <si>
    <t>Command</t>
  </si>
  <si>
    <t>See Kathrein CI-bus satellite system specification</t>
  </si>
  <si>
    <t>lat</t>
  </si>
  <si>
    <t>010b0004</t>
  </si>
  <si>
    <t>satkat0lat</t>
  </si>
  <si>
    <t>^</t>
  </si>
  <si>
    <t>Latitude</t>
  </si>
  <si>
    <t>lon</t>
  </si>
  <si>
    <t>010b0005</t>
  </si>
  <si>
    <t>satkat0lon</t>
  </si>
  <si>
    <t>Longitude</t>
  </si>
  <si>
    <t>opos</t>
  </si>
  <si>
    <t>010b0006</t>
  </si>
  <si>
    <t>satkat0opos</t>
  </si>
  <si>
    <t>Orbital position</t>
  </si>
  <si>
    <t>hd</t>
  </si>
  <si>
    <t>010c0000</t>
  </si>
  <si>
    <t>hd0avl</t>
  </si>
  <si>
    <t>Home Delivery</t>
  </si>
  <si>
    <t>010c0001</t>
  </si>
  <si>
    <t>hd0dsn</t>
  </si>
  <si>
    <t>010c0002</t>
  </si>
  <si>
    <t>hd0sku</t>
  </si>
  <si>
    <t>010c0003</t>
  </si>
  <si>
    <t>hd0pnc</t>
  </si>
  <si>
    <t>fwver</t>
  </si>
  <si>
    <t>010c0004</t>
  </si>
  <si>
    <t>hd0fwver</t>
  </si>
  <si>
    <t>Firmware version</t>
  </si>
  <si>
    <t>010c0005</t>
  </si>
  <si>
    <t>hd0on</t>
  </si>
  <si>
    <t>Power on</t>
  </si>
  <si>
    <t>settemp</t>
  </si>
  <si>
    <t>010c0006</t>
  </si>
  <si>
    <t>hd0settemp</t>
  </si>
  <si>
    <t>2°C .. 20°C</t>
  </si>
  <si>
    <t>Temperature control</t>
  </si>
  <si>
    <t>ofs</t>
  </si>
  <si>
    <t>010c0007</t>
  </si>
  <si>
    <t>hd0ofs</t>
  </si>
  <si>
    <t>-4 .. +4</t>
  </si>
  <si>
    <t>Temperature offset</t>
  </si>
  <si>
    <t>010c0008</t>
  </si>
  <si>
    <t>hd0itemp</t>
  </si>
  <si>
    <t>Temperature inside</t>
  </si>
  <si>
    <t>010c0009</t>
  </si>
  <si>
    <t>hd0otemp</t>
  </si>
  <si>
    <t>Temperature outside</t>
  </si>
  <si>
    <t>mbdoor</t>
  </si>
  <si>
    <t>010c000a</t>
  </si>
  <si>
    <t>hd0mbdoor</t>
  </si>
  <si>
    <t>0=Closed, 1=Open</t>
  </si>
  <si>
    <t>Mailbox Door Open</t>
  </si>
  <si>
    <t>cbdoor</t>
  </si>
  <si>
    <t>010c000b</t>
  </si>
  <si>
    <t>hd0cbdoor</t>
  </si>
  <si>
    <t>Cabinet Door Open</t>
  </si>
  <si>
    <t>mblock</t>
  </si>
  <si>
    <t>010c000c</t>
  </si>
  <si>
    <t>hd0mblock</t>
  </si>
  <si>
    <t>0=Locked, 1=Unlocked</t>
  </si>
  <si>
    <t>Mailbox Lock Open</t>
  </si>
  <si>
    <t>cblock</t>
  </si>
  <si>
    <t>010c000d</t>
  </si>
  <si>
    <t>hd0cblock</t>
  </si>
  <si>
    <t>Cabinet Lock Open</t>
  </si>
  <si>
    <t>010c000e</t>
  </si>
  <si>
    <t>hd0err</t>
  </si>
  <si>
    <t>TODO: A summary of all error codes</t>
  </si>
  <si>
    <t>alrt</t>
  </si>
  <si>
    <t>010c000f</t>
  </si>
  <si>
    <t>hd0alrt</t>
  </si>
  <si>
    <t>TODO: A summary of all alert codes</t>
  </si>
  <si>
    <t>Alert status</t>
  </si>
  <si>
    <t>010c0010</t>
  </si>
  <si>
    <t>hd0ac</t>
  </si>
  <si>
    <t>AC power connected</t>
  </si>
  <si>
    <t>bat</t>
  </si>
  <si>
    <t>010c0011</t>
  </si>
  <si>
    <t>hd0bat</t>
  </si>
  <si>
    <t>Battery connected</t>
  </si>
  <si>
    <t>chrg</t>
  </si>
  <si>
    <t>010c0012</t>
  </si>
  <si>
    <t>hd0chrg</t>
  </si>
  <si>
    <t>Battery charging</t>
  </si>
  <si>
    <t>010c0013</t>
  </si>
  <si>
    <t>hd0ptype</t>
  </si>
  <si>
    <t>compstat</t>
  </si>
  <si>
    <t>010c0014</t>
  </si>
  <si>
    <t>hd0compstat</t>
  </si>
  <si>
    <t>Compressor status</t>
  </si>
  <si>
    <t>Compressor powered on (only for active version)</t>
  </si>
  <si>
    <t>htrstat</t>
  </si>
  <si>
    <t>010c0015</t>
  </si>
  <si>
    <t>hd0htrstat</t>
  </si>
  <si>
    <t>Heater status</t>
  </si>
  <si>
    <t>Heater powered on (only for active version)</t>
  </si>
  <si>
    <t>tempcm</t>
  </si>
  <si>
    <t>010c0016</t>
  </si>
  <si>
    <t>hd0tempcm</t>
  </si>
  <si>
    <t>Temp ctrl mode</t>
  </si>
  <si>
    <t>Temperature Control mode (OFF, COOL, HEAT, AUTO)</t>
  </si>
  <si>
    <t>tcmin</t>
  </si>
  <si>
    <t>010c0017</t>
  </si>
  <si>
    <t>hd0tcmin</t>
  </si>
  <si>
    <t>Temp ctrl min limit</t>
  </si>
  <si>
    <t>tcmax</t>
  </si>
  <si>
    <t>010c0018</t>
  </si>
  <si>
    <t>hd0tcmax</t>
  </si>
  <si>
    <t>Temp ctrl max limit</t>
  </si>
  <si>
    <t>mblocks</t>
  </si>
  <si>
    <t>010c0019</t>
  </si>
  <si>
    <t>hd0mblocks</t>
  </si>
  <si>
    <t>Mailbox Lock Status</t>
  </si>
  <si>
    <t>cblocks</t>
  </si>
  <si>
    <t>010c001a</t>
  </si>
  <si>
    <t>hd0cblocks</t>
  </si>
  <si>
    <t>Cabinet Lock Status</t>
  </si>
  <si>
    <t>batv</t>
  </si>
  <si>
    <t>010c001b</t>
  </si>
  <si>
    <t>hd0batv</t>
  </si>
  <si>
    <t>0…50</t>
  </si>
  <si>
    <t>batprot</t>
  </si>
  <si>
    <t>010c001c</t>
  </si>
  <si>
    <t>hd0batprot</t>
  </si>
  <si>
    <t>Battery protection</t>
  </si>
  <si>
    <t>Low, Med, High</t>
  </si>
  <si>
    <t>settemp2</t>
  </si>
  <si>
    <t>010c001d</t>
  </si>
  <si>
    <t>hd0settemp2</t>
  </si>
  <si>
    <t>10°C .. 70°C</t>
  </si>
  <si>
    <t>Second compartment</t>
  </si>
  <si>
    <t>itemp2</t>
  </si>
  <si>
    <t>010c001e</t>
  </si>
  <si>
    <t>hd0itemp2</t>
  </si>
  <si>
    <t>tempcm2</t>
  </si>
  <si>
    <t>010c001f</t>
  </si>
  <si>
    <t>hd0tempcm2</t>
  </si>
  <si>
    <t>Second compartment. Temperature Control mode (OFF, COOL, HEAT, AUTO)</t>
  </si>
  <si>
    <t>010c0020</t>
  </si>
  <si>
    <t>hd0status</t>
  </si>
  <si>
    <t>batcrr</t>
  </si>
  <si>
    <t>010c0021</t>
  </si>
  <si>
    <t>hd0batcrr</t>
  </si>
  <si>
    <t>Current in mA</t>
  </si>
  <si>
    <t>gb</t>
  </si>
  <si>
    <t>010d0000</t>
  </si>
  <si>
    <t>gb0avl</t>
  </si>
  <si>
    <t>Gas bottle</t>
  </si>
  <si>
    <t>ety</t>
  </si>
  <si>
    <t>010d0001</t>
  </si>
  <si>
    <t>gb0ety</t>
  </si>
  <si>
    <t>1=Empty</t>
  </si>
  <si>
    <t>Empty status</t>
  </si>
  <si>
    <t>__com</t>
  </si>
  <si>
    <t>mdm</t>
  </si>
  <si>
    <t>02000000</t>
  </si>
  <si>
    <t>mdm0avl</t>
  </si>
  <si>
    <t>Modem Network</t>
  </si>
  <si>
    <t>02000001</t>
  </si>
  <si>
    <t>mdm0ver</t>
  </si>
  <si>
    <t>rssi</t>
  </si>
  <si>
    <t>02000002</t>
  </si>
  <si>
    <t>mdm0rssi</t>
  </si>
  <si>
    <t>RSSI</t>
  </si>
  <si>
    <t>imsi</t>
  </si>
  <si>
    <t>02000003</t>
  </si>
  <si>
    <t>mdm0imsi</t>
  </si>
  <si>
    <t>IMSI</t>
  </si>
  <si>
    <t>imei</t>
  </si>
  <si>
    <t>02000004</t>
  </si>
  <si>
    <t>mdm0imei</t>
  </si>
  <si>
    <t>IMEI</t>
  </si>
  <si>
    <t>at</t>
  </si>
  <si>
    <t>02000005</t>
  </si>
  <si>
    <t>mdm0at</t>
  </si>
  <si>
    <t>AT command string</t>
  </si>
  <si>
    <t>wifi</t>
  </si>
  <si>
    <t>02010000</t>
  </si>
  <si>
    <t>wifi0avl</t>
  </si>
  <si>
    <t>WiFi manager</t>
  </si>
  <si>
    <t>scan</t>
  </si>
  <si>
    <t>02010001</t>
  </si>
  <si>
    <t>wifi0scan</t>
  </si>
  <si>
    <t>Scan</t>
  </si>
  <si>
    <t>add</t>
  </si>
  <si>
    <t>02010002</t>
  </si>
  <si>
    <t>wifi0add</t>
  </si>
  <si>
    <t>Instance in WL added</t>
  </si>
  <si>
    <t>Add</t>
  </si>
  <si>
    <t>TODO: Add WiFi network add format</t>
  </si>
  <si>
    <t>02010003</t>
  </si>
  <si>
    <t>wifi0sts</t>
  </si>
  <si>
    <t>cnw</t>
  </si>
  <si>
    <t>02010004</t>
  </si>
  <si>
    <t>wifi0cnw</t>
  </si>
  <si>
    <t>Instance in WL of active network</t>
  </si>
  <si>
    <t>Current network</t>
  </si>
  <si>
    <t>Index into WiFi network whitelist</t>
  </si>
  <si>
    <t>02010005</t>
  </si>
  <si>
    <t>wifi0on</t>
  </si>
  <si>
    <t>Radio on</t>
  </si>
  <si>
    <t>ev</t>
  </si>
  <si>
    <t>02010006</t>
  </si>
  <si>
    <t>wifi0ev</t>
  </si>
  <si>
    <t>Event</t>
  </si>
  <si>
    <t>02010007</t>
  </si>
  <si>
    <t>wifi0md</t>
  </si>
  <si>
    <t>wfwl</t>
  </si>
  <si>
    <t>02020000</t>
  </si>
  <si>
    <t>wfwl0avl</t>
  </si>
  <si>
    <t>WiFi Network White List</t>
  </si>
  <si>
    <t>ssid</t>
  </si>
  <si>
    <t>02020001</t>
  </si>
  <si>
    <t>wfwl0ssid</t>
  </si>
  <si>
    <t>SSID</t>
  </si>
  <si>
    <t>pw</t>
  </si>
  <si>
    <t>02020002</t>
  </si>
  <si>
    <t>wfwl0pw</t>
  </si>
  <si>
    <t>Password</t>
  </si>
  <si>
    <t>del</t>
  </si>
  <si>
    <t>02020003</t>
  </si>
  <si>
    <t>wfwl0del</t>
  </si>
  <si>
    <t>Delete</t>
  </si>
  <si>
    <t>bt</t>
  </si>
  <si>
    <t>02030000</t>
  </si>
  <si>
    <t>bt0avl</t>
  </si>
  <si>
    <t>Bluetooth manager</t>
  </si>
  <si>
    <t>https://onedometic.atlassian.net/wiki/spaces/GC/pages/2705358919/Bluetooth+LE+BT0+BTWL0#BT0---Bluetooth-manager</t>
  </si>
  <si>
    <t>02030001</t>
  </si>
  <si>
    <t>bt0scan</t>
  </si>
  <si>
    <t>addwl</t>
  </si>
  <si>
    <t>02030002</t>
  </si>
  <si>
    <t>bt0addwl</t>
  </si>
  <si>
    <t>Add to whitelist</t>
  </si>
  <si>
    <t>pair</t>
  </si>
  <si>
    <t>02030003</t>
  </si>
  <si>
    <t>bt0pair</t>
  </si>
  <si>
    <t>bt0pair_in</t>
  </si>
  <si>
    <t>bt0pair_out</t>
  </si>
  <si>
    <t>Pair</t>
  </si>
  <si>
    <t>addgap</t>
  </si>
  <si>
    <t>02030004</t>
  </si>
  <si>
    <t>bt0addgap</t>
  </si>
  <si>
    <t>Add to whitelist (GAP only)</t>
  </si>
  <si>
    <t>btwl</t>
  </si>
  <si>
    <t>02040000</t>
  </si>
  <si>
    <t>btwl0avl</t>
  </si>
  <si>
    <t>Bluetooth whitelist</t>
  </si>
  <si>
    <t>https://onedometic.atlassian.net/wiki/spaces/GC/pages/2705358919/Bluetooth+LE+BT0+BTWL0#BTWLx---Bluetooth-whitelist</t>
  </si>
  <si>
    <t>addrtp</t>
  </si>
  <si>
    <t>02040001</t>
  </si>
  <si>
    <t>btwl0addrtp</t>
  </si>
  <si>
    <t>Address type</t>
  </si>
  <si>
    <t>addr</t>
  </si>
  <si>
    <t>02040002</t>
  </si>
  <si>
    <t>btwl0addr</t>
  </si>
  <si>
    <t>Address</t>
  </si>
  <si>
    <t>02040003</t>
  </si>
  <si>
    <t>btwl0del</t>
  </si>
  <si>
    <t>cnct</t>
  </si>
  <si>
    <t>02040004</t>
  </si>
  <si>
    <t>btwl0cnct</t>
  </si>
  <si>
    <t>Connect</t>
  </si>
  <si>
    <t>nodei</t>
  </si>
  <si>
    <t>02040005</t>
  </si>
  <si>
    <t>btwl0nodei</t>
  </si>
  <si>
    <t>BLE node instance</t>
  </si>
  <si>
    <t>sns</t>
  </si>
  <si>
    <t>02040006</t>
  </si>
  <si>
    <t>btwl0sns</t>
  </si>
  <si>
    <t>BLE Sensor types</t>
  </si>
  <si>
    <t>Array of u8</t>
  </si>
  <si>
    <t>snsi</t>
  </si>
  <si>
    <t>02040007</t>
  </si>
  <si>
    <t>btwl0snsi</t>
  </si>
  <si>
    <t>BLE sensor instances</t>
  </si>
  <si>
    <t>dcnct</t>
  </si>
  <si>
    <t>02040008</t>
  </si>
  <si>
    <t>btwl0dcnct</t>
  </si>
  <si>
    <t>Disconnect</t>
  </si>
  <si>
    <t>nodec</t>
  </si>
  <si>
    <t>02040009</t>
  </si>
  <si>
    <t>btwl0nodec</t>
  </si>
  <si>
    <t>BLE node device DDM2 class</t>
  </si>
  <si>
    <t>sms</t>
  </si>
  <si>
    <t>02050000</t>
  </si>
  <si>
    <t>sms0avl</t>
  </si>
  <si>
    <t>SMS</t>
  </si>
  <si>
    <t>num</t>
  </si>
  <si>
    <t>02050001</t>
  </si>
  <si>
    <t>sms0num</t>
  </si>
  <si>
    <t>Phone Number</t>
  </si>
  <si>
    <t>msg</t>
  </si>
  <si>
    <t>02050002</t>
  </si>
  <si>
    <t>sms0msg</t>
  </si>
  <si>
    <t>Text message to send</t>
  </si>
  <si>
    <t>gnss</t>
  </si>
  <si>
    <t>02060000</t>
  </si>
  <si>
    <t>gnss0avl</t>
  </si>
  <si>
    <t>GNSS</t>
  </si>
  <si>
    <t>02060001</t>
  </si>
  <si>
    <t>gnss0lat</t>
  </si>
  <si>
    <t>02060002</t>
  </si>
  <si>
    <t>gnss0lon</t>
  </si>
  <si>
    <t>hdop</t>
  </si>
  <si>
    <t>02060003</t>
  </si>
  <si>
    <t>gnss0hdop</t>
  </si>
  <si>
    <t>HDOP</t>
  </si>
  <si>
    <t>alt</t>
  </si>
  <si>
    <t>02060004</t>
  </si>
  <si>
    <t>gnss0alt</t>
  </si>
  <si>
    <t>Altitude</t>
  </si>
  <si>
    <t>fix</t>
  </si>
  <si>
    <t>02060005</t>
  </si>
  <si>
    <t>gnss0fix</t>
  </si>
  <si>
    <t>Fix</t>
  </si>
  <si>
    <t>cog</t>
  </si>
  <si>
    <t>02060006</t>
  </si>
  <si>
    <t>gnss0cog</t>
  </si>
  <si>
    <t>COG</t>
  </si>
  <si>
    <t>spkn</t>
  </si>
  <si>
    <t>02060007</t>
  </si>
  <si>
    <t>gnss0spkn</t>
  </si>
  <si>
    <t>02060008</t>
  </si>
  <si>
    <t>gnss0date</t>
  </si>
  <si>
    <t>numsat</t>
  </si>
  <si>
    <t>02060009</t>
  </si>
  <si>
    <t>gnss0numsat</t>
  </si>
  <si>
    <t>Number of satellites</t>
  </si>
  <si>
    <t>mqtt</t>
  </si>
  <si>
    <t>02070000</t>
  </si>
  <si>
    <t>mqtt0avl</t>
  </si>
  <si>
    <t>MQTT</t>
  </si>
  <si>
    <t>stat</t>
  </si>
  <si>
    <t>02070001</t>
  </si>
  <si>
    <t>mqtt0stat</t>
  </si>
  <si>
    <t>txkb</t>
  </si>
  <si>
    <t>02070002</t>
  </si>
  <si>
    <t>mqtt0txkb</t>
  </si>
  <si>
    <t>Tx kilobytes</t>
  </si>
  <si>
    <t>udev</t>
  </si>
  <si>
    <t>02080000</t>
  </si>
  <si>
    <t>udev0avl</t>
  </si>
  <si>
    <t>UART device</t>
  </si>
  <si>
    <t>02080001</t>
  </si>
  <si>
    <t>udev0ver</t>
  </si>
  <si>
    <t>snr</t>
  </si>
  <si>
    <t>02080002</t>
  </si>
  <si>
    <t>udev0snr</t>
  </si>
  <si>
    <t>Serial number</t>
  </si>
  <si>
    <t>br</t>
  </si>
  <si>
    <t>02080003</t>
  </si>
  <si>
    <t>udev0br</t>
  </si>
  <si>
    <t>Brand</t>
  </si>
  <si>
    <t>sd</t>
  </si>
  <si>
    <t>02090000</t>
  </si>
  <si>
    <t>sd0avl</t>
  </si>
  <si>
    <t>Service discovery</t>
  </si>
  <si>
    <t>02090001</t>
  </si>
  <si>
    <t>sd0act</t>
  </si>
  <si>
    <t>0=Not active; 1=mDNS active</t>
  </si>
  <si>
    <t>Local service discovery is active</t>
  </si>
  <si>
    <t>Set to true when ssid is given and mDNS service is active</t>
  </si>
  <si>
    <t>list</t>
  </si>
  <si>
    <t>02090002</t>
  </si>
  <si>
    <t>sd0list</t>
  </si>
  <si>
    <t>List of discovered devices</t>
  </si>
  <si>
    <t>Devices separated by semicolon as: &lt;TYPE&gt;uuid;&lt;TYPE&gt;uuid</t>
  </si>
  <si>
    <t>wlist</t>
  </si>
  <si>
    <t>02090003</t>
  </si>
  <si>
    <t>sd0wlist</t>
  </si>
  <si>
    <t>Whitelist of required devices to connect to</t>
  </si>
  <si>
    <t>Devices are auto-connected when discovered</t>
  </si>
  <si>
    <t>02090004</t>
  </si>
  <si>
    <t>sd0ssid</t>
  </si>
  <si>
    <t>SoftAP credentials used for local network</t>
  </si>
  <si>
    <t>Format &lt;SoftAP&gt;\&lt;password&gt;</t>
  </si>
  <si>
    <t>__ctrlpanel</t>
  </si>
  <si>
    <t>cpl</t>
  </si>
  <si>
    <t>03000000</t>
  </si>
  <si>
    <t>cpl0avl</t>
  </si>
  <si>
    <t>Control Panel</t>
  </si>
  <si>
    <t>03000001</t>
  </si>
  <si>
    <t>cpl0ver</t>
  </si>
  <si>
    <t>__minibar</t>
  </si>
  <si>
    <t>mb</t>
  </si>
  <si>
    <t>04000000</t>
  </si>
  <si>
    <t>mb0avl</t>
  </si>
  <si>
    <t>Minibar</t>
  </si>
  <si>
    <t>04000001</t>
  </si>
  <si>
    <t>mb0dsn</t>
  </si>
  <si>
    <t>04000002</t>
  </si>
  <si>
    <t>mb0sku</t>
  </si>
  <si>
    <t>04000003</t>
  </si>
  <si>
    <t>mb0pnc</t>
  </si>
  <si>
    <t>04000004</t>
  </si>
  <si>
    <t>mb0ver</t>
  </si>
  <si>
    <t>Minibar FW version</t>
  </si>
  <si>
    <t>pwron</t>
  </si>
  <si>
    <t>04000005</t>
  </si>
  <si>
    <t>mb0pwron</t>
  </si>
  <si>
    <t>Power control</t>
  </si>
  <si>
    <t>lgton</t>
  </si>
  <si>
    <t>04000006</t>
  </si>
  <si>
    <t>mb0lgton</t>
  </si>
  <si>
    <t>Light control</t>
  </si>
  <si>
    <t>tctrl</t>
  </si>
  <si>
    <t>04000007</t>
  </si>
  <si>
    <t>mb0tctrl</t>
  </si>
  <si>
    <t>1:12℃ level 2:7℃ level, 3:4℃ level</t>
  </si>
  <si>
    <t>Compartment Temperature Setting</t>
  </si>
  <si>
    <t>tstat</t>
  </si>
  <si>
    <t>04000008</t>
  </si>
  <si>
    <t>mb0tstat</t>
  </si>
  <si>
    <t>(-100)…100</t>
  </si>
  <si>
    <t>Measured Compartment Temperature</t>
  </si>
  <si>
    <t>doori</t>
  </si>
  <si>
    <t>04000009</t>
  </si>
  <si>
    <t>mb0doori</t>
  </si>
  <si>
    <t>0=Closed; 1 = Opened</t>
  </si>
  <si>
    <t>Door indication</t>
  </si>
  <si>
    <t>Will be set when door is opened, can only be cleared from Cloud</t>
  </si>
  <si>
    <t>doorst</t>
  </si>
  <si>
    <t>0400000a</t>
  </si>
  <si>
    <t>mb0doorst</t>
  </si>
  <si>
    <t>Current door status</t>
  </si>
  <si>
    <t>silmd</t>
  </si>
  <si>
    <t>0400000b</t>
  </si>
  <si>
    <t>mb0silmd</t>
  </si>
  <si>
    <t xml:space="preserve">0=Normal; 1=Silent </t>
  </si>
  <si>
    <t>tempal</t>
  </si>
  <si>
    <t>0400000c</t>
  </si>
  <si>
    <t>mb0tempal</t>
  </si>
  <si>
    <t>Temperature alarm</t>
  </si>
  <si>
    <t>Outside temperature range</t>
  </si>
  <si>
    <t>dooral</t>
  </si>
  <si>
    <t>0400000d</t>
  </si>
  <si>
    <t>mb0dooral</t>
  </si>
  <si>
    <t>Door alarm</t>
  </si>
  <si>
    <t>Door left open</t>
  </si>
  <si>
    <t>0400000e</t>
  </si>
  <si>
    <t>mb0errst</t>
  </si>
  <si>
    <t>Bit field, 0x3F = 63</t>
  </si>
  <si>
    <t>rcs</t>
  </si>
  <si>
    <t>04010000</t>
  </si>
  <si>
    <t>rcs0avl</t>
  </si>
  <si>
    <t>Refridgerator control service</t>
  </si>
  <si>
    <t>talrm</t>
  </si>
  <si>
    <t>04010001</t>
  </si>
  <si>
    <t>rcs0talrm</t>
  </si>
  <si>
    <t>talt</t>
  </si>
  <si>
    <t>04010002</t>
  </si>
  <si>
    <t>rcs0talt</t>
  </si>
  <si>
    <t>Temperature alarm time</t>
  </si>
  <si>
    <t>Time after alarm is triggered</t>
  </si>
  <si>
    <t>dalrm</t>
  </si>
  <si>
    <t>04010003</t>
  </si>
  <si>
    <t>rcs0dalrm</t>
  </si>
  <si>
    <t>dalt</t>
  </si>
  <si>
    <t>04010004</t>
  </si>
  <si>
    <t>rcs0dalt</t>
  </si>
  <si>
    <t>Door alarm time</t>
  </si>
  <si>
    <t>thioulim</t>
  </si>
  <si>
    <t>04010005</t>
  </si>
  <si>
    <t>rcs0thioulim</t>
  </si>
  <si>
    <t>Temp. high outer limit</t>
  </si>
  <si>
    <t>thiinlim</t>
  </si>
  <si>
    <t>04010006</t>
  </si>
  <si>
    <t>rcs0thiinlim</t>
  </si>
  <si>
    <t>Temp. high inner limit</t>
  </si>
  <si>
    <t>tloinlim</t>
  </si>
  <si>
    <t>04010007</t>
  </si>
  <si>
    <t>rcs0tloinlim</t>
  </si>
  <si>
    <t>Temp. low inner limit</t>
  </si>
  <si>
    <t>tlooulim</t>
  </si>
  <si>
    <t>04010008</t>
  </si>
  <si>
    <t>rcs0tlooulim</t>
  </si>
  <si>
    <t>Temp. low outer limit</t>
  </si>
  <si>
    <t>talt2</t>
  </si>
  <si>
    <t>04010009</t>
  </si>
  <si>
    <t>rcs0talt2</t>
  </si>
  <si>
    <t>Temperature alarm time 2</t>
  </si>
  <si>
    <t xml:space="preserve">Time after alarm is triggered </t>
  </si>
  <si>
    <t>pwrfail</t>
  </si>
  <si>
    <t>0401000a</t>
  </si>
  <si>
    <t>rcs0pwrfail</t>
  </si>
  <si>
    <t>0=Clear ; 1=On</t>
  </si>
  <si>
    <t>Power failure</t>
  </si>
  <si>
    <t>cdfail</t>
  </si>
  <si>
    <t>0401000b</t>
  </si>
  <si>
    <t>rcs0cdfail</t>
  </si>
  <si>
    <t>Cloud failure</t>
  </si>
  <si>
    <t>thh</t>
  </si>
  <si>
    <t>0401000c</t>
  </si>
  <si>
    <t>rcs0thh</t>
  </si>
  <si>
    <t>RCS temperature last hour history</t>
  </si>
  <si>
    <t>int16[6]: 6 x 10mins</t>
  </si>
  <si>
    <t>tdh</t>
  </si>
  <si>
    <t>0401000d</t>
  </si>
  <si>
    <t>rcs0tdh</t>
  </si>
  <si>
    <t>RCS temperature last day history</t>
  </si>
  <si>
    <t>int16[8]: 8 x 1 hour</t>
  </si>
  <si>
    <t>twh</t>
  </si>
  <si>
    <t>0401000e</t>
  </si>
  <si>
    <t>rcs0twh</t>
  </si>
  <si>
    <t>RCS tempertature last week history</t>
  </si>
  <si>
    <t>int16[7]: 7 x 1 day</t>
  </si>
  <si>
    <t>room</t>
  </si>
  <si>
    <t>0401000f</t>
  </si>
  <si>
    <t>rcs0room</t>
  </si>
  <si>
    <t>Room number (as string)</t>
  </si>
  <si>
    <t>nrx</t>
    <phoneticPr fontId="2" type="noConversion"/>
  </si>
  <si>
    <t>avl</t>
    <phoneticPr fontId="2" type="noConversion"/>
  </si>
  <si>
    <t>04020000</t>
  </si>
  <si>
    <t>nrx0avl</t>
  </si>
  <si>
    <t>bool</t>
    <phoneticPr fontId="2" type="noConversion"/>
  </si>
  <si>
    <t>NRX</t>
  </si>
  <si>
    <t>dsn</t>
    <phoneticPr fontId="2" type="noConversion"/>
  </si>
  <si>
    <t>04020001</t>
  </si>
  <si>
    <t>nrx0dsn</t>
  </si>
  <si>
    <t>Dometic Serial Number</t>
    <phoneticPr fontId="2" type="noConversion"/>
  </si>
  <si>
    <t>sku</t>
    <phoneticPr fontId="2" type="noConversion"/>
  </si>
  <si>
    <t>04020002</t>
  </si>
  <si>
    <t>nrx0sku</t>
  </si>
  <si>
    <t>Stock Keeping Unit</t>
    <phoneticPr fontId="2" type="noConversion"/>
  </si>
  <si>
    <t>pnc</t>
    <phoneticPr fontId="2" type="noConversion"/>
  </si>
  <si>
    <t>04020003</t>
  </si>
  <si>
    <t>nrx0pnc</t>
  </si>
  <si>
    <t>Product Numeric Code</t>
    <phoneticPr fontId="2" type="noConversion"/>
  </si>
  <si>
    <t>ver</t>
    <phoneticPr fontId="2" type="noConversion"/>
  </si>
  <si>
    <t>04020004</t>
  </si>
  <si>
    <t>nrx0ver</t>
  </si>
  <si>
    <t>-</t>
    <phoneticPr fontId="2" type="noConversion"/>
  </si>
  <si>
    <t>Firmware Version</t>
    <phoneticPr fontId="2" type="noConversion"/>
  </si>
  <si>
    <t>pwron</t>
    <phoneticPr fontId="2" type="noConversion"/>
  </si>
  <si>
    <t>04020005</t>
  </si>
  <si>
    <t>nrx0pwron</t>
  </si>
  <si>
    <t>0=Off ; 1=On</t>
    <phoneticPr fontId="2" type="noConversion"/>
  </si>
  <si>
    <t>Power Control</t>
    <phoneticPr fontId="2" type="noConversion"/>
  </si>
  <si>
    <t>lgton</t>
    <phoneticPr fontId="2" type="noConversion"/>
  </si>
  <si>
    <t>04020006</t>
  </si>
  <si>
    <t>nrx0lgton</t>
  </si>
  <si>
    <t>int32_t</t>
    <phoneticPr fontId="2" type="noConversion"/>
  </si>
  <si>
    <t>mode</t>
    <phoneticPr fontId="2" type="noConversion"/>
  </si>
  <si>
    <t>04020007</t>
  </si>
  <si>
    <t>nrx0mode</t>
  </si>
  <si>
    <t>enum</t>
    <phoneticPr fontId="2" type="noConversion"/>
  </si>
  <si>
    <t>Mode Setting</t>
    <phoneticPr fontId="2" type="noConversion"/>
  </si>
  <si>
    <t>04020008</t>
  </si>
  <si>
    <t>nrx0lvl</t>
  </si>
  <si>
    <t>nrx0level</t>
  </si>
  <si>
    <t>Temperature Level Setting</t>
    <phoneticPr fontId="2" type="noConversion"/>
  </si>
  <si>
    <t>temp</t>
    <phoneticPr fontId="2" type="noConversion"/>
  </si>
  <si>
    <t>04020009</t>
  </si>
  <si>
    <t>nrx0temp</t>
  </si>
  <si>
    <t>(-100)…100</t>
    <phoneticPr fontId="2" type="noConversion"/>
  </si>
  <si>
    <t>Measured Compartment Internal Temperature</t>
    <phoneticPr fontId="2" type="noConversion"/>
  </si>
  <si>
    <t>doorstat</t>
    <phoneticPr fontId="2" type="noConversion"/>
  </si>
  <si>
    <t>0402000a</t>
  </si>
  <si>
    <t>nrx0doorstat</t>
  </si>
  <si>
    <t>Current Door Status</t>
    <phoneticPr fontId="2" type="noConversion"/>
  </si>
  <si>
    <t>compstat</t>
    <phoneticPr fontId="2" type="noConversion"/>
  </si>
  <si>
    <t>0402000b</t>
  </si>
  <si>
    <t>nrx0compstat</t>
  </si>
  <si>
    <t>Compressor Running Status</t>
    <phoneticPr fontId="2" type="noConversion"/>
  </si>
  <si>
    <t>fanstat</t>
    <phoneticPr fontId="2" type="noConversion"/>
  </si>
  <si>
    <t>0402000c</t>
  </si>
  <si>
    <t>nrx0fanstat</t>
  </si>
  <si>
    <t>FAN Running Speed</t>
    <phoneticPr fontId="2" type="noConversion"/>
  </si>
  <si>
    <t>ionstat</t>
    <phoneticPr fontId="2" type="noConversion"/>
  </si>
  <si>
    <t>0402000d</t>
  </si>
  <si>
    <t>nrx0ionstat</t>
  </si>
  <si>
    <t>Ionizer Module Running Speed</t>
    <phoneticPr fontId="2" type="noConversion"/>
  </si>
  <si>
    <t>lacstat</t>
    <phoneticPr fontId="2" type="noConversion"/>
  </si>
  <si>
    <t>0402000e</t>
  </si>
  <si>
    <t>nrx0lacstat</t>
  </si>
  <si>
    <t>LAC Heater Running Status</t>
    <phoneticPr fontId="2" type="noConversion"/>
  </si>
  <si>
    <t>TODO: A summary of all error codes</t>
    <phoneticPr fontId="2" type="noConversion"/>
  </si>
  <si>
    <t>errst</t>
    <phoneticPr fontId="2" type="noConversion"/>
  </si>
  <si>
    <t>0402000f</t>
  </si>
  <si>
    <t>nrx0errst</t>
  </si>
  <si>
    <t>Error Status</t>
    <phoneticPr fontId="2" type="noConversion"/>
  </si>
  <si>
    <t>__thermo</t>
  </si>
  <si>
    <t>th</t>
  </si>
  <si>
    <t>05000000</t>
  </si>
  <si>
    <t>th0avl</t>
  </si>
  <si>
    <t>Thermostat</t>
  </si>
  <si>
    <t>05000001</t>
  </si>
  <si>
    <t>th0itemp</t>
  </si>
  <si>
    <t>but0</t>
  </si>
  <si>
    <t>05000002</t>
  </si>
  <si>
    <t>th0but0</t>
  </si>
  <si>
    <t>0=Released ; 1=Pressed</t>
  </si>
  <si>
    <t>Button</t>
  </si>
  <si>
    <t>but1</t>
  </si>
  <si>
    <t>05000003</t>
  </si>
  <si>
    <t>th0but1</t>
  </si>
  <si>
    <t>but2</t>
  </si>
  <si>
    <t>05000004</t>
  </si>
  <si>
    <t>th0but2</t>
  </si>
  <si>
    <t>wup</t>
  </si>
  <si>
    <t>05000005</t>
  </si>
  <si>
    <t>th0wup</t>
  </si>
  <si>
    <t>1=Wakeup</t>
  </si>
  <si>
    <t>Wakeup</t>
  </si>
  <si>
    <t>fav</t>
  </si>
  <si>
    <t>05000006</t>
  </si>
  <si>
    <t>th0fav</t>
  </si>
  <si>
    <t>Favourite</t>
  </si>
  <si>
    <t>lto</t>
  </si>
  <si>
    <t>05000007</t>
  </si>
  <si>
    <t>th0lto</t>
  </si>
  <si>
    <t>Long timeout in seconds</t>
  </si>
  <si>
    <t>sto</t>
  </si>
  <si>
    <t>05000008</t>
  </si>
  <si>
    <t>th0sto</t>
  </si>
  <si>
    <t>Short timeout in seconds</t>
  </si>
  <si>
    <t>ver1</t>
  </si>
  <si>
    <t>05000009</t>
  </si>
  <si>
    <t>th0ver1</t>
  </si>
  <si>
    <t>Version 1</t>
  </si>
  <si>
    <t>Version for HMI (STM32), major:minor 2 bytes where minor=LSB</t>
  </si>
  <si>
    <t>ver2</t>
  </si>
  <si>
    <t>0500000a</t>
  </si>
  <si>
    <t>th0ver2</t>
  </si>
  <si>
    <t>Version 2</t>
  </si>
  <si>
    <t>Version for HMI (ESP32), major:minor 2 bytes where minor=LSB</t>
  </si>
  <si>
    <t>__invent</t>
  </si>
  <si>
    <t>iv</t>
  </si>
  <si>
    <t>06000000</t>
  </si>
  <si>
    <t>iv0avl</t>
  </si>
  <si>
    <t>Inventilate</t>
  </si>
  <si>
    <t>mode</t>
  </si>
  <si>
    <t>06000001</t>
  </si>
  <si>
    <t>iv0mode</t>
  </si>
  <si>
    <t>Inventilate Mode</t>
  </si>
  <si>
    <t>The operating mode of inventilate(0,1,2,3), The user can select the mode depending upon their needs.</t>
  </si>
  <si>
    <t>06000002</t>
  </si>
  <si>
    <t>iv0pwron</t>
  </si>
  <si>
    <t>Inventilate Power Mode</t>
  </si>
  <si>
    <t>To power On and power off the inventilate device</t>
  </si>
  <si>
    <t>filst</t>
  </si>
  <si>
    <t>06000003</t>
  </si>
  <si>
    <t>iv0filst</t>
  </si>
  <si>
    <t>Inventilate Filter Status</t>
  </si>
  <si>
    <t>Indicate the current filter status</t>
  </si>
  <si>
    <t>storage</t>
  </si>
  <si>
    <t>06000004</t>
  </si>
  <si>
    <t>iv0storage</t>
  </si>
  <si>
    <t>Inventilate Storage Mode</t>
  </si>
  <si>
    <t>Storage mode selection by the user</t>
  </si>
  <si>
    <t>06000005</t>
  </si>
  <si>
    <t>iv0errst</t>
  </si>
  <si>
    <t>Inventilate Error status</t>
  </si>
  <si>
    <t>warn</t>
  </si>
  <si>
    <t>06000006</t>
  </si>
  <si>
    <t>iv0warn</t>
  </si>
  <si>
    <t>Inventilate System Warning</t>
  </si>
  <si>
    <t>Notifies the inventilate system warning</t>
  </si>
  <si>
    <t>pwrsrc</t>
  </si>
  <si>
    <t>06000007</t>
  </si>
  <si>
    <t>iv0pwrsrc</t>
  </si>
  <si>
    <t>Inventilate Power Source</t>
  </si>
  <si>
    <t>Indicate the source of power used by the inventilate system</t>
  </si>
  <si>
    <t>aqst</t>
  </si>
  <si>
    <t>06000008</t>
  </si>
  <si>
    <t>iv0aqst</t>
  </si>
  <si>
    <t>Air Quality Status</t>
  </si>
  <si>
    <t xml:space="preserve">Indicate the air quality status inside the RV </t>
  </si>
  <si>
    <t>prst</t>
  </si>
  <si>
    <t>06000009</t>
  </si>
  <si>
    <t>iv0prst</t>
  </si>
  <si>
    <t>Pressure Status</t>
  </si>
  <si>
    <t xml:space="preserve">Indicate the pressure status inside the RV </t>
  </si>
  <si>
    <t>blreq</t>
  </si>
  <si>
    <t>0600000a</t>
  </si>
  <si>
    <t>iv0blreq</t>
  </si>
  <si>
    <t>BLE Req</t>
  </si>
  <si>
    <t>Used to trigger the BLE pairing request from Onboard HMI</t>
  </si>
  <si>
    <t>ionst</t>
  </si>
  <si>
    <t>0600000b</t>
  </si>
  <si>
    <t>iv0ionst</t>
  </si>
  <si>
    <t>Inventilate Ionizer Status</t>
  </si>
  <si>
    <t>Indicate the power status of Ionizer</t>
  </si>
  <si>
    <t>hmitst</t>
  </si>
  <si>
    <t>0600000c</t>
  </si>
  <si>
    <t>iv0hmitst</t>
  </si>
  <si>
    <t>0-100</t>
  </si>
  <si>
    <t>HMI Test</t>
  </si>
  <si>
    <t>To adjust the intensity of HMI backight</t>
  </si>
  <si>
    <t>ivpmgr</t>
  </si>
  <si>
    <t>06010000</t>
  </si>
  <si>
    <t>ivpmgr0avl</t>
  </si>
  <si>
    <t>Inventilate Power Manager</t>
  </si>
  <si>
    <t>state</t>
  </si>
  <si>
    <t>06010001</t>
  </si>
  <si>
    <t>ivpmgr0state</t>
  </si>
  <si>
    <t>Inventilate Power State</t>
  </si>
  <si>
    <t>Power state of the Inventilate device</t>
  </si>
  <si>
    <t>ivaqr</t>
  </si>
  <si>
    <t>06020000</t>
  </si>
  <si>
    <t>ivaqr0avl</t>
  </si>
  <si>
    <t>Inventilate IAQ Range</t>
  </si>
  <si>
    <t>06020001</t>
  </si>
  <si>
    <t>ivaqr0min</t>
  </si>
  <si>
    <t>0 - 500</t>
  </si>
  <si>
    <t>Min Range</t>
  </si>
  <si>
    <t>IAQ max range for different level (Good, Bad, Worse)</t>
  </si>
  <si>
    <t>max</t>
  </si>
  <si>
    <t>06020002</t>
  </si>
  <si>
    <t>ivaqr0max</t>
  </si>
  <si>
    <t>Max Range</t>
  </si>
  <si>
    <t>IAQ min range for different level (Good, Bad, Worse)</t>
  </si>
  <si>
    <t>iveol</t>
  </si>
  <si>
    <t>06030000</t>
  </si>
  <si>
    <t>iveol0avl</t>
  </si>
  <si>
    <t>Inventilate EOL</t>
  </si>
  <si>
    <t>req</t>
  </si>
  <si>
    <t>06030001</t>
  </si>
  <si>
    <t>iveol0req</t>
  </si>
  <si>
    <t>Inventilate EOL Request</t>
  </si>
  <si>
    <t>resp</t>
  </si>
  <si>
    <t>06030002</t>
  </si>
  <si>
    <t>iveol0resp</t>
  </si>
  <si>
    <t>Inventilate EOL Response</t>
  </si>
  <si>
    <t>__climate</t>
  </si>
  <si>
    <t>cz</t>
  </si>
  <si>
    <t>07000000</t>
  </si>
  <si>
    <t>cz0avl</t>
  </si>
  <si>
    <t>Thermostat RV-C (Climate zone)</t>
  </si>
  <si>
    <t>07000001</t>
  </si>
  <si>
    <t>cz0name</t>
  </si>
  <si>
    <t>zone's name (eg living room, master bedroom, etc,) and can be supplied by user</t>
  </si>
  <si>
    <t>omd</t>
  </si>
  <si>
    <t>07000002</t>
  </si>
  <si>
    <t>cz0omd</t>
  </si>
  <si>
    <t>ts0omd</t>
  </si>
  <si>
    <t>operating mode</t>
  </si>
  <si>
    <t>Operating mode (1,0-3)</t>
  </si>
  <si>
    <t>fmode</t>
  </si>
  <si>
    <t>07000003</t>
  </si>
  <si>
    <t>cz0fmode</t>
  </si>
  <si>
    <t>0=Auto, 1=On</t>
  </si>
  <si>
    <t>fan mode</t>
  </si>
  <si>
    <t>Fan Mode (1,4-5)</t>
  </si>
  <si>
    <t>smode</t>
  </si>
  <si>
    <t>07000004</t>
  </si>
  <si>
    <t>cz0smode</t>
  </si>
  <si>
    <t>schedule mode</t>
  </si>
  <si>
    <t>07000005</t>
  </si>
  <si>
    <t>cz0fspd</t>
  </si>
  <si>
    <t>0-100%, 0 auto fan speed</t>
  </si>
  <si>
    <t>fan speed</t>
  </si>
  <si>
    <t>Fan Speed (2)</t>
  </si>
  <si>
    <t>hset</t>
  </si>
  <si>
    <t>07000006</t>
  </si>
  <si>
    <t>cz0hset</t>
  </si>
  <si>
    <t>valid in heat and auto modes</t>
  </si>
  <si>
    <t>heat setpoint</t>
  </si>
  <si>
    <t>Heat setpoint (3-4)</t>
  </si>
  <si>
    <t>cset</t>
  </si>
  <si>
    <t>07000007</t>
  </si>
  <si>
    <t>cz0cset</t>
  </si>
  <si>
    <t>valid in cool, auto, and fan only modes</t>
  </si>
  <si>
    <t>cool setpoint</t>
  </si>
  <si>
    <t>Cool setpoint (5-6)</t>
  </si>
  <si>
    <t>csch</t>
  </si>
  <si>
    <t>07000008</t>
  </si>
  <si>
    <t>cz0csch</t>
  </si>
  <si>
    <t>current schedule</t>
  </si>
  <si>
    <t>Current schedule instance, (In RV-C, 0=Sleep, 1=Wake, 2=Away, 3=Return)</t>
  </si>
  <si>
    <t>nsch</t>
  </si>
  <si>
    <t>07000009</t>
  </si>
  <si>
    <t>cz0nsch</t>
  </si>
  <si>
    <t>nbr of schedule instances</t>
  </si>
  <si>
    <t>Number of schedule instances (not used right now)</t>
  </si>
  <si>
    <t>0700000a</t>
  </si>
  <si>
    <t>cz0itemp</t>
  </si>
  <si>
    <t>inside temp</t>
  </si>
  <si>
    <t>awayihs</t>
  </si>
  <si>
    <t>0700000b</t>
  </si>
  <si>
    <t>cz0awayihs</t>
  </si>
  <si>
    <t>away int heat setp</t>
  </si>
  <si>
    <t>interval heat set-point</t>
  </si>
  <si>
    <t>awayics</t>
  </si>
  <si>
    <t>0700000c</t>
  </si>
  <si>
    <t>cz0awayics</t>
  </si>
  <si>
    <t>away int cool setp</t>
  </si>
  <si>
    <t>interval cool set-point</t>
  </si>
  <si>
    <t>0x1FFE2/0x1FEF9</t>
  </si>
  <si>
    <t>sleeptimeh</t>
  </si>
  <si>
    <t>0700000d</t>
  </si>
  <si>
    <t>cz0sleeptimeh</t>
  </si>
  <si>
    <t>sleep start hour</t>
  </si>
  <si>
    <t>interval start hour</t>
  </si>
  <si>
    <t>sleeptimem</t>
  </si>
  <si>
    <t>0700000e</t>
  </si>
  <si>
    <t>cz0sleeptimem</t>
  </si>
  <si>
    <t>sleep start min</t>
  </si>
  <si>
    <t>interval start minutes</t>
  </si>
  <si>
    <t>sleepihs</t>
  </si>
  <si>
    <t>0700000f</t>
  </si>
  <si>
    <t>cz0sleepihs</t>
  </si>
  <si>
    <t>sleep heat setp</t>
  </si>
  <si>
    <t>sleepics</t>
  </si>
  <si>
    <t>07000010</t>
  </si>
  <si>
    <t>cz0sleepics</t>
  </si>
  <si>
    <t>sleep cool setp</t>
  </si>
  <si>
    <t>awaketimeh</t>
  </si>
  <si>
    <t>07000011</t>
  </si>
  <si>
    <t>cz0awaketimeh</t>
  </si>
  <si>
    <t>wake start hour</t>
  </si>
  <si>
    <t>awaketimem</t>
  </si>
  <si>
    <t>07000012</t>
  </si>
  <si>
    <t>cz0awaketimem</t>
  </si>
  <si>
    <t>wake start min</t>
  </si>
  <si>
    <t>0x1FEFA/0x1FEF8</t>
  </si>
  <si>
    <t>awakeihs</t>
  </si>
  <si>
    <t>07000013</t>
  </si>
  <si>
    <t>cz0awakeihs</t>
  </si>
  <si>
    <t>wake heat setp</t>
  </si>
  <si>
    <t>awakeics</t>
  </si>
  <si>
    <t>07000014</t>
  </si>
  <si>
    <t>cz0awakeics</t>
  </si>
  <si>
    <t>wake cool setp</t>
  </si>
  <si>
    <t>0x1FF9C</t>
  </si>
  <si>
    <t>ags</t>
  </si>
  <si>
    <t>07000015</t>
  </si>
  <si>
    <t>cz0ags</t>
  </si>
  <si>
    <t>0=off; 1=Enabled</t>
  </si>
  <si>
    <t>Climate AGS is enabled</t>
  </si>
  <si>
    <t>0x1FEF7</t>
  </si>
  <si>
    <t>07000016</t>
  </si>
  <si>
    <t>cz0on</t>
  </si>
  <si>
    <t>0=Off; 1=On</t>
  </si>
  <si>
    <t>power on</t>
  </si>
  <si>
    <t>hmd</t>
  </si>
  <si>
    <t>07000017</t>
  </si>
  <si>
    <t>cz0hmd</t>
  </si>
  <si>
    <t>Heating mode</t>
  </si>
  <si>
    <t>maxfan</t>
  </si>
  <si>
    <t>07000018</t>
  </si>
  <si>
    <t>cz0maxfan</t>
  </si>
  <si>
    <t>Max fan speed (auto)</t>
  </si>
  <si>
    <t>minfan</t>
  </si>
  <si>
    <t>07000019</t>
  </si>
  <si>
    <t>cz0minfan</t>
  </si>
  <si>
    <t>Min fan speed (auto)</t>
  </si>
  <si>
    <t>0700001a</t>
  </si>
  <si>
    <t>cz0th</t>
  </si>
  <si>
    <t>target humidity</t>
  </si>
  <si>
    <t>mop</t>
  </si>
  <si>
    <t>0700001b</t>
  </si>
  <si>
    <t>cz0mop</t>
  </si>
  <si>
    <t>Max output protection</t>
  </si>
  <si>
    <t>moqm</t>
  </si>
  <si>
    <t>0700001c</t>
  </si>
  <si>
    <t>cz0moqm</t>
  </si>
  <si>
    <t>Max output QM</t>
  </si>
  <si>
    <t>rah</t>
  </si>
  <si>
    <t>0700001d</t>
  </si>
  <si>
    <t>cz0rah</t>
  </si>
  <si>
    <t>room air humidity</t>
  </si>
  <si>
    <t>zbinst</t>
  </si>
  <si>
    <t>0700001e</t>
  </si>
  <si>
    <t>cz0zbinst</t>
  </si>
  <si>
    <t>Zone bus instance</t>
  </si>
  <si>
    <t>RV-C (bus) instance number</t>
  </si>
  <si>
    <t>zdel</t>
  </si>
  <si>
    <t>0700001f</t>
  </si>
  <si>
    <t>cz0zdel</t>
  </si>
  <si>
    <t>Zone delete</t>
  </si>
  <si>
    <t>PROP_TM510_COMMAND (op 0x11)</t>
  </si>
  <si>
    <t>ftdiff</t>
  </si>
  <si>
    <t>07000020</t>
  </si>
  <si>
    <t>cz0ftdiff</t>
  </si>
  <si>
    <t>Furnace Temp Diff</t>
  </si>
  <si>
    <t>hprio</t>
  </si>
  <si>
    <t>07000021</t>
  </si>
  <si>
    <t>cz0hprio</t>
  </si>
  <si>
    <t>Heat source Priority</t>
  </si>
  <si>
    <t>filind</t>
  </si>
  <si>
    <t>07000022</t>
  </si>
  <si>
    <t>cz0filind</t>
  </si>
  <si>
    <t>Filter Indication</t>
  </si>
  <si>
    <t>rac</t>
  </si>
  <si>
    <t>07010000</t>
  </si>
  <si>
    <t>rac0avl</t>
  </si>
  <si>
    <t>RV-C AC</t>
  </si>
  <si>
    <t>07010001</t>
  </si>
  <si>
    <t>rac0cz</t>
  </si>
  <si>
    <t>climate zone id</t>
  </si>
  <si>
    <t>Climate zone id</t>
  </si>
  <si>
    <t>ms</t>
  </si>
  <si>
    <t>07010002</t>
  </si>
  <si>
    <t>rac0ms</t>
  </si>
  <si>
    <t>modeState</t>
  </si>
  <si>
    <t>mode state</t>
  </si>
  <si>
    <t>State the mode is in</t>
  </si>
  <si>
    <t>hp</t>
  </si>
  <si>
    <t>07020000</t>
  </si>
  <si>
    <t>hp0avl</t>
  </si>
  <si>
    <t>Heat Pump</t>
  </si>
  <si>
    <t>07020001</t>
  </si>
  <si>
    <t>hp0cz</t>
  </si>
  <si>
    <t>07020002</t>
  </si>
  <si>
    <t>hp0ms</t>
  </si>
  <si>
    <t>fu</t>
  </si>
  <si>
    <t>07030000</t>
  </si>
  <si>
    <t>fu0avl</t>
  </si>
  <si>
    <t>Furnace</t>
  </si>
  <si>
    <t>07030001</t>
  </si>
  <si>
    <t>fu0cz</t>
  </si>
  <si>
    <t>07030002</t>
  </si>
  <si>
    <t>fu0ms</t>
  </si>
  <si>
    <t>czm</t>
  </si>
  <si>
    <t>07040000</t>
  </si>
  <si>
    <t>czm0avl</t>
  </si>
  <si>
    <t>Climate Zone Manager</t>
  </si>
  <si>
    <t>07040001</t>
  </si>
  <si>
    <t>czm0add</t>
  </si>
  <si>
    <t>Instance of zone added</t>
  </si>
  <si>
    <t>csm</t>
  </si>
  <si>
    <t>07050000</t>
  </si>
  <si>
    <t>csm0avl</t>
  </si>
  <si>
    <t>Climate Schedule Manager</t>
  </si>
  <si>
    <t>07050001</t>
  </si>
  <si>
    <t>csm0add</t>
  </si>
  <si>
    <t>Instance of schedule added</t>
  </si>
  <si>
    <t>czs</t>
  </si>
  <si>
    <t>07060000</t>
  </si>
  <si>
    <t>czs0avl</t>
  </si>
  <si>
    <t>Climate Zone Schedule</t>
  </si>
  <si>
    <t>su</t>
  </si>
  <si>
    <t>07060001</t>
  </si>
  <si>
    <t>czs0su</t>
  </si>
  <si>
    <t>Sunday</t>
  </si>
  <si>
    <t>mo</t>
  </si>
  <si>
    <t>07060002</t>
  </si>
  <si>
    <t>czs0mo</t>
  </si>
  <si>
    <t>Monday</t>
  </si>
  <si>
    <t>tu</t>
  </si>
  <si>
    <t>07060003</t>
  </si>
  <si>
    <t>czs0tu</t>
  </si>
  <si>
    <t>Tuesday</t>
  </si>
  <si>
    <t>we</t>
  </si>
  <si>
    <t>07060004</t>
  </si>
  <si>
    <t>czs0we</t>
  </si>
  <si>
    <t>Wednesday</t>
  </si>
  <si>
    <t>07060005</t>
  </si>
  <si>
    <t>czs0th</t>
  </si>
  <si>
    <t>Thursday</t>
  </si>
  <si>
    <t>fr</t>
  </si>
  <si>
    <t>07060006</t>
  </si>
  <si>
    <t>czs0fr</t>
  </si>
  <si>
    <t>Friday</t>
  </si>
  <si>
    <t>sa</t>
  </si>
  <si>
    <t>07060007</t>
  </si>
  <si>
    <t>czs0sa</t>
  </si>
  <si>
    <t>Saturday</t>
  </si>
  <si>
    <t>stah</t>
  </si>
  <si>
    <t>07060008</t>
  </si>
  <si>
    <t>czs0stah</t>
  </si>
  <si>
    <t>Start hour</t>
  </si>
  <si>
    <t>stam</t>
  </si>
  <si>
    <t>07060009</t>
  </si>
  <si>
    <t>czs0stam</t>
  </si>
  <si>
    <t>Start minute</t>
  </si>
  <si>
    <t>stoh</t>
  </si>
  <si>
    <t>0706000a</t>
  </si>
  <si>
    <t>czs0stoh</t>
  </si>
  <si>
    <t>Stop hour</t>
  </si>
  <si>
    <t>stom</t>
  </si>
  <si>
    <t>0706000b</t>
  </si>
  <si>
    <t>czs0stom</t>
  </si>
  <si>
    <t>Stop min</t>
  </si>
  <si>
    <t>0706000c</t>
  </si>
  <si>
    <t>czs0omd</t>
  </si>
  <si>
    <t>Operating mode</t>
  </si>
  <si>
    <t>0706000d</t>
  </si>
  <si>
    <t>czs0hset</t>
  </si>
  <si>
    <t>0706000e</t>
  </si>
  <si>
    <t>czs0cset</t>
  </si>
  <si>
    <t>thum</t>
  </si>
  <si>
    <t>0706000f</t>
  </si>
  <si>
    <t>czs0thum</t>
  </si>
  <si>
    <t>sdel</t>
  </si>
  <si>
    <t>07060010</t>
  </si>
  <si>
    <t>czs0sdel</t>
  </si>
  <si>
    <t>Schedule delete</t>
  </si>
  <si>
    <t>en</t>
  </si>
  <si>
    <t>07060011</t>
  </si>
  <si>
    <t>czs0en</t>
  </si>
  <si>
    <t>Scheduler enable</t>
  </si>
  <si>
    <t>cc</t>
  </si>
  <si>
    <t>07070000</t>
  </si>
  <si>
    <t>cc0avl</t>
  </si>
  <si>
    <t>Climate Control</t>
  </si>
  <si>
    <t>07070001</t>
  </si>
  <si>
    <t>cc0name</t>
  </si>
  <si>
    <t>Name identifier</t>
  </si>
  <si>
    <t>Human readable string</t>
  </si>
  <si>
    <t>07070002</t>
  </si>
  <si>
    <t>cc0add</t>
  </si>
  <si>
    <t>Instance of added roomzone</t>
  </si>
  <si>
    <t>07070003</t>
  </si>
  <si>
    <t>cc0del</t>
  </si>
  <si>
    <t>07070004</t>
  </si>
  <si>
    <t>cc0act</t>
  </si>
  <si>
    <t>Active</t>
  </si>
  <si>
    <t>devices</t>
  </si>
  <si>
    <t>07070005</t>
  </si>
  <si>
    <t>cc0devices</t>
  </si>
  <si>
    <t>07070006</t>
  </si>
  <si>
    <t>cc0settemp</t>
  </si>
  <si>
    <t>sethumid</t>
  </si>
  <si>
    <t>07070007</t>
  </si>
  <si>
    <t>cc0sethumid</t>
  </si>
  <si>
    <t>Target humidity</t>
  </si>
  <si>
    <t>07070008</t>
  </si>
  <si>
    <t>cc0sts</t>
  </si>
  <si>
    <t>Status of zone</t>
  </si>
  <si>
    <t>Output, bitfield</t>
  </si>
  <si>
    <t>pcy</t>
  </si>
  <si>
    <t>07070009</t>
  </si>
  <si>
    <t>cc0pcy</t>
  </si>
  <si>
    <t>Policy of zone</t>
  </si>
  <si>
    <t>0707000a</t>
  </si>
  <si>
    <t>cc0temp</t>
  </si>
  <si>
    <t>Current temperature</t>
  </si>
  <si>
    <t>voc</t>
  </si>
  <si>
    <t>0707000b</t>
  </si>
  <si>
    <t>cc0voc</t>
  </si>
  <si>
    <t>ppm</t>
  </si>
  <si>
    <t>Current air quality index</t>
  </si>
  <si>
    <t>humid</t>
  </si>
  <si>
    <t>0707000c</t>
  </si>
  <si>
    <t>cc0humid</t>
  </si>
  <si>
    <t>Current humidity</t>
  </si>
  <si>
    <t>deltap</t>
  </si>
  <si>
    <t>0707000d</t>
  </si>
  <si>
    <t>cc0deltap</t>
  </si>
  <si>
    <t>Pa</t>
  </si>
  <si>
    <t>Current delta pressure</t>
  </si>
  <si>
    <t>ccs</t>
  </si>
  <si>
    <t>07080000</t>
  </si>
  <si>
    <t>ccs0avl</t>
  </si>
  <si>
    <t>Climate control schedule</t>
  </si>
  <si>
    <t>07080001</t>
  </si>
  <si>
    <t>ccs0add</t>
  </si>
  <si>
    <t>Add a new schedule rule/action</t>
  </si>
  <si>
    <t>Returns list index of added rule</t>
  </si>
  <si>
    <t>07080002</t>
  </si>
  <si>
    <t>ccs0del</t>
  </si>
  <si>
    <t>Delete a schedule</t>
  </si>
  <si>
    <t>Input is list index. Returns true of false if command was successful</t>
  </si>
  <si>
    <t>07080003</t>
  </si>
  <si>
    <t>ccs0list</t>
  </si>
  <si>
    <t>List all scheduled rules/actions</t>
  </si>
  <si>
    <t>__mechanical</t>
  </si>
  <si>
    <t>rfan</t>
  </si>
  <si>
    <t>08000000</t>
  </si>
  <si>
    <t>rfan0avl</t>
  </si>
  <si>
    <t>Roof fan</t>
  </si>
  <si>
    <t>syst</t>
  </si>
  <si>
    <t>08000001</t>
  </si>
  <si>
    <t>rfan0syst</t>
  </si>
  <si>
    <t>system status</t>
  </si>
  <si>
    <t>System Status (status &amp; command)</t>
  </si>
  <si>
    <t>fm</t>
  </si>
  <si>
    <t>08000002</t>
  </si>
  <si>
    <t>rfan0fm</t>
  </si>
  <si>
    <t>Fan Mode (status &amp; command)</t>
  </si>
  <si>
    <t>spdmd</t>
  </si>
  <si>
    <t>08000003</t>
  </si>
  <si>
    <t>rfan0spdmd</t>
  </si>
  <si>
    <t>speed mode</t>
  </si>
  <si>
    <t>Speed Mode (status &amp; command)</t>
  </si>
  <si>
    <t>light</t>
  </si>
  <si>
    <t>08000004</t>
  </si>
  <si>
    <t>rfan0light</t>
  </si>
  <si>
    <t>0 - off; 1 - on</t>
  </si>
  <si>
    <t>Light (status &amp; command)</t>
  </si>
  <si>
    <t>fspdset</t>
  </si>
  <si>
    <t>08000005</t>
  </si>
  <si>
    <t>rfan0fspdset</t>
  </si>
  <si>
    <t>0…125</t>
  </si>
  <si>
    <t>fan speed setting</t>
  </si>
  <si>
    <t>Fan Speed Setting (status &amp; command)</t>
  </si>
  <si>
    <t>winddrsw</t>
  </si>
  <si>
    <t>08000006</t>
  </si>
  <si>
    <t>rfan0winddrsw</t>
  </si>
  <si>
    <t>wind dir switch</t>
  </si>
  <si>
    <t>Wind Direction Switch (status &amp; command)</t>
  </si>
  <si>
    <t>domepos</t>
  </si>
  <si>
    <t>08000007</t>
  </si>
  <si>
    <t>rfan0domepos</t>
  </si>
  <si>
    <t>dome position</t>
  </si>
  <si>
    <t>Dome Position (status &amp; command)</t>
  </si>
  <si>
    <t>rainsns</t>
  </si>
  <si>
    <t>08000008</t>
  </si>
  <si>
    <t>rfan0rainsns</t>
  </si>
  <si>
    <t>rain sensor override</t>
  </si>
  <si>
    <t>Rain Sensor Override (status &amp; command)</t>
  </si>
  <si>
    <t>ambtemp</t>
  </si>
  <si>
    <t>08000009</t>
  </si>
  <si>
    <t>rfan0ambtemp</t>
  </si>
  <si>
    <t>ambient temperature</t>
  </si>
  <si>
    <t>Ambient Temperature (status &amp; command)</t>
  </si>
  <si>
    <t>setpt</t>
  </si>
  <si>
    <t>0800000a</t>
  </si>
  <si>
    <t>rfan0setpt</t>
  </si>
  <si>
    <t>setpoint</t>
  </si>
  <si>
    <t>Set Point (status &amp; command)</t>
  </si>
  <si>
    <t>dmmode</t>
  </si>
  <si>
    <t>0800000b</t>
  </si>
  <si>
    <t>rfan0dmmode</t>
  </si>
  <si>
    <t>dome command/mode</t>
  </si>
  <si>
    <t>Dome Mode, Dome Command (status &amp; command)</t>
  </si>
  <si>
    <t>dsrddmpos</t>
  </si>
  <si>
    <t>0800000c</t>
  </si>
  <si>
    <t>rfan0dsrddmpos</t>
  </si>
  <si>
    <t>0…100; 125</t>
  </si>
  <si>
    <t>dome position/desired dome position</t>
  </si>
  <si>
    <t>Dome Position, Desired Dome Position (status &amp; command)</t>
  </si>
  <si>
    <t>setpctldm</t>
  </si>
  <si>
    <t>0800000d</t>
  </si>
  <si>
    <t>rfan0setpctldm</t>
  </si>
  <si>
    <t>desired setpoint controlled dome</t>
  </si>
  <si>
    <t>Desired Setpoint Controlled Dome (status &amp; command)</t>
  </si>
  <si>
    <t>dmclsfoff</t>
  </si>
  <si>
    <t>0800000e</t>
  </si>
  <si>
    <t>rfan0dmclsfoff</t>
  </si>
  <si>
    <t>auto dome close on fan off</t>
  </si>
  <si>
    <t>Auto Dome Close on Fan Off (status &amp; command)</t>
  </si>
  <si>
    <t>foffdmcls</t>
  </si>
  <si>
    <t>0800000f</t>
  </si>
  <si>
    <t>rfan0foffdmcls</t>
  </si>
  <si>
    <t>auto fan off on dome close</t>
  </si>
  <si>
    <t>Auto Fan Off on Dome Close (status &amp; command)</t>
  </si>
  <si>
    <t>fspdincdec</t>
  </si>
  <si>
    <t>08000010</t>
  </si>
  <si>
    <t>rfan0fspdincdec</t>
  </si>
  <si>
    <t>fan speed increment/decrement</t>
  </si>
  <si>
    <t>Fan Speed Increment/Decrement (command)</t>
  </si>
  <si>
    <t>fspdidstp</t>
  </si>
  <si>
    <t>08000011</t>
  </si>
  <si>
    <t>rfan0fspdidstp</t>
  </si>
  <si>
    <t>0 - Directly to 0%/100%; 1 - One step; 2…50 - Number of steps; 63 - One step (fixed steps)</t>
  </si>
  <si>
    <t>fan speed increment/decrement step</t>
  </si>
  <si>
    <t>Fan Speed Increment/Decrement Step (command)</t>
  </si>
  <si>
    <t>fspdstpsup</t>
  </si>
  <si>
    <t>08000012</t>
  </si>
  <si>
    <t>rfan0fspdstpsup</t>
  </si>
  <si>
    <t>0 - 200 step resolution (0.5%); 1 - 1 step resolution (0%/100% only); 2…50 - Number of steps; 63 - Increment/decrement not supported</t>
  </si>
  <si>
    <t>fan steps(speeds) supported</t>
  </si>
  <si>
    <t>Fan Steps (Speeds) Supported (status)</t>
  </si>
  <si>
    <t>rainsnssts</t>
  </si>
  <si>
    <t>08000013</t>
  </si>
  <si>
    <t>rfan0rainsnssts</t>
  </si>
  <si>
    <t>rain sensor</t>
  </si>
  <si>
    <t>Rain Sensor (status)</t>
  </si>
  <si>
    <t>mtnsnsen</t>
  </si>
  <si>
    <t>08000014</t>
  </si>
  <si>
    <t>rfan0mtnsnsen</t>
  </si>
  <si>
    <t>0 - disable; 1 - enable</t>
  </si>
  <si>
    <t>motion sensor status</t>
  </si>
  <si>
    <t>Motion Sensor Enable/Disable Status</t>
  </si>
  <si>
    <t>mtnsnstim</t>
  </si>
  <si>
    <t>08000015</t>
  </si>
  <si>
    <t>rfan0mtnsnstim</t>
  </si>
  <si>
    <t>no motion detected time threshold</t>
  </si>
  <si>
    <t>No Motion Detected Time Threshold</t>
  </si>
  <si>
    <t>lgtcmd</t>
  </si>
  <si>
    <t>08000016</t>
  </si>
  <si>
    <t>rfan0lgtcmd</t>
  </si>
  <si>
    <t>dim0cmd</t>
  </si>
  <si>
    <t>light command</t>
  </si>
  <si>
    <t>lgtdd</t>
  </si>
  <si>
    <t>08000017</t>
  </si>
  <si>
    <t>rfan0lgtdd</t>
  </si>
  <si>
    <t>-1 unset or continuous, 0 momentary, 1,2,3…sec</t>
  </si>
  <si>
    <t>light duration/delay</t>
  </si>
  <si>
    <t>Command duration or delay time</t>
  </si>
  <si>
    <t>lgtlvl</t>
  </si>
  <si>
    <t>08000018</t>
  </si>
  <si>
    <t>rfan0lgtlvl</t>
  </si>
  <si>
    <t>light level</t>
  </si>
  <si>
    <t>lgtrgb</t>
  </si>
  <si>
    <t>08000019</t>
  </si>
  <si>
    <t>rfan0lgtrgb</t>
  </si>
  <si>
    <t>light RGB color</t>
  </si>
  <si>
    <t>0xRRGGBB</t>
  </si>
  <si>
    <t>lgtoc</t>
  </si>
  <si>
    <t>0800001a</t>
  </si>
  <si>
    <t>rfan0lgtoc</t>
  </si>
  <si>
    <t>currentStatus</t>
  </si>
  <si>
    <t>light overcurrent</t>
  </si>
  <si>
    <t>Overcurrent status and dc disconnect op</t>
  </si>
  <si>
    <t>lgtlstat</t>
  </si>
  <si>
    <t>0800001b</t>
  </si>
  <si>
    <t>rfan0lgtlstat</t>
  </si>
  <si>
    <t>dim0lstat</t>
  </si>
  <si>
    <t>light load status</t>
  </si>
  <si>
    <t>0800001c</t>
  </si>
  <si>
    <t>rfan0csch</t>
  </si>
  <si>
    <t>0800001d</t>
  </si>
  <si>
    <t>rfan0nsch</t>
  </si>
  <si>
    <t>number of schedules</t>
  </si>
  <si>
    <t>0800001e</t>
  </si>
  <si>
    <t>rfan0sleeptimeh</t>
  </si>
  <si>
    <t>sleep time schedule hour</t>
  </si>
  <si>
    <t>0800001f</t>
  </si>
  <si>
    <t>rfan0sleeptimem</t>
  </si>
  <si>
    <t>sleep time schedule minute</t>
  </si>
  <si>
    <t>sleepfmode</t>
  </si>
  <si>
    <t>08000020</t>
  </si>
  <si>
    <t>rfan0sleepfmode</t>
  </si>
  <si>
    <t>sleep time fan mode</t>
  </si>
  <si>
    <t>sleepfdir</t>
  </si>
  <si>
    <t>08000021</t>
  </si>
  <si>
    <t>rfan0sleepfdir</t>
  </si>
  <si>
    <t>sleep time fan direction</t>
  </si>
  <si>
    <t>sleepfsetp</t>
  </si>
  <si>
    <t>08000022</t>
  </si>
  <si>
    <t>rfan0sleepfsetp</t>
  </si>
  <si>
    <t>sleep time fan speed/temperature setpoint</t>
  </si>
  <si>
    <t>Fan speed in % and Temperature setpoint in ^C.</t>
  </si>
  <si>
    <t>08000023</t>
  </si>
  <si>
    <t>rfan0awaketimeh</t>
  </si>
  <si>
    <t>awake time schedule hour</t>
  </si>
  <si>
    <t>08000024</t>
  </si>
  <si>
    <t>rfan0awaketimem</t>
  </si>
  <si>
    <t>awake time schedule minute</t>
  </si>
  <si>
    <t>awakefmode</t>
  </si>
  <si>
    <t>08000025</t>
  </si>
  <si>
    <t>rfan0awakefmode</t>
  </si>
  <si>
    <t>awake time fan mode</t>
  </si>
  <si>
    <t>awakefdir</t>
  </si>
  <si>
    <t>08000026</t>
  </si>
  <si>
    <t>rfan0awakefdir</t>
  </si>
  <si>
    <t>awake time fan direction</t>
  </si>
  <si>
    <t>awakefsetp</t>
  </si>
  <si>
    <t>08000027</t>
  </si>
  <si>
    <t>rfan0awakefsetp</t>
  </si>
  <si>
    <t>awake time fan speed/temperature setpoint</t>
  </si>
  <si>
    <t>awaytimeh</t>
  </si>
  <si>
    <t>08000028</t>
  </si>
  <si>
    <t>rfan0awaytimeh</t>
  </si>
  <si>
    <t>away time schedule hour</t>
  </si>
  <si>
    <t>awaytimem</t>
  </si>
  <si>
    <t>08000029</t>
  </si>
  <si>
    <t>rfan0awaytimem</t>
  </si>
  <si>
    <t>away time schedule minute</t>
  </si>
  <si>
    <t>awayfmode</t>
  </si>
  <si>
    <t>0800002a</t>
  </si>
  <si>
    <t>rfan0awayfmode</t>
  </si>
  <si>
    <t>away time fan mode</t>
  </si>
  <si>
    <t>awayfdir</t>
  </si>
  <si>
    <t>0800002b</t>
  </si>
  <si>
    <t>rfan0awayfdir</t>
  </si>
  <si>
    <t>away time fan direction</t>
  </si>
  <si>
    <t>awayfsetp</t>
  </si>
  <si>
    <t>0800002c</t>
  </si>
  <si>
    <t>rfan0awayfsetp</t>
  </si>
  <si>
    <t>away time fan speed/temperature setpoint</t>
  </si>
  <si>
    <t>0800002d</t>
  </si>
  <si>
    <t>rfan0err</t>
  </si>
  <si>
    <t>fan error</t>
  </si>
  <si>
    <t>aw</t>
  </si>
  <si>
    <t>08010000</t>
  </si>
  <si>
    <t>aw0avl</t>
  </si>
  <si>
    <t>Awning</t>
  </si>
  <si>
    <t>0x1FEA7/A6</t>
  </si>
  <si>
    <t>motion</t>
  </si>
  <si>
    <t>08010001</t>
  </si>
  <si>
    <t>aw0motion</t>
  </si>
  <si>
    <t>Awning motion or desired direction of movement</t>
  </si>
  <si>
    <t>pos</t>
  </si>
  <si>
    <t>08010002</t>
  </si>
  <si>
    <t>aw0pos</t>
  </si>
  <si>
    <t>position</t>
  </si>
  <si>
    <t>Desired amount of extension/retraction or current position</t>
  </si>
  <si>
    <t>locked</t>
  </si>
  <si>
    <t>08010003</t>
  </si>
  <si>
    <t>aw0locked</t>
  </si>
  <si>
    <t>0=locked, 1=unlocked</t>
  </si>
  <si>
    <t>statusing is ocktatus</t>
  </si>
  <si>
    <t>Lock status (is this mechanical lock status?)</t>
  </si>
  <si>
    <t>movable</t>
  </si>
  <si>
    <t>08010004</t>
  </si>
  <si>
    <t>aw0movable</t>
  </si>
  <si>
    <t>0=movable, 1=not movable</t>
  </si>
  <si>
    <t>moveable</t>
  </si>
  <si>
    <t>AKA unlock status in RVC</t>
  </si>
  <si>
    <t>userl</t>
  </si>
  <si>
    <t>08010005</t>
  </si>
  <si>
    <t>aw0userl</t>
  </si>
  <si>
    <t>0=unlocked/release, 1=locked/set</t>
  </si>
  <si>
    <t>user lock status</t>
  </si>
  <si>
    <t>User lock status and command</t>
  </si>
  <si>
    <t>brakel</t>
  </si>
  <si>
    <t>08010006</t>
  </si>
  <si>
    <t>aw0brakel</t>
  </si>
  <si>
    <t>0=brake not applied, 1= brake lock applied</t>
  </si>
  <si>
    <t>brake lock status</t>
  </si>
  <si>
    <t>Overall brake lock status</t>
  </si>
  <si>
    <t>pbrake</t>
  </si>
  <si>
    <t>08010007</t>
  </si>
  <si>
    <t>aw0pbrake</t>
  </si>
  <si>
    <t>parking brake status</t>
  </si>
  <si>
    <t>Is park brake keeping it from moving</t>
  </si>
  <si>
    <t>ig</t>
  </si>
  <si>
    <t>08010008</t>
  </si>
  <si>
    <t>aw0ig</t>
  </si>
  <si>
    <t>ignitioning key status</t>
  </si>
  <si>
    <t>Is ignition key keeping it from moving</t>
  </si>
  <si>
    <t>lowv</t>
  </si>
  <si>
    <t>08010009</t>
  </si>
  <si>
    <t>aw0lowv</t>
  </si>
  <si>
    <t>low voltage status</t>
  </si>
  <si>
    <t>Is low voltage keeping the awning from moving</t>
  </si>
  <si>
    <t>oc</t>
  </si>
  <si>
    <t>0801000a</t>
  </si>
  <si>
    <t>aw0oc</t>
  </si>
  <si>
    <t>overcurrent status</t>
  </si>
  <si>
    <t>Extend overcurrent status and dc disconnect op</t>
  </si>
  <si>
    <t>roc</t>
  </si>
  <si>
    <t>0801000b</t>
  </si>
  <si>
    <t>aw0roc</t>
  </si>
  <si>
    <t>retract overcurrent status</t>
  </si>
  <si>
    <t>Retract overcurrent status and dc disconnect op</t>
  </si>
  <si>
    <t>0x1FEF3</t>
  </si>
  <si>
    <t>mtr</t>
  </si>
  <si>
    <t>08020000</t>
  </si>
  <si>
    <t>mtr0avl</t>
  </si>
  <si>
    <t>Motor data</t>
  </si>
  <si>
    <t>devid</t>
  </si>
  <si>
    <t>08020001</t>
  </si>
  <si>
    <t>mtr0devid</t>
  </si>
  <si>
    <t>0 - 65535</t>
  </si>
  <si>
    <t>Device ID</t>
  </si>
  <si>
    <t>Device ID of the device, The device can be motor, fan etc.</t>
  </si>
  <si>
    <t>setspd</t>
  </si>
  <si>
    <t>08020002</t>
  </si>
  <si>
    <t>mtr0setspd</t>
  </si>
  <si>
    <t>rpm</t>
  </si>
  <si>
    <t>0 - 5000</t>
  </si>
  <si>
    <t>Current Speeed</t>
  </si>
  <si>
    <t>Current set speed for the device</t>
  </si>
  <si>
    <t>minspd</t>
  </si>
  <si>
    <t>08020003</t>
  </si>
  <si>
    <t>mtr0minspd</t>
  </si>
  <si>
    <t>Minimum Speed</t>
  </si>
  <si>
    <t>Minimum speed supported by the device</t>
  </si>
  <si>
    <t>maxspd</t>
  </si>
  <si>
    <t>08020004</t>
  </si>
  <si>
    <t>mtr0maxspd</t>
  </si>
  <si>
    <t>Maximum Speed</t>
  </si>
  <si>
    <t>Maximum speed supported by the device</t>
  </si>
  <si>
    <t>tacho</t>
  </si>
  <si>
    <t>08020005</t>
  </si>
  <si>
    <t>mtr0tacho</t>
  </si>
  <si>
    <t>Tacho Feedback in RPM</t>
  </si>
  <si>
    <t>Read the tacho feedback of motor</t>
  </si>
  <si>
    <t>dir</t>
  </si>
  <si>
    <t>08020006</t>
  </si>
  <si>
    <t>mtr0dir</t>
  </si>
  <si>
    <t>Direction of Motor</t>
  </si>
  <si>
    <t>__power</t>
  </si>
  <si>
    <t>gntr</t>
  </si>
  <si>
    <t>09000000</t>
  </si>
  <si>
    <t>gntr0avl</t>
  </si>
  <si>
    <t>Generator</t>
  </si>
  <si>
    <t>09000001</t>
  </si>
  <si>
    <t>gntr0chrgv</t>
  </si>
  <si>
    <t>charger voltage</t>
  </si>
  <si>
    <t>Control voltage: The voltage desired to be delivered to the battery.</t>
  </si>
  <si>
    <t>0x1FED0/0x1FECF</t>
  </si>
  <si>
    <t>chrgcrr</t>
  </si>
  <si>
    <t>09000002</t>
  </si>
  <si>
    <t>gntr0chrgcrr</t>
  </si>
  <si>
    <t>charger current</t>
  </si>
  <si>
    <t>Control current: The current desired to be delivered to the battery.</t>
  </si>
  <si>
    <t>chrgcrrpm</t>
  </si>
  <si>
    <t>09000003</t>
  </si>
  <si>
    <t>gntr0chrgcrrpm</t>
  </si>
  <si>
    <t>charger percent of max</t>
  </si>
  <si>
    <t>Control current as a percent of the maximum.</t>
  </si>
  <si>
    <t>opst</t>
  </si>
  <si>
    <t>09000004</t>
  </si>
  <si>
    <t>gntr0opst</t>
  </si>
  <si>
    <t>operating state</t>
  </si>
  <si>
    <t>Specifies the current operating state of the DC Generator for the identified DC source.</t>
  </si>
  <si>
    <t>chrgaalg</t>
  </si>
  <si>
    <t>09000005</t>
  </si>
  <si>
    <t>gntr0chrgaalg</t>
  </si>
  <si>
    <t>charging algorithm</t>
  </si>
  <si>
    <t>Charging algorithm status &amp; command</t>
  </si>
  <si>
    <t>btrsnsp</t>
  </si>
  <si>
    <t>09000006</t>
  </si>
  <si>
    <t>gntr0btrsnsp</t>
  </si>
  <si>
    <t>sensor present</t>
  </si>
  <si>
    <t>Battery sensor present status &amp; command</t>
  </si>
  <si>
    <t>lnkgmd</t>
  </si>
  <si>
    <t>09000007</t>
  </si>
  <si>
    <t>gntr0lnkgmd</t>
  </si>
  <si>
    <t>linkage mode</t>
  </si>
  <si>
    <t>Linkage mode status &amp; command</t>
  </si>
  <si>
    <t>btrtyp</t>
  </si>
  <si>
    <t>09000008</t>
  </si>
  <si>
    <t>gntr0btrtyp</t>
  </si>
  <si>
    <t>battery type</t>
  </si>
  <si>
    <t>Battery type status &amp; command</t>
  </si>
  <si>
    <t>btrbksz</t>
  </si>
  <si>
    <t>09000009</t>
  </si>
  <si>
    <t>gntr0btrbksz</t>
  </si>
  <si>
    <t>0-65530 (Ah)</t>
  </si>
  <si>
    <t>battery bank size</t>
  </si>
  <si>
    <t>Battery bank size status &amp; command</t>
  </si>
  <si>
    <t>maxchrgcrr</t>
  </si>
  <si>
    <t>0900000a</t>
  </si>
  <si>
    <t>gntr0maxchrgcrr</t>
  </si>
  <si>
    <t>max charging current</t>
  </si>
  <si>
    <t>Maximum charging current status &amp; command</t>
  </si>
  <si>
    <t>dcost</t>
  </si>
  <si>
    <t>0900000b</t>
  </si>
  <si>
    <t>gntr0dcost</t>
  </si>
  <si>
    <t>DC output status</t>
  </si>
  <si>
    <t>0x1FEC6</t>
  </si>
  <si>
    <t>dfstpwup</t>
  </si>
  <si>
    <t>0900000c</t>
  </si>
  <si>
    <t>gntr0dfstpwup</t>
  </si>
  <si>
    <t>DC default state power up</t>
  </si>
  <si>
    <t>Default state on power- up</t>
  </si>
  <si>
    <t>trem</t>
  </si>
  <si>
    <t>0900000d</t>
  </si>
  <si>
    <t>gntr0trem</t>
  </si>
  <si>
    <t xml:space="preserve">Precision = 1 min Value range = 0 to 65 530 min </t>
  </si>
  <si>
    <t>time remaining</t>
  </si>
  <si>
    <t>Time remaining</t>
  </si>
  <si>
    <t>prechrgst</t>
  </si>
  <si>
    <t>0900000e</t>
  </si>
  <si>
    <t>gntr0prechrgst</t>
  </si>
  <si>
    <t>pre-charging status</t>
  </si>
  <si>
    <t xml:space="preserve">Pre-charging status </t>
  </si>
  <si>
    <t>eqvltg</t>
  </si>
  <si>
    <t>0900000f</t>
  </si>
  <si>
    <t>gntr0eqvltg</t>
  </si>
  <si>
    <t>equalization status</t>
  </si>
  <si>
    <t>Equalization voltage</t>
  </si>
  <si>
    <t>0x1FEC3/0x1FEC5</t>
  </si>
  <si>
    <t>eqt</t>
  </si>
  <si>
    <t>09000010</t>
  </si>
  <si>
    <t>gntr0eqt</t>
  </si>
  <si>
    <t>0-65530</t>
  </si>
  <si>
    <t>equalization time</t>
  </si>
  <si>
    <t>Equalization time (minutes)</t>
  </si>
  <si>
    <t>st</t>
  </si>
  <si>
    <t>09000011</t>
  </si>
  <si>
    <t>gntr0st</t>
  </si>
  <si>
    <t xml:space="preserve">Status </t>
  </si>
  <si>
    <t>engrt</t>
  </si>
  <si>
    <t>09000012</t>
  </si>
  <si>
    <t>gntr0engrt</t>
  </si>
  <si>
    <t>engine runtime</t>
  </si>
  <si>
    <t xml:space="preserve">Engine run time  - Number of minutes logged on genset. </t>
  </si>
  <si>
    <t>engl</t>
  </si>
  <si>
    <t>09000013</t>
  </si>
  <si>
    <t>gntr0engl</t>
  </si>
  <si>
    <t>engine load</t>
  </si>
  <si>
    <t>Engine load - Indicates the current engine load as a percent of capacity. Does not necessarily correspond to current output</t>
  </si>
  <si>
    <t>stbtrv</t>
  </si>
  <si>
    <t>09000014</t>
  </si>
  <si>
    <t>gntr0stbtrv</t>
  </si>
  <si>
    <t>start battery voltage</t>
  </si>
  <si>
    <t>Start battery voltage</t>
  </si>
  <si>
    <t>tmpsdsw</t>
  </si>
  <si>
    <t>09000015</t>
  </si>
  <si>
    <t>gntr0tmpsdsw</t>
  </si>
  <si>
    <t>00b - Temperature shutdown not active
01b - Temperature shutdown active (Genset shall not run)</t>
  </si>
  <si>
    <t>temp shutdown switch</t>
  </si>
  <si>
    <t>Temperature shutdown switch</t>
  </si>
  <si>
    <t>0x1FEC4</t>
  </si>
  <si>
    <t>oilpresdsw</t>
  </si>
  <si>
    <t>09000016</t>
  </si>
  <si>
    <t>gntr0oilpresdsw</t>
  </si>
  <si>
    <t>1b - Oil pressure shutdown not active
01b - Oil pressure shutdown active (Genset shall not run)</t>
  </si>
  <si>
    <t>oil pressure shutdown switch</t>
  </si>
  <si>
    <t>Oil pressure shutdown switch</t>
  </si>
  <si>
    <t>oillvlsw</t>
  </si>
  <si>
    <t>09000017</t>
  </si>
  <si>
    <t>gntr0oillvlsw</t>
  </si>
  <si>
    <t xml:space="preserve">00b - Oil level switch not active 
01b - Low oil level detected </t>
  </si>
  <si>
    <t>oil level switch</t>
  </si>
  <si>
    <t>Oil level switch</t>
  </si>
  <si>
    <t>0x1FEC2</t>
  </si>
  <si>
    <t>cault</t>
  </si>
  <si>
    <t>09000018</t>
  </si>
  <si>
    <t>gntr0cault</t>
  </si>
  <si>
    <t>00b - Caution light not active 
01b - Caution light on</t>
  </si>
  <si>
    <t>caution ligth</t>
  </si>
  <si>
    <t>Caution light</t>
  </si>
  <si>
    <t>engctmp</t>
  </si>
  <si>
    <t>09000019</t>
  </si>
  <si>
    <t>gntr0engctmp</t>
  </si>
  <si>
    <t>engine coolant temp</t>
  </si>
  <si>
    <t>Eng coolant temperature</t>
  </si>
  <si>
    <t>0x1FEC1</t>
  </si>
  <si>
    <t>engoilp</t>
  </si>
  <si>
    <t>0900001a</t>
  </si>
  <si>
    <t>gntr0engoilp</t>
  </si>
  <si>
    <t>Precision = 4 kPa Value range = 0 to 1000 kPa (145.04 PSI)</t>
  </si>
  <si>
    <t>engine oil pressure</t>
  </si>
  <si>
    <t>Eng oil pressure</t>
  </si>
  <si>
    <t>engrpm</t>
  </si>
  <si>
    <t>0900001b</t>
  </si>
  <si>
    <t>gntr0engrpm</t>
  </si>
  <si>
    <t>RPM</t>
  </si>
  <si>
    <t>Precision = 0.125 rpm Value range = 0 to 8191.25 rpm</t>
  </si>
  <si>
    <t>engine rpm</t>
  </si>
  <si>
    <t>Engine RPM</t>
  </si>
  <si>
    <t>0x1FFDC</t>
  </si>
  <si>
    <t>fuelr</t>
  </si>
  <si>
    <t>0900001c</t>
  </si>
  <si>
    <t>gntr0fuelr</t>
  </si>
  <si>
    <t>lph</t>
  </si>
  <si>
    <t>Precision = 0.05 lph (liter per hour) Value range = 0 - 3212.5 lph</t>
  </si>
  <si>
    <t>fuel rate</t>
  </si>
  <si>
    <t>Fuel rate</t>
  </si>
  <si>
    <t>0900001d</t>
  </si>
  <si>
    <t>gntr0cmd</t>
  </si>
  <si>
    <t>command</t>
  </si>
  <si>
    <t>Normally prime and preheat are handled automatically by the controller.</t>
  </si>
  <si>
    <t>type</t>
  </si>
  <si>
    <t>0900001e</t>
  </si>
  <si>
    <t>gntr0type</t>
  </si>
  <si>
    <t>Generator type - Indicates the inputs used to control the generator.</t>
  </si>
  <si>
    <t>prect</t>
  </si>
  <si>
    <t>0900001f</t>
  </si>
  <si>
    <t>gntr0prect</t>
  </si>
  <si>
    <t>Precision = 1 s Value range = 0 to 250 s</t>
  </si>
  <si>
    <t>pre-crank time</t>
  </si>
  <si>
    <t>Generator pre-crank time - Indicates the amount of time the preheat will be energized before cranking.</t>
  </si>
  <si>
    <t>0x1FFDB</t>
  </si>
  <si>
    <t>maxct</t>
  </si>
  <si>
    <t>09000020</t>
  </si>
  <si>
    <t>gntr0maxct</t>
  </si>
  <si>
    <t>max crank time</t>
  </si>
  <si>
    <t>Generator max crank time - Indicates the maximum amount of time the starter will be energized in one attempt.</t>
  </si>
  <si>
    <t>stopt</t>
  </si>
  <si>
    <t>09000021</t>
  </si>
  <si>
    <t>gntr0stopt</t>
  </si>
  <si>
    <t>stop time</t>
  </si>
  <si>
    <t>Generator stop time - Indicates the amount of time the stop signal will be triggered to stop the generator.</t>
  </si>
  <si>
    <t>demand</t>
  </si>
  <si>
    <t>09000022</t>
  </si>
  <si>
    <t>gntr0demand</t>
  </si>
  <si>
    <t>0=no demand; 1=power is demanded</t>
  </si>
  <si>
    <t>Generator demand</t>
  </si>
  <si>
    <t>extactr</t>
  </si>
  <si>
    <t>09000023</t>
  </si>
  <si>
    <t>gntr0extactr</t>
  </si>
  <si>
    <t>external activity</t>
  </si>
  <si>
    <t>External Activity Reset Enum</t>
  </si>
  <si>
    <t>quiett</t>
  </si>
  <si>
    <t>09000024</t>
  </si>
  <si>
    <t>gntr0quiett</t>
  </si>
  <si>
    <t>quiet time</t>
  </si>
  <si>
    <t>Quiet time</t>
  </si>
  <si>
    <t>auchst</t>
  </si>
  <si>
    <t>09000025</t>
  </si>
  <si>
    <t>gntr0auchst</t>
  </si>
  <si>
    <t>0=disabled, 1=enabled</t>
  </si>
  <si>
    <t>auto charger status</t>
  </si>
  <si>
    <t>Auto charger enabled status</t>
  </si>
  <si>
    <t>auchvth</t>
  </si>
  <si>
    <t>09000026</t>
  </si>
  <si>
    <t>gntr0auchvth</t>
  </si>
  <si>
    <t>auto charger voltage</t>
  </si>
  <si>
    <t>Auto charger voltage threshold</t>
  </si>
  <si>
    <t>aucht</t>
  </si>
  <si>
    <t>09000027</t>
  </si>
  <si>
    <t>gntr0aucht</t>
  </si>
  <si>
    <t>Precision = 5 sec, range 0-1250 sec</t>
  </si>
  <si>
    <t>auto charger time</t>
  </si>
  <si>
    <t>Auto charger time under</t>
  </si>
  <si>
    <t>0x1FFDA</t>
  </si>
  <si>
    <t>qtbh</t>
  </si>
  <si>
    <t>09000028</t>
  </si>
  <si>
    <t>gntr0qtbh</t>
  </si>
  <si>
    <t>0-23</t>
  </si>
  <si>
    <t>quite time begin hour</t>
  </si>
  <si>
    <t>Quiet time begin hour</t>
  </si>
  <si>
    <t>0x1FDD9</t>
  </si>
  <si>
    <t>qtbm</t>
  </si>
  <si>
    <t>09000029</t>
  </si>
  <si>
    <t>gntr0qtbm</t>
  </si>
  <si>
    <t>0-59</t>
  </si>
  <si>
    <t>quite time begin minutes</t>
  </si>
  <si>
    <t>Quiet time begin minutes</t>
  </si>
  <si>
    <t>qteh</t>
  </si>
  <si>
    <t>0900002a</t>
  </si>
  <si>
    <t>gntr0qteh</t>
  </si>
  <si>
    <t>quite time end hour</t>
  </si>
  <si>
    <t>Quiet time end hour</t>
  </si>
  <si>
    <t>qtem</t>
  </si>
  <si>
    <t>0900002b</t>
  </si>
  <si>
    <t>gntr0qtem</t>
  </si>
  <si>
    <t>quite time end minutes</t>
  </si>
  <si>
    <t>Quiet time end minutes</t>
  </si>
  <si>
    <t>exstat</t>
  </si>
  <si>
    <t>0900002c</t>
  </si>
  <si>
    <t>gntr0exstat</t>
  </si>
  <si>
    <t>exerciser status</t>
  </si>
  <si>
    <t>Exerciser enabled status</t>
  </si>
  <si>
    <t>0x1FEFF/0x1FF80</t>
  </si>
  <si>
    <t>exdw</t>
  </si>
  <si>
    <t>0900002d</t>
  </si>
  <si>
    <t>gntr0exdw</t>
  </si>
  <si>
    <t>exerciser days of week</t>
  </si>
  <si>
    <t>Exerciser days of the week encoding</t>
  </si>
  <si>
    <t>exsh</t>
  </si>
  <si>
    <t>0900002e</t>
  </si>
  <si>
    <t>gntr0exsh</t>
  </si>
  <si>
    <t>exersiser start hour</t>
  </si>
  <si>
    <t>Exerciser start hour</t>
  </si>
  <si>
    <t>exsm</t>
  </si>
  <si>
    <t>0900002f</t>
  </si>
  <si>
    <t>gntr0exsm</t>
  </si>
  <si>
    <t>exersiser start minutes</t>
  </si>
  <si>
    <t>Exerciser start minutes</t>
  </si>
  <si>
    <t>0x1FEFD</t>
  </si>
  <si>
    <t>exrt</t>
  </si>
  <si>
    <t>09000030</t>
  </si>
  <si>
    <t>gntr0exrt</t>
  </si>
  <si>
    <t>Precision = 5 min, range 0-1250 minutes</t>
  </si>
  <si>
    <t>exersiser run time</t>
  </si>
  <si>
    <t>Exerciser run time</t>
  </si>
  <si>
    <t>acch</t>
  </si>
  <si>
    <t>09010000</t>
  </si>
  <si>
    <t>acch0avl</t>
  </si>
  <si>
    <t>AC Charger</t>
  </si>
  <si>
    <t>Ac charger is available.</t>
  </si>
  <si>
    <t>chv</t>
  </si>
  <si>
    <t>09010001</t>
  </si>
  <si>
    <t>acch0chv</t>
  </si>
  <si>
    <t>charging voltage</t>
  </si>
  <si>
    <t>chi</t>
  </si>
  <si>
    <t>09010002</t>
  </si>
  <si>
    <t>acch0chi</t>
  </si>
  <si>
    <t>charging current</t>
  </si>
  <si>
    <t>cipmax</t>
  </si>
  <si>
    <t>09010003</t>
  </si>
  <si>
    <t>acch0cipmax</t>
  </si>
  <si>
    <t>charge current percent of max</t>
  </si>
  <si>
    <t>Charge current percent of maximum</t>
  </si>
  <si>
    <t>09010004</t>
  </si>
  <si>
    <t>acch0opst</t>
  </si>
  <si>
    <t>acch0acchos</t>
  </si>
  <si>
    <t>Operating state</t>
  </si>
  <si>
    <t>dest</t>
  </si>
  <si>
    <t>09010005</t>
  </si>
  <si>
    <t>acch0dest</t>
  </si>
  <si>
    <t>0=Charger disabled, 1=Charger enabled</t>
  </si>
  <si>
    <t>default state</t>
  </si>
  <si>
    <t>arcen</t>
  </si>
  <si>
    <t>09010006</t>
  </si>
  <si>
    <t>acch0arcen</t>
  </si>
  <si>
    <t>0=Auto recharge disabled, 1=Auto recharge enabled</t>
  </si>
  <si>
    <t>auto recharge enable</t>
  </si>
  <si>
    <t>Auto recharge enable</t>
  </si>
  <si>
    <t>frc</t>
  </si>
  <si>
    <t>09010007</t>
  </si>
  <si>
    <t>acch0frc</t>
  </si>
  <si>
    <t>acch0acchfc</t>
  </si>
  <si>
    <t>force charge</t>
  </si>
  <si>
    <t>Force charge</t>
  </si>
  <si>
    <t>acvrms</t>
  </si>
  <si>
    <t>09010008</t>
  </si>
  <si>
    <t>acch0acvrms</t>
  </si>
  <si>
    <t>AC input current vrms</t>
  </si>
  <si>
    <t>AC input current V RMS</t>
  </si>
  <si>
    <t>rpwr</t>
  </si>
  <si>
    <t>09010009</t>
  </si>
  <si>
    <t>acch0rpwr</t>
  </si>
  <si>
    <t>real power</t>
  </si>
  <si>
    <t>Real Power</t>
  </si>
  <si>
    <t>iter</t>
  </si>
  <si>
    <t>09020000</t>
  </si>
  <si>
    <t>iter0avl</t>
  </si>
  <si>
    <t>Inverter</t>
  </si>
  <si>
    <t>09020001</t>
  </si>
  <si>
    <t>iter0md</t>
  </si>
  <si>
    <t>0x1FFC7</t>
  </si>
  <si>
    <t>ie</t>
  </si>
  <si>
    <t>09020002</t>
  </si>
  <si>
    <t>iter0ie</t>
  </si>
  <si>
    <t>1=Enabled</t>
  </si>
  <si>
    <t>inverter enabled</t>
  </si>
  <si>
    <t>Inverter enabled</t>
  </si>
  <si>
    <t>le</t>
  </si>
  <si>
    <t>09020003</t>
  </si>
  <si>
    <t>iter0le</t>
  </si>
  <si>
    <t>load sense enabled</t>
  </si>
  <si>
    <t>pe</t>
  </si>
  <si>
    <t>09020004</t>
  </si>
  <si>
    <t>iter0pe</t>
  </si>
  <si>
    <t>pass-through enabled</t>
  </si>
  <si>
    <t>es</t>
  </si>
  <si>
    <t>09020005</t>
  </si>
  <si>
    <t>iter0es</t>
  </si>
  <si>
    <t>inverter enabled on startup</t>
  </si>
  <si>
    <t>vdc</t>
  </si>
  <si>
    <t>09020006</t>
  </si>
  <si>
    <t>iter0vdc</t>
  </si>
  <si>
    <t>DC voltage</t>
  </si>
  <si>
    <t>DC voltage at the inverter</t>
  </si>
  <si>
    <t>adc</t>
  </si>
  <si>
    <t>09020007</t>
  </si>
  <si>
    <t>iter0adc</t>
  </si>
  <si>
    <t>DC current</t>
  </si>
  <si>
    <t>DC current draw from inverter</t>
  </si>
  <si>
    <t>aac</t>
  </si>
  <si>
    <t>09020008</t>
  </si>
  <si>
    <t>iter0aac</t>
  </si>
  <si>
    <t>RMS AC current</t>
  </si>
  <si>
    <t>RMS AC current draw by inverter</t>
  </si>
  <si>
    <t>0x1FFCA</t>
  </si>
  <si>
    <t>09020009</t>
  </si>
  <si>
    <t>iter0rpwr</t>
  </si>
  <si>
    <t>RMS power?</t>
  </si>
  <si>
    <t>0x1FFC8</t>
  </si>
  <si>
    <t>dsrc</t>
  </si>
  <si>
    <t>09030000</t>
  </si>
  <si>
    <t>dsrc0avl</t>
  </si>
  <si>
    <t>DC Source</t>
  </si>
  <si>
    <t>09030001</t>
  </si>
  <si>
    <t>dsrc0vdc</t>
  </si>
  <si>
    <t>VDC</t>
  </si>
  <si>
    <t>09030002</t>
  </si>
  <si>
    <t>dsrc0adc</t>
  </si>
  <si>
    <t>ADC</t>
  </si>
  <si>
    <t>prio</t>
  </si>
  <si>
    <t>09030003</t>
  </si>
  <si>
    <t>dsrc0prio</t>
  </si>
  <si>
    <t>Priority</t>
  </si>
  <si>
    <t>0-255</t>
  </si>
  <si>
    <t>his1</t>
  </si>
  <si>
    <t>09030004</t>
  </si>
  <si>
    <t>dsrc0his1</t>
  </si>
  <si>
    <t>DC Source voltage 1 day before</t>
  </si>
  <si>
    <t>his2</t>
  </si>
  <si>
    <t>09030005</t>
  </si>
  <si>
    <t>dsrc0his2</t>
  </si>
  <si>
    <t>DC Source voltage 2 days before</t>
  </si>
  <si>
    <t>his3</t>
  </si>
  <si>
    <t>09030006</t>
  </si>
  <si>
    <t>dsrc0his3</t>
  </si>
  <si>
    <t>DC Source voltage 3 days before</t>
  </si>
  <si>
    <t>his4</t>
  </si>
  <si>
    <t>09030007</t>
  </si>
  <si>
    <t>dsrc0his4</t>
  </si>
  <si>
    <t>DC Source voltage 4 days before</t>
  </si>
  <si>
    <t>his5</t>
  </si>
  <si>
    <t>09030008</t>
  </si>
  <si>
    <t>dsrc0his5</t>
  </si>
  <si>
    <t>DC Source voltage 5 days before</t>
  </si>
  <si>
    <t>pmic</t>
  </si>
  <si>
    <t>09040000</t>
  </si>
  <si>
    <t>pmic0avl</t>
  </si>
  <si>
    <t>PMIC</t>
  </si>
  <si>
    <t>batrv</t>
  </si>
  <si>
    <t>09040001</t>
  </si>
  <si>
    <t>pmic0batrv</t>
  </si>
  <si>
    <t>Regulation voltage</t>
  </si>
  <si>
    <t>regulation voltage mVolt</t>
  </si>
  <si>
    <t>0x1FFFD</t>
  </si>
  <si>
    <t>chrgc</t>
  </si>
  <si>
    <t>09040002</t>
  </si>
  <si>
    <t>pmic0chrgc</t>
  </si>
  <si>
    <t>Charge current</t>
  </si>
  <si>
    <t>charge current mA</t>
  </si>
  <si>
    <t>tc</t>
  </si>
  <si>
    <t>09040003</t>
  </si>
  <si>
    <t>pmic0tc</t>
  </si>
  <si>
    <t>Termination current</t>
  </si>
  <si>
    <t>termination current mA</t>
  </si>
  <si>
    <t>pchrgc</t>
  </si>
  <si>
    <t>09040004</t>
  </si>
  <si>
    <t>pmic0pchrgc</t>
  </si>
  <si>
    <t>Precharge current</t>
  </si>
  <si>
    <t>precharge current mA</t>
  </si>
  <si>
    <t>msysv</t>
  </si>
  <si>
    <t>09040005</t>
  </si>
  <si>
    <t>pmic0msysv</t>
  </si>
  <si>
    <t>Min system volt limit</t>
  </si>
  <si>
    <t>minimum system voltage limit Volt</t>
  </si>
  <si>
    <t>bstrv</t>
  </si>
  <si>
    <t>09040006</t>
  </si>
  <si>
    <t>pmic0bstrv</t>
  </si>
  <si>
    <t>Boost reg volt</t>
  </si>
  <si>
    <t>boost regulation voltage Volt</t>
  </si>
  <si>
    <t>thrgth</t>
  </si>
  <si>
    <t>09040007</t>
  </si>
  <si>
    <t>pmic0thrgth</t>
  </si>
  <si>
    <t>Thermal regulation thres</t>
  </si>
  <si>
    <t>thermal regulation threshold Degree Celsius</t>
  </si>
  <si>
    <t>bstat</t>
  </si>
  <si>
    <t>09040008</t>
  </si>
  <si>
    <t>pmic0bstat</t>
  </si>
  <si>
    <t>Battery status</t>
  </si>
  <si>
    <t>Battery_status(charging,discharging,not chrging,full) – enum</t>
  </si>
  <si>
    <t>chty</t>
  </si>
  <si>
    <t>09040009</t>
  </si>
  <si>
    <t>pmic0chty</t>
  </si>
  <si>
    <t>pmic0chrgt</t>
  </si>
  <si>
    <t>Charge type</t>
  </si>
  <si>
    <t>Charge_type(None,Standard,fast,unkown)-enum</t>
  </si>
  <si>
    <t>mid</t>
  </si>
  <si>
    <t>0904000a</t>
  </si>
  <si>
    <t>pmic0mid</t>
  </si>
  <si>
    <t>Manufacturer Id</t>
  </si>
  <si>
    <t>Manufacturer – string</t>
  </si>
  <si>
    <t>bmdl</t>
  </si>
  <si>
    <t>0904000b</t>
  </si>
  <si>
    <t>pmic0bmdl</t>
  </si>
  <si>
    <t>Battery model</t>
  </si>
  <si>
    <t>Battery Model – string</t>
  </si>
  <si>
    <t>online</t>
  </si>
  <si>
    <t>0904000c</t>
  </si>
  <si>
    <t>pmic0online</t>
  </si>
  <si>
    <t>Online</t>
  </si>
  <si>
    <t>Online - bool</t>
  </si>
  <si>
    <t>bhlt</t>
  </si>
  <si>
    <t>0904000d</t>
  </si>
  <si>
    <t>pmic0bhlt</t>
  </si>
  <si>
    <t>Battery health</t>
  </si>
  <si>
    <t>Battery Health – (Good,Overvoltage,safety timer expired, overheat, Unspecified failure)-enum</t>
  </si>
  <si>
    <t>__tank</t>
  </si>
  <si>
    <t>ts</t>
  </si>
  <si>
    <t>0a000000</t>
  </si>
  <si>
    <t>ts0avl</t>
  </si>
  <si>
    <t>Tank</t>
  </si>
  <si>
    <t>0a000001</t>
  </si>
  <si>
    <t>ts0type</t>
  </si>
  <si>
    <t>Type</t>
  </si>
  <si>
    <t>rlvl</t>
  </si>
  <si>
    <t>0a000002</t>
  </si>
  <si>
    <t>ts0rlvl</t>
  </si>
  <si>
    <t>Relative level</t>
  </si>
  <si>
    <t>(Level = Relative level / Resolution), ie how many segments are full in the bar graph</t>
  </si>
  <si>
    <t>res</t>
  </si>
  <si>
    <t>0a000003</t>
  </si>
  <si>
    <t>ts0res</t>
  </si>
  <si>
    <t>Sensor resolution</t>
  </si>
  <si>
    <t>(ie how many segments to show in a bar graph)</t>
  </si>
  <si>
    <t>0a000004</t>
  </si>
  <si>
    <t>ts0his1</t>
  </si>
  <si>
    <t>Relative level 1</t>
  </si>
  <si>
    <t>Relative level 1 day before (Level = Relative level / Resolution), ie how many segments are full in the bar graph</t>
  </si>
  <si>
    <t>0a000005</t>
  </si>
  <si>
    <t>ts0his2</t>
  </si>
  <si>
    <t>Relative level 2</t>
  </si>
  <si>
    <t>Relative level 2 days before (Level = Relative level / Resolution), ie how many segments are full in the bar graph</t>
  </si>
  <si>
    <t>0a000006</t>
  </si>
  <si>
    <t>ts0his3</t>
  </si>
  <si>
    <t>Relative level 3</t>
  </si>
  <si>
    <t>Relative level 3 days before (Level = Relative level / Resolution), ie how many segments are full in the bar graph</t>
  </si>
  <si>
    <t>0a000007</t>
  </si>
  <si>
    <t>ts0his4</t>
  </si>
  <si>
    <t>Relative level 4</t>
  </si>
  <si>
    <t>Relative level 4 days before (Level = Relative level / Resolution), ie how many segments are full in the bar graph</t>
  </si>
  <si>
    <t>0a000008</t>
  </si>
  <si>
    <t>ts0his5</t>
  </si>
  <si>
    <t>Relative level 5</t>
  </si>
  <si>
    <t>Relative level 5 days before (Level = Relative level / Resolution), ie how many segments are full in the bar graph</t>
  </si>
  <si>
    <t>0a000009</t>
  </si>
  <si>
    <t>ts0temp</t>
  </si>
  <si>
    <t>Tank temperature</t>
  </si>
  <si>
    <t>wp</t>
  </si>
  <si>
    <t>0a010000</t>
  </si>
  <si>
    <t>wp0avl</t>
  </si>
  <si>
    <t>Water pump</t>
  </si>
  <si>
    <t>oprtst</t>
  </si>
  <si>
    <t>0a010001</t>
  </si>
  <si>
    <t>wp0oprtst</t>
  </si>
  <si>
    <t>0=Pump off; 1=Pump on (standby or running)</t>
  </si>
  <si>
    <t xml:space="preserve">operating status </t>
  </si>
  <si>
    <t>Status &amp; command</t>
  </si>
  <si>
    <t>pmpst</t>
  </si>
  <si>
    <t>0a010002</t>
  </si>
  <si>
    <t>wp0pmpst</t>
  </si>
  <si>
    <t>0=Pump not running ; 1=Pump running</t>
  </si>
  <si>
    <t>Pump status</t>
  </si>
  <si>
    <t>wtrhkdtct</t>
  </si>
  <si>
    <t>0a010003</t>
  </si>
  <si>
    <t>wp0wtrhkdtct</t>
  </si>
  <si>
    <t>0=RV is hooked to outside water source ; 1=RV is not hooked up</t>
  </si>
  <si>
    <t>Water hookup detected</t>
  </si>
  <si>
    <t>cursyspres</t>
  </si>
  <si>
    <t>0a010004</t>
  </si>
  <si>
    <t>wp0cursyspres</t>
  </si>
  <si>
    <t>Current system pressure</t>
  </si>
  <si>
    <t>Precision = 100 Pa = 0.0145 PSI
Value range = 0 to 6 553 200 Pa (0 to 950.214 PSI)</t>
  </si>
  <si>
    <t>ppresset</t>
  </si>
  <si>
    <t>0a010005</t>
  </si>
  <si>
    <t>wp0ppresset</t>
  </si>
  <si>
    <t>Pump pressure setting</t>
  </si>
  <si>
    <t>rpresset</t>
  </si>
  <si>
    <t>0a010006</t>
  </si>
  <si>
    <t>wp0rpresset</t>
  </si>
  <si>
    <t>Regulator pressure setting</t>
  </si>
  <si>
    <t>oprtcurr</t>
  </si>
  <si>
    <t>0a010007</t>
  </si>
  <si>
    <t>wp0oprtcurr</t>
  </si>
  <si>
    <t>0-250</t>
  </si>
  <si>
    <t>Operating current</t>
  </si>
  <si>
    <t>0a010008</t>
  </si>
  <si>
    <t>wp0oc</t>
  </si>
  <si>
    <t>Overcurrent</t>
  </si>
  <si>
    <t>wh</t>
  </si>
  <si>
    <t>0a020000</t>
  </si>
  <si>
    <t>wh0avl</t>
  </si>
  <si>
    <t>Water Heater</t>
  </si>
  <si>
    <t>opstat</t>
  </si>
  <si>
    <t>0a020001</t>
  </si>
  <si>
    <t>wh0opstat</t>
  </si>
  <si>
    <t>hlvl</t>
  </si>
  <si>
    <t>0a020002</t>
  </si>
  <si>
    <t>wh0hlvl</t>
  </si>
  <si>
    <t>Heat level</t>
  </si>
  <si>
    <t>0x1FFB3/0x1FFB2</t>
  </si>
  <si>
    <t>__dcload</t>
  </si>
  <si>
    <t>dcl</t>
  </si>
  <si>
    <t>0b000000</t>
  </si>
  <si>
    <t>dcl0avl</t>
  </si>
  <si>
    <t>DC Load</t>
  </si>
  <si>
    <t>0b000001</t>
  </si>
  <si>
    <t>dcl0cmd</t>
  </si>
  <si>
    <t>dd</t>
  </si>
  <si>
    <t>0b000002</t>
  </si>
  <si>
    <t>dcl0dd</t>
  </si>
  <si>
    <t>Duration/delay</t>
  </si>
  <si>
    <t>0b000003</t>
  </si>
  <si>
    <t>dcl0lvl</t>
  </si>
  <si>
    <t>0b000004</t>
  </si>
  <si>
    <t>dcl0oc</t>
  </si>
  <si>
    <t>0b000005</t>
  </si>
  <si>
    <t>dcl0type</t>
  </si>
  <si>
    <t>__dimmer</t>
  </si>
  <si>
    <t>dim</t>
  </si>
  <si>
    <t>0c000000</t>
  </si>
  <si>
    <t>dim0avl</t>
  </si>
  <si>
    <t>DC Dimmer</t>
  </si>
  <si>
    <t>0x1FFF7/0x1FFF6</t>
  </si>
  <si>
    <t>0c000001</t>
  </si>
  <si>
    <t>0x1FE98/0x1FE99</t>
  </si>
  <si>
    <t>0c000002</t>
  </si>
  <si>
    <t>dim0dd</t>
  </si>
  <si>
    <t>0c000003</t>
  </si>
  <si>
    <t>dim0lvl</t>
  </si>
  <si>
    <t>rgb</t>
  </si>
  <si>
    <t>0c000004</t>
  </si>
  <si>
    <t>dim0rgb</t>
  </si>
  <si>
    <t>RGB color</t>
  </si>
  <si>
    <t>0c000005</t>
  </si>
  <si>
    <t>dim0oc</t>
  </si>
  <si>
    <t>lstat</t>
  </si>
  <si>
    <t>0c000006</t>
  </si>
  <si>
    <t>Load status</t>
  </si>
  <si>
    <t>__scene</t>
  </si>
  <si>
    <t>sc</t>
  </si>
  <si>
    <t>0d000000</t>
  </si>
  <si>
    <t>sc0avl</t>
  </si>
  <si>
    <t>Scenes</t>
  </si>
  <si>
    <t>0d000001</t>
  </si>
  <si>
    <t>sc0name</t>
  </si>
  <si>
    <t>Name</t>
  </si>
  <si>
    <t>Scene name</t>
  </si>
  <si>
    <t>0d000002</t>
  </si>
  <si>
    <t>sc0stat</t>
  </si>
  <si>
    <t>Scene status, Setting 1="Activated" is prohibited</t>
  </si>
  <si>
    <t>sce</t>
  </si>
  <si>
    <t>0d010000</t>
  </si>
  <si>
    <t>sce0avl</t>
  </si>
  <si>
    <t>Scene Element Definition</t>
  </si>
  <si>
    <t>parent</t>
  </si>
  <si>
    <t>0d010001</t>
  </si>
  <si>
    <t>sce0parent</t>
  </si>
  <si>
    <t>Parent</t>
  </si>
  <si>
    <t>Scene parent instance</t>
  </si>
  <si>
    <t>pname</t>
  </si>
  <si>
    <t>0d010002</t>
  </si>
  <si>
    <t>sce0pname</t>
  </si>
  <si>
    <t>Scene parameter name</t>
  </si>
  <si>
    <t>par</t>
  </si>
  <si>
    <t>0d010003</t>
  </si>
  <si>
    <t>sce0par</t>
  </si>
  <si>
    <t>Scene parameter int32_t value</t>
  </si>
  <si>
    <t>aut</t>
  </si>
  <si>
    <t>0d020000</t>
  </si>
  <si>
    <t>aut0avl</t>
  </si>
  <si>
    <t>Automation</t>
  </si>
  <si>
    <t>0d020001</t>
  </si>
  <si>
    <t>aut0name</t>
  </si>
  <si>
    <t>Automation name</t>
  </si>
  <si>
    <t>0d020002</t>
  </si>
  <si>
    <t>aut0state</t>
  </si>
  <si>
    <t>State</t>
  </si>
  <si>
    <t>Automation enabled state</t>
  </si>
  <si>
    <t>sth</t>
  </si>
  <si>
    <t>0d020003</t>
  </si>
  <si>
    <t>aut0sth</t>
  </si>
  <si>
    <t>Start time hours</t>
  </si>
  <si>
    <t>stm</t>
  </si>
  <si>
    <t>0d020004</t>
  </si>
  <si>
    <t>aut0stm</t>
  </si>
  <si>
    <t>Start time minutes</t>
  </si>
  <si>
    <t>std</t>
  </si>
  <si>
    <t>0d020005</t>
  </si>
  <si>
    <t>aut0std</t>
  </si>
  <si>
    <t>Start time days of the week</t>
  </si>
  <si>
    <t>ist</t>
  </si>
  <si>
    <t>0d020006</t>
  </si>
  <si>
    <t>aut0ist</t>
  </si>
  <si>
    <t>Scene instance to automate</t>
  </si>
  <si>
    <t>__dblesensor</t>
  </si>
  <si>
    <t>snode</t>
  </si>
  <si>
    <t>0e000000</t>
  </si>
  <si>
    <t>snode0avl</t>
  </si>
  <si>
    <t>Sensor node</t>
  </si>
  <si>
    <t>Dometic BLE sensor</t>
  </si>
  <si>
    <t>mfgr</t>
  </si>
  <si>
    <t>0e000001</t>
  </si>
  <si>
    <t>snode0mfgr</t>
  </si>
  <si>
    <t>Manufacturer</t>
  </si>
  <si>
    <t>0e000002</t>
  </si>
  <si>
    <t>snode0type</t>
  </si>
  <si>
    <t>Product type</t>
  </si>
  <si>
    <t>0e000003</t>
  </si>
  <si>
    <t>snode0mdl</t>
  </si>
  <si>
    <t>Node type</t>
  </si>
  <si>
    <t>id</t>
  </si>
  <si>
    <t>0e000004</t>
  </si>
  <si>
    <t>snode0id</t>
  </si>
  <si>
    <t>Id</t>
  </si>
  <si>
    <t>0e000005</t>
  </si>
  <si>
    <t>snode0name</t>
  </si>
  <si>
    <t>Device name</t>
  </si>
  <si>
    <t>0e000006</t>
  </si>
  <si>
    <t>snode0fr</t>
  </si>
  <si>
    <t>Factory reset</t>
  </si>
  <si>
    <t>advint</t>
  </si>
  <si>
    <t>0e000007</t>
  </si>
  <si>
    <t>snode0advint</t>
  </si>
  <si>
    <t>Advertising interval</t>
  </si>
  <si>
    <t>advintc</t>
  </si>
  <si>
    <t>0e000008</t>
  </si>
  <si>
    <t>snode0advintc</t>
  </si>
  <si>
    <t>Advertising interval connected</t>
  </si>
  <si>
    <t>connint</t>
  </si>
  <si>
    <t>0e000009</t>
  </si>
  <si>
    <t>snode0connint</t>
  </si>
  <si>
    <t>Connection interval</t>
  </si>
  <si>
    <t>slavelat</t>
  </si>
  <si>
    <t>0e00000a</t>
  </si>
  <si>
    <t>snode0slavelat</t>
  </si>
  <si>
    <t>Slave latency</t>
  </si>
  <si>
    <t>sha1</t>
  </si>
  <si>
    <t>0e00000b</t>
  </si>
  <si>
    <t>snode0sha1</t>
  </si>
  <si>
    <t>GAP SHA1 hash</t>
  </si>
  <si>
    <t>blob</t>
  </si>
  <si>
    <t>0e00000c</t>
  </si>
  <si>
    <t>snode0blob</t>
  </si>
  <si>
    <t>Configuration blob</t>
  </si>
  <si>
    <t>func</t>
  </si>
  <si>
    <t>0e00000d</t>
  </si>
  <si>
    <t>snode0func</t>
  </si>
  <si>
    <t>Function</t>
  </si>
  <si>
    <t>loc</t>
  </si>
  <si>
    <t>0e00000e</t>
  </si>
  <si>
    <t>snode0loc</t>
  </si>
  <si>
    <t>Location</t>
  </si>
  <si>
    <t>dfu</t>
  </si>
  <si>
    <t>0e00000f</t>
  </si>
  <si>
    <t>snode0dfu</t>
  </si>
  <si>
    <t>Enter OTA DFU</t>
  </si>
  <si>
    <t>ncint</t>
  </si>
  <si>
    <t>0e000010</t>
  </si>
  <si>
    <t>snode0ncint</t>
  </si>
  <si>
    <t>Nonconnectable connection interval</t>
  </si>
  <si>
    <t>cint</t>
  </si>
  <si>
    <t>0e000011</t>
  </si>
  <si>
    <t>snode0cint</t>
  </si>
  <si>
    <t>Connectable connection interval</t>
  </si>
  <si>
    <t>gapblob</t>
  </si>
  <si>
    <t>0e000012</t>
  </si>
  <si>
    <t>snode0gapblob</t>
  </si>
  <si>
    <t>GAP blob</t>
  </si>
  <si>
    <t>uadvint</t>
  </si>
  <si>
    <t>0e000013</t>
  </si>
  <si>
    <t>snode0uadvint</t>
  </si>
  <si>
    <t>Update advertise interval</t>
  </si>
  <si>
    <t>ledblink</t>
  </si>
  <si>
    <t>0e000014</t>
  </si>
  <si>
    <t>snode0ledblink</t>
  </si>
  <si>
    <t>LED blink</t>
  </si>
  <si>
    <t>wlint</t>
  </si>
  <si>
    <t>0e000015</t>
  </si>
  <si>
    <t>snode0wlint</t>
  </si>
  <si>
    <t>Connectable connection interval with WL</t>
  </si>
  <si>
    <t>peerdel</t>
  </si>
  <si>
    <t>0e000016</t>
  </si>
  <si>
    <t>snode0peerdel</t>
  </si>
  <si>
    <t>Delete peer</t>
  </si>
  <si>
    <t>sn</t>
  </si>
  <si>
    <t>0e000017</t>
  </si>
  <si>
    <t>snode0sn</t>
  </si>
  <si>
    <t>mgrdate</t>
  </si>
  <si>
    <t>0e000018</t>
  </si>
  <si>
    <t>snode0mgrdate</t>
  </si>
  <si>
    <t>Manufacturing date</t>
  </si>
  <si>
    <t>mfgrname</t>
  </si>
  <si>
    <t>0e000019</t>
  </si>
  <si>
    <t>snode0mfgrname</t>
  </si>
  <si>
    <t>Manufacturer name</t>
  </si>
  <si>
    <t>product</t>
  </si>
  <si>
    <t>0e00001a</t>
  </si>
  <si>
    <t>snode0product</t>
  </si>
  <si>
    <t>Product</t>
  </si>
  <si>
    <t>0e00001b</t>
  </si>
  <si>
    <t>snode0sku</t>
  </si>
  <si>
    <t>SKU</t>
  </si>
  <si>
    <t>0e00001c</t>
  </si>
  <si>
    <t>snode0ver</t>
  </si>
  <si>
    <t>pcb</t>
  </si>
  <si>
    <t>0e00001d</t>
  </si>
  <si>
    <t>snode0pcb</t>
  </si>
  <si>
    <t>PCB</t>
  </si>
  <si>
    <t>bom</t>
  </si>
  <si>
    <t>0e00001e</t>
  </si>
  <si>
    <t>snode0bom</t>
  </si>
  <si>
    <t>BOM</t>
  </si>
  <si>
    <t>itemdesc</t>
  </si>
  <si>
    <t>0e00001f</t>
  </si>
  <si>
    <t>snode0itemdesc</t>
  </si>
  <si>
    <t>Item description</t>
  </si>
  <si>
    <t>mdlno</t>
  </si>
  <si>
    <t>0e000020</t>
  </si>
  <si>
    <t>snode0mdlno</t>
  </si>
  <si>
    <t>Model number</t>
  </si>
  <si>
    <t>mdlname</t>
  </si>
  <si>
    <t>0e000021</t>
  </si>
  <si>
    <t>snode0mdlname</t>
  </si>
  <si>
    <t>Model name</t>
  </si>
  <si>
    <t>ean13</t>
  </si>
  <si>
    <t>0e000022</t>
  </si>
  <si>
    <t>snode0ean13</t>
  </si>
  <si>
    <t>EAN13</t>
  </si>
  <si>
    <t>battlvl</t>
  </si>
  <si>
    <t>0e000023</t>
  </si>
  <si>
    <t>snode0battlvl</t>
  </si>
  <si>
    <t>saccm</t>
  </si>
  <si>
    <t>0e010000</t>
  </si>
  <si>
    <t>saccm0avl</t>
  </si>
  <si>
    <t>Accelerometer</t>
  </si>
  <si>
    <t>0e010001</t>
  </si>
  <si>
    <t>saccm0status</t>
  </si>
  <si>
    <t>0e010002</t>
  </si>
  <si>
    <t>saccm0fr</t>
  </si>
  <si>
    <t>accx</t>
  </si>
  <si>
    <t>0e010003</t>
  </si>
  <si>
    <t>saccm0accx</t>
  </si>
  <si>
    <t>g</t>
  </si>
  <si>
    <t>Acceleration x</t>
  </si>
  <si>
    <t>accy</t>
  </si>
  <si>
    <t>0e010004</t>
  </si>
  <si>
    <t>saccm0accy</t>
  </si>
  <si>
    <t>Acceleration y</t>
  </si>
  <si>
    <t>accz</t>
  </si>
  <si>
    <t>0e010005</t>
  </si>
  <si>
    <t>saccm0accz</t>
  </si>
  <si>
    <t>Acceleration z</t>
  </si>
  <si>
    <t>lonangle</t>
  </si>
  <si>
    <t>0e010006</t>
  </si>
  <si>
    <t>saccm0lonangle</t>
  </si>
  <si>
    <t>Longitudinal tilt angle</t>
  </si>
  <si>
    <t>latangle</t>
  </si>
  <si>
    <t>0e010007</t>
  </si>
  <si>
    <t>saccm0latangle</t>
  </si>
  <si>
    <t>Lateral tilt angle</t>
  </si>
  <si>
    <t>0e010008</t>
  </si>
  <si>
    <t>saccm0temp</t>
  </si>
  <si>
    <t>Temperature</t>
  </si>
  <si>
    <t>wai</t>
  </si>
  <si>
    <t>0e010009</t>
  </si>
  <si>
    <t>saccm0wai</t>
  </si>
  <si>
    <t>WhoAmI</t>
  </si>
  <si>
    <t>event</t>
  </si>
  <si>
    <t>0e01000a</t>
  </si>
  <si>
    <t>saccm0event</t>
  </si>
  <si>
    <t>Acceleration event</t>
  </si>
  <si>
    <t>sendaccx</t>
  </si>
  <si>
    <t>0e01000b</t>
  </si>
  <si>
    <t>saccm0sendaccx</t>
  </si>
  <si>
    <t xml:space="preserve">Send acceleration x </t>
  </si>
  <si>
    <t>sendaccy</t>
  </si>
  <si>
    <t>0e01000c</t>
  </si>
  <si>
    <t>saccm0sendaccy</t>
  </si>
  <si>
    <t>Send acceleration y</t>
  </si>
  <si>
    <t>sendaccz</t>
  </si>
  <si>
    <t>0e01000d</t>
  </si>
  <si>
    <t>saccm0sendaccz</t>
  </si>
  <si>
    <t>Send acceleration z</t>
  </si>
  <si>
    <t>sendtilt</t>
  </si>
  <si>
    <t>0e01000e</t>
  </si>
  <si>
    <t>saccm0sendtilt</t>
  </si>
  <si>
    <t>Send tilt angle</t>
  </si>
  <si>
    <t>sendtemp</t>
  </si>
  <si>
    <t>0e01000f</t>
  </si>
  <si>
    <t>saccm0sendtemp</t>
  </si>
  <si>
    <t>Send temperature</t>
  </si>
  <si>
    <t>sampp</t>
  </si>
  <si>
    <t>0e010010</t>
  </si>
  <si>
    <t>saccm0sampp</t>
  </si>
  <si>
    <t>Sampling period</t>
  </si>
  <si>
    <t>calflatdone</t>
  </si>
  <si>
    <t>0e010011</t>
  </si>
  <si>
    <t>saccm0calflatdone</t>
  </si>
  <si>
    <t>Calibration flat done</t>
  </si>
  <si>
    <t>calflatstart</t>
  </si>
  <si>
    <t>0e010012</t>
  </si>
  <si>
    <t>saccm0calflatstart</t>
  </si>
  <si>
    <t>Calibration flat start</t>
  </si>
  <si>
    <t>caltiltdone</t>
  </si>
  <si>
    <t>0e010013</t>
  </si>
  <si>
    <t>saccm0caltiltdone</t>
  </si>
  <si>
    <t>Calibration tilt done</t>
  </si>
  <si>
    <t>caltiltstart</t>
  </si>
  <si>
    <t>0e010014</t>
  </si>
  <si>
    <t>saccm0caltiltstart</t>
  </si>
  <si>
    <t>Calibration tilt start</t>
  </si>
  <si>
    <t>caltiltpos</t>
  </si>
  <si>
    <t>0e010015</t>
  </si>
  <si>
    <t>saccm0caltiltpos</t>
  </si>
  <si>
    <t>Calibration tilt position</t>
  </si>
  <si>
    <t>datarate</t>
  </si>
  <si>
    <t>0e010016</t>
  </si>
  <si>
    <t>saccm0datarate</t>
  </si>
  <si>
    <t>Set data rate</t>
  </si>
  <si>
    <t>powerm</t>
  </si>
  <si>
    <t>0e010017</t>
  </si>
  <si>
    <t>saccm0powerm</t>
  </si>
  <si>
    <t>Set power mode</t>
  </si>
  <si>
    <t>bw</t>
  </si>
  <si>
    <t>0e010018</t>
  </si>
  <si>
    <t>saccm0bw</t>
  </si>
  <si>
    <t>Set filter bandwidth</t>
  </si>
  <si>
    <t>fullscale</t>
  </si>
  <si>
    <t>0e010019</t>
  </si>
  <si>
    <t>saccm0fullscale</t>
  </si>
  <si>
    <t>Set full scale</t>
  </si>
  <si>
    <t>filtpath</t>
  </si>
  <si>
    <t>0e01001a</t>
  </si>
  <si>
    <t>saccm0filtpath</t>
  </si>
  <si>
    <t xml:space="preserve">Set filter path </t>
  </si>
  <si>
    <t>tiltt</t>
  </si>
  <si>
    <t>0e01001b</t>
  </si>
  <si>
    <t>saccm0tiltt</t>
  </si>
  <si>
    <t>Set 6d threshold</t>
  </si>
  <si>
    <t>tapx</t>
  </si>
  <si>
    <t>0e01001c</t>
  </si>
  <si>
    <t>saccm0tapx</t>
  </si>
  <si>
    <t>Set tap threshold x</t>
  </si>
  <si>
    <t>tapy</t>
  </si>
  <si>
    <t>0e01001d</t>
  </si>
  <si>
    <t>saccm0tapy</t>
  </si>
  <si>
    <t>Set tap threshold y</t>
  </si>
  <si>
    <t>tapz</t>
  </si>
  <si>
    <t>0e01001e</t>
  </si>
  <si>
    <t>saccm0tapz</t>
  </si>
  <si>
    <t>Set tap threshold z</t>
  </si>
  <si>
    <t>tapdir</t>
  </si>
  <si>
    <t>0e01001f</t>
  </si>
  <si>
    <t>saccm0tapdir</t>
  </si>
  <si>
    <t xml:space="preserve">Set tap recognition axis </t>
  </si>
  <si>
    <t>tapp</t>
  </si>
  <si>
    <t>0e010020</t>
  </si>
  <si>
    <t>saccm0tapp</t>
  </si>
  <si>
    <t>Set tap axis priority</t>
  </si>
  <si>
    <t>fallthresh</t>
  </si>
  <si>
    <t>0e010021</t>
  </si>
  <si>
    <t>saccm0fallthresh</t>
  </si>
  <si>
    <t>Set freefall threshold</t>
  </si>
  <si>
    <t>falldur</t>
  </si>
  <si>
    <t>0e010022</t>
  </si>
  <si>
    <t>saccm0falldur</t>
  </si>
  <si>
    <t>Set freefall duration</t>
  </si>
  <si>
    <t>wakethresh</t>
  </si>
  <si>
    <t>0e010023</t>
  </si>
  <si>
    <t>saccm0wakethresh</t>
  </si>
  <si>
    <t>Set wakeup threshold</t>
  </si>
  <si>
    <t>wakedur</t>
  </si>
  <si>
    <t>0e010024</t>
  </si>
  <si>
    <t>saccm0wakedur</t>
  </si>
  <si>
    <t>Set wakeup duration</t>
  </si>
  <si>
    <t>dtapdur</t>
  </si>
  <si>
    <t>0e010025</t>
  </si>
  <si>
    <t>saccm0dtapdur</t>
  </si>
  <si>
    <t>Set double tap duration</t>
  </si>
  <si>
    <t>0e010026</t>
  </si>
  <si>
    <t>saccm0quiett</t>
  </si>
  <si>
    <t>Set double tap quiet time</t>
  </si>
  <si>
    <t>shockdur</t>
  </si>
  <si>
    <t>0e010027</t>
  </si>
  <si>
    <t>saccm0shockdur</t>
  </si>
  <si>
    <t>Set double tap shock duration</t>
  </si>
  <si>
    <t>tapmode</t>
  </si>
  <si>
    <t>0e010028</t>
  </si>
  <si>
    <t>saccm0tapmode</t>
  </si>
  <si>
    <t>Set tap mode</t>
  </si>
  <si>
    <t>taprecogx</t>
  </si>
  <si>
    <t>0e010029</t>
  </si>
  <si>
    <t>saccm0taprecogx</t>
  </si>
  <si>
    <t>Set tap recognition x</t>
  </si>
  <si>
    <t>taprecogy</t>
  </si>
  <si>
    <t>0e01002a</t>
  </si>
  <si>
    <t>saccm0taprecogy</t>
  </si>
  <si>
    <t>Set tap recognition y</t>
  </si>
  <si>
    <t>taprecogz</t>
  </si>
  <si>
    <t>0e01002b</t>
  </si>
  <si>
    <t>saccm0taprecogz</t>
  </si>
  <si>
    <t>Set tap recognition z</t>
  </si>
  <si>
    <t>stapevent</t>
  </si>
  <si>
    <t>0e01002c</t>
  </si>
  <si>
    <t>saccm0stapevent</t>
  </si>
  <si>
    <t>Single tap enable</t>
  </si>
  <si>
    <t>dtapevent</t>
  </si>
  <si>
    <t>0e01002d</t>
  </si>
  <si>
    <t>saccm0dtapevent</t>
  </si>
  <si>
    <t>Double tap enable</t>
  </si>
  <si>
    <t>ffevent</t>
  </si>
  <si>
    <t>0e01002e</t>
  </si>
  <si>
    <t>saccm0ffevent</t>
  </si>
  <si>
    <t>Freefall enable</t>
  </si>
  <si>
    <t>tiltevent</t>
  </si>
  <si>
    <t>0e01002f</t>
  </si>
  <si>
    <t>saccm0tiltevent</t>
  </si>
  <si>
    <t>Tilt enable</t>
  </si>
  <si>
    <t>wuevent</t>
  </si>
  <si>
    <t>0e010030</t>
  </si>
  <si>
    <t>saccm0wuevent</t>
  </si>
  <si>
    <t>Wakeup enable</t>
  </si>
  <si>
    <t>shall</t>
  </si>
  <si>
    <t>0e020000</t>
  </si>
  <si>
    <t>shall0avl</t>
  </si>
  <si>
    <t>HALL sensor</t>
  </si>
  <si>
    <t>0e020001</t>
  </si>
  <si>
    <t>shall0status</t>
  </si>
  <si>
    <t>0e020002</t>
  </si>
  <si>
    <t>shall0fr</t>
  </si>
  <si>
    <t>open</t>
  </si>
  <si>
    <t>0e020003</t>
  </si>
  <si>
    <t>shall0open</t>
  </si>
  <si>
    <t>1=Not detected</t>
  </si>
  <si>
    <t>Open</t>
  </si>
  <si>
    <t>sendopen</t>
  </si>
  <si>
    <t>0e020004</t>
  </si>
  <si>
    <t>shall0sendopen</t>
  </si>
  <si>
    <t>Send open</t>
  </si>
  <si>
    <t>sbmea</t>
  </si>
  <si>
    <t>0e030000</t>
  </si>
  <si>
    <t>sbmea0avl</t>
  </si>
  <si>
    <t>BME280</t>
  </si>
  <si>
    <t>0e030001</t>
  </si>
  <si>
    <t>sbmea0status</t>
  </si>
  <si>
    <t>0e030002</t>
  </si>
  <si>
    <t>sbmea0fr</t>
  </si>
  <si>
    <t>0e030003</t>
  </si>
  <si>
    <t>sbmea0temp</t>
  </si>
  <si>
    <t>hum</t>
  </si>
  <si>
    <t>0e030004</t>
  </si>
  <si>
    <t>sbmea0hum</t>
  </si>
  <si>
    <t>Humidity</t>
  </si>
  <si>
    <t>prs</t>
  </si>
  <si>
    <t>0e030005</t>
  </si>
  <si>
    <t>sbmea0prs</t>
  </si>
  <si>
    <t>Pressure</t>
  </si>
  <si>
    <t>0e030006</t>
  </si>
  <si>
    <t>sbmea0sendtemp</t>
  </si>
  <si>
    <t>sendhum</t>
  </si>
  <si>
    <t>0e030007</t>
  </si>
  <si>
    <t>sbmea0sendhum</t>
  </si>
  <si>
    <t>Send humidity</t>
  </si>
  <si>
    <t>sendprs</t>
  </si>
  <si>
    <t>0e030008</t>
  </si>
  <si>
    <t>sbmea0sendprs</t>
  </si>
  <si>
    <t>Send pressure</t>
  </si>
  <si>
    <t>overtemp</t>
  </si>
  <si>
    <t>0e030009</t>
  </si>
  <si>
    <t>sbmea0overtemp</t>
  </si>
  <si>
    <t>0-5</t>
  </si>
  <si>
    <t>Oversampling temperature</t>
  </si>
  <si>
    <t>overhum</t>
  </si>
  <si>
    <t>0e03000a</t>
  </si>
  <si>
    <t>sbmea0overhum</t>
  </si>
  <si>
    <t>Oversampling humidity</t>
  </si>
  <si>
    <t>overprs</t>
  </si>
  <si>
    <t>0e03000b</t>
  </si>
  <si>
    <t>sbmea0overprs</t>
  </si>
  <si>
    <t>Oversampling pressure</t>
  </si>
  <si>
    <t>0e03000c</t>
  </si>
  <si>
    <t>sbmea0sampp</t>
  </si>
  <si>
    <t>sbmeb</t>
  </si>
  <si>
    <t>0e040000</t>
  </si>
  <si>
    <t>sbmeb0avl</t>
  </si>
  <si>
    <t>BME680</t>
  </si>
  <si>
    <t>0e040001</t>
  </si>
  <si>
    <t>sbmeb0status</t>
  </si>
  <si>
    <t>0e040002</t>
  </si>
  <si>
    <t>sbmeb0fr</t>
  </si>
  <si>
    <t>0e040003</t>
  </si>
  <si>
    <t>sbmeb0temp</t>
  </si>
  <si>
    <t>0e040004</t>
  </si>
  <si>
    <t>sbmeb0hum</t>
  </si>
  <si>
    <t>0e040005</t>
  </si>
  <si>
    <t>sbmeb0prs</t>
  </si>
  <si>
    <t>0e040006</t>
  </si>
  <si>
    <t>sbmeb0gas</t>
  </si>
  <si>
    <t>Ohm</t>
  </si>
  <si>
    <t>Gas resistance</t>
  </si>
  <si>
    <t>aqr</t>
  </si>
  <si>
    <t>0e040007</t>
  </si>
  <si>
    <t>sbmeb0aqr</t>
  </si>
  <si>
    <t>Air quality value</t>
  </si>
  <si>
    <t>iaq</t>
  </si>
  <si>
    <t>0e040008</t>
  </si>
  <si>
    <t>sbmeb0iaq</t>
  </si>
  <si>
    <t>Air quality index</t>
  </si>
  <si>
    <t>co2</t>
  </si>
  <si>
    <t>0e040009</t>
  </si>
  <si>
    <t>sbmeb0co2</t>
  </si>
  <si>
    <t>CO2 concentration</t>
  </si>
  <si>
    <t>0e04000a</t>
  </si>
  <si>
    <t>sbmeb0voc</t>
  </si>
  <si>
    <t>VOC concentration</t>
  </si>
  <si>
    <t>sst</t>
  </si>
  <si>
    <t>0e04000b</t>
  </si>
  <si>
    <t>sbmeb0sst</t>
  </si>
  <si>
    <t>Stabilization status</t>
  </si>
  <si>
    <t>ris</t>
  </si>
  <si>
    <t>0e04000c</t>
  </si>
  <si>
    <t>sbmeb0ris</t>
  </si>
  <si>
    <t>Run-in status</t>
  </si>
  <si>
    <t>0e04000d</t>
  </si>
  <si>
    <t>sbmeb0sendtemp</t>
  </si>
  <si>
    <t>0e04000e</t>
  </si>
  <si>
    <t>sbmeb0sendhum</t>
  </si>
  <si>
    <t>0e04000f</t>
  </si>
  <si>
    <t>sbmeb0sendprs</t>
  </si>
  <si>
    <t>sendgas</t>
  </si>
  <si>
    <t>0e040010</t>
  </si>
  <si>
    <t>sbmeb0sendgas</t>
  </si>
  <si>
    <t>Send gas resistance</t>
  </si>
  <si>
    <t>sendaqr</t>
  </si>
  <si>
    <t>0e040011</t>
  </si>
  <si>
    <t>sbmeb0sendaqr</t>
  </si>
  <si>
    <t>Send air quality value</t>
  </si>
  <si>
    <t>sendiaq</t>
  </si>
  <si>
    <t>0e040012</t>
  </si>
  <si>
    <t>sbmeb0sendiaq</t>
  </si>
  <si>
    <t>Send air quality index</t>
  </si>
  <si>
    <t>sendco2</t>
  </si>
  <si>
    <t>0e040013</t>
  </si>
  <si>
    <t>sbmeb0sendco2</t>
  </si>
  <si>
    <t>Send CO2</t>
  </si>
  <si>
    <t>sendvoc</t>
  </si>
  <si>
    <t>0e040014</t>
  </si>
  <si>
    <t>sbmeb0sendvoc</t>
  </si>
  <si>
    <t>Send VOC</t>
  </si>
  <si>
    <t>sendsst</t>
  </si>
  <si>
    <t>0e040015</t>
  </si>
  <si>
    <t>sbmeb0sendsst</t>
  </si>
  <si>
    <t>Send stabilization status</t>
  </si>
  <si>
    <t>sendris</t>
  </si>
  <si>
    <t>0e040016</t>
  </si>
  <si>
    <t>sbmeb0sendris</t>
  </si>
  <si>
    <t>Send run-in status</t>
  </si>
  <si>
    <t>samprate</t>
  </si>
  <si>
    <t>0e040017</t>
  </si>
  <si>
    <t>sbmeb0samprate</t>
  </si>
  <si>
    <t>Sample rate</t>
  </si>
  <si>
    <t>samprateg</t>
  </si>
  <si>
    <t>0e040018</t>
  </si>
  <si>
    <t>sbmeb0samprateg</t>
  </si>
  <si>
    <t>Sample rate for gas sensor</t>
  </si>
  <si>
    <t>spir</t>
  </si>
  <si>
    <t>0e050000</t>
  </si>
  <si>
    <t>spir0avl</t>
  </si>
  <si>
    <t>PIR sensor</t>
  </si>
  <si>
    <t>0e050001</t>
  </si>
  <si>
    <t>spir0status</t>
  </si>
  <si>
    <t>0e050002</t>
  </si>
  <si>
    <t>spir0fr</t>
  </si>
  <si>
    <t>evt</t>
  </si>
  <si>
    <t>0e050003</t>
  </si>
  <si>
    <t>spir0evt</t>
  </si>
  <si>
    <t>sendevt</t>
  </si>
  <si>
    <t>0e050004</t>
  </si>
  <si>
    <t>spir0sendevt</t>
  </si>
  <si>
    <t>Send event</t>
  </si>
  <si>
    <t>swb</t>
  </si>
  <si>
    <t>0e060000</t>
  </si>
  <si>
    <t>swb0avl</t>
  </si>
  <si>
    <t>Wire break sensor</t>
  </si>
  <si>
    <t>0e060001</t>
  </si>
  <si>
    <t>swb0status</t>
  </si>
  <si>
    <t>0e060002</t>
  </si>
  <si>
    <t>swb0fr</t>
  </si>
  <si>
    <t>sfunc</t>
  </si>
  <si>
    <t>0e060003</t>
  </si>
  <si>
    <t>swb0sfunc</t>
  </si>
  <si>
    <t>Sub function</t>
  </si>
  <si>
    <t>sloc</t>
  </si>
  <si>
    <t>0e060004</t>
  </si>
  <si>
    <t>swb0sloc</t>
  </si>
  <si>
    <t>Sub location</t>
  </si>
  <si>
    <t>0e060005</t>
  </si>
  <si>
    <t>swb0open</t>
  </si>
  <si>
    <t>adcopen</t>
  </si>
  <si>
    <t>0e060006</t>
  </si>
  <si>
    <t>swb0adcopen</t>
  </si>
  <si>
    <t>ADC open</t>
  </si>
  <si>
    <t>0e060007</t>
  </si>
  <si>
    <t>swb0sendopen</t>
  </si>
  <si>
    <t>sendadc</t>
  </si>
  <si>
    <t>0e060008</t>
  </si>
  <si>
    <t>swb0sendadc</t>
  </si>
  <si>
    <t>Send ADC</t>
  </si>
  <si>
    <t>0e060009</t>
  </si>
  <si>
    <t>swb0sampp</t>
  </si>
  <si>
    <t>sv</t>
  </si>
  <si>
    <t>0e070000</t>
  </si>
  <si>
    <t>sv0avl</t>
  </si>
  <si>
    <t>Voltage sensor</t>
  </si>
  <si>
    <t>0e070001</t>
  </si>
  <si>
    <t>sv0status</t>
  </si>
  <si>
    <t>0e070002</t>
  </si>
  <si>
    <t>sv0fr</t>
  </si>
  <si>
    <t>0e070003</t>
  </si>
  <si>
    <t>sv0sfunc</t>
  </si>
  <si>
    <t>0e070004</t>
  </si>
  <si>
    <t>sv0sloc</t>
  </si>
  <si>
    <t>adcv</t>
  </si>
  <si>
    <t>0e070005</t>
  </si>
  <si>
    <t>sv0adcv</t>
  </si>
  <si>
    <t>ADC 12V</t>
  </si>
  <si>
    <t>adcbatt</t>
  </si>
  <si>
    <t>0e070006</t>
  </si>
  <si>
    <t>sv0adcbatt</t>
  </si>
  <si>
    <t>ADC batt</t>
  </si>
  <si>
    <t>adcblg</t>
  </si>
  <si>
    <t>0e070007</t>
  </si>
  <si>
    <t>sv0adcblg</t>
  </si>
  <si>
    <t>ADC bilge</t>
  </si>
  <si>
    <t>vouts</t>
  </si>
  <si>
    <t>0e070008</t>
  </si>
  <si>
    <t>sv0vouts</t>
  </si>
  <si>
    <t>Vout sense</t>
  </si>
  <si>
    <t>psts</t>
  </si>
  <si>
    <t>0e070009</t>
  </si>
  <si>
    <t>sv0psts</t>
  </si>
  <si>
    <t>Power Status</t>
  </si>
  <si>
    <t>sendadcv</t>
  </si>
  <si>
    <t>0e07000a</t>
  </si>
  <si>
    <t>sv0sendadcv</t>
  </si>
  <si>
    <t>Send adc 12V</t>
  </si>
  <si>
    <t>sendadcbatt</t>
  </si>
  <si>
    <t>0e07000b</t>
  </si>
  <si>
    <t>sv0sendadcbatt</t>
  </si>
  <si>
    <t>Send ADC batt</t>
  </si>
  <si>
    <t>sendadcblg</t>
  </si>
  <si>
    <t>0e07000c</t>
  </si>
  <si>
    <t>sv0sendadcblg</t>
  </si>
  <si>
    <t>Send ADC bilge</t>
  </si>
  <si>
    <t>sendvouts</t>
  </si>
  <si>
    <t>0e07000d</t>
  </si>
  <si>
    <t>sv0sendvouts</t>
  </si>
  <si>
    <t>Send vout sense</t>
  </si>
  <si>
    <t>0e07000e</t>
  </si>
  <si>
    <t>sv0sampp</t>
  </si>
  <si>
    <t>sdp</t>
  </si>
  <si>
    <t>0e080000</t>
  </si>
  <si>
    <t>sdp0avl</t>
  </si>
  <si>
    <t>Differential pressure sensor</t>
  </si>
  <si>
    <t>0e080001</t>
  </si>
  <si>
    <t>sdp0status</t>
  </si>
  <si>
    <t>0e080002</t>
  </si>
  <si>
    <t>sdp0fr</t>
  </si>
  <si>
    <t>dp</t>
  </si>
  <si>
    <t>0e080003</t>
  </si>
  <si>
    <t>sdp0dp</t>
  </si>
  <si>
    <t>dPa</t>
  </si>
  <si>
    <t>Differential pressure</t>
  </si>
  <si>
    <t>0e080004</t>
  </si>
  <si>
    <t>sdp0temp</t>
  </si>
  <si>
    <t>pi</t>
  </si>
  <si>
    <t>0e080005</t>
  </si>
  <si>
    <t>sdp0pi</t>
  </si>
  <si>
    <t>Product Identifier</t>
  </si>
  <si>
    <t>senddp</t>
  </si>
  <si>
    <t>0e080006</t>
  </si>
  <si>
    <t>sdp0senddp</t>
  </si>
  <si>
    <t>Send differential pressure</t>
  </si>
  <si>
    <t>0e080007</t>
  </si>
  <si>
    <t>sdp0sendtemp</t>
  </si>
  <si>
    <t>0e080008</t>
  </si>
  <si>
    <t>sdp0sampp</t>
  </si>
  <si>
    <t>mc</t>
  </si>
  <si>
    <t>0e080009</t>
  </si>
  <si>
    <t>sdp0mc</t>
  </si>
  <si>
    <t>sv0mc</t>
  </si>
  <si>
    <t>Measurement command</t>
  </si>
  <si>
    <t>shallan</t>
  </si>
  <si>
    <t>0e090000</t>
  </si>
  <si>
    <t>shallan0avl</t>
  </si>
  <si>
    <t>HALL analog sensor</t>
  </si>
  <si>
    <t>0e090001</t>
  </si>
  <si>
    <t>shallan0status</t>
  </si>
  <si>
    <t>0e090002</t>
  </si>
  <si>
    <t>shallan0fr</t>
  </si>
  <si>
    <t>mfx</t>
  </si>
  <si>
    <t>0e090003</t>
  </si>
  <si>
    <t>shallan0mfx</t>
  </si>
  <si>
    <t>mT</t>
  </si>
  <si>
    <t>Value magnetic field X</t>
  </si>
  <si>
    <t>mfy</t>
  </si>
  <si>
    <t>0e090004</t>
  </si>
  <si>
    <t>shallan0mfy</t>
  </si>
  <si>
    <t>Value magnetic field Y</t>
  </si>
  <si>
    <t>mfz</t>
  </si>
  <si>
    <t>0e090005</t>
  </si>
  <si>
    <t>shallan0mfz</t>
  </si>
  <si>
    <t>Value magnetic field Z</t>
  </si>
  <si>
    <t>0e090006</t>
  </si>
  <si>
    <t>shallan0evt</t>
  </si>
  <si>
    <t>sendmfx</t>
  </si>
  <si>
    <t>0e090007</t>
  </si>
  <si>
    <t>shallan0sendmfx</t>
  </si>
  <si>
    <t>Send magnetic field X</t>
  </si>
  <si>
    <t>sendmfy</t>
  </si>
  <si>
    <t>0e090008</t>
  </si>
  <si>
    <t>shallan0sendmfy</t>
  </si>
  <si>
    <t>Send magnetic field Y</t>
  </si>
  <si>
    <t>sendmfz</t>
  </si>
  <si>
    <t>0e090009</t>
  </si>
  <si>
    <t>shallan0sendmfz</t>
  </si>
  <si>
    <t>Send magnetic field Z</t>
  </si>
  <si>
    <t>0e09000a</t>
  </si>
  <si>
    <t>shallan0sendevt</t>
  </si>
  <si>
    <t>0e09000b</t>
  </si>
  <si>
    <t>shallan0sampp</t>
  </si>
  <si>
    <t>__test</t>
  </si>
  <si>
    <t>0f000000</t>
  </si>
  <si>
    <t>test0avl</t>
  </si>
  <si>
    <t>r</t>
  </si>
  <si>
    <t>0f000001</t>
  </si>
  <si>
    <t>test0r</t>
  </si>
  <si>
    <t>Read</t>
  </si>
  <si>
    <t>rw</t>
  </si>
  <si>
    <t>0f000002</t>
  </si>
  <si>
    <t>test0rw</t>
  </si>
  <si>
    <t>Read/Write</t>
  </si>
  <si>
    <t>demo</t>
  </si>
  <si>
    <t>0f010000</t>
  </si>
  <si>
    <t>demo0avl</t>
  </si>
  <si>
    <t>Demo</t>
  </si>
  <si>
    <t>0f010001</t>
  </si>
  <si>
    <t>demo0settemp</t>
  </si>
  <si>
    <t>Set temperature</t>
  </si>
  <si>
    <t>0f010002</t>
  </si>
  <si>
    <t>demo0mode</t>
  </si>
  <si>
    <t>0f010003</t>
  </si>
  <si>
    <t>demo0upt</t>
  </si>
  <si>
    <t>__switch</t>
  </si>
  <si>
    <t>sw</t>
  </si>
  <si>
    <t>10000000</t>
  </si>
  <si>
    <t>sw0avl</t>
  </si>
  <si>
    <t>Switch</t>
  </si>
  <si>
    <t>10000001</t>
  </si>
  <si>
    <t>sw0type</t>
  </si>
  <si>
    <t>Switch type</t>
  </si>
  <si>
    <t>10000002</t>
  </si>
  <si>
    <t>sw0name</t>
  </si>
  <si>
    <t>Switch name</t>
  </si>
  <si>
    <t>sw0id[0]: switch instance (0-127), sw0id[1]: Source (0=DCM, 1=Gateway), sw0id[2] = sw0id[3] = 0</t>
  </si>
  <si>
    <t>stname</t>
  </si>
  <si>
    <t>10000003</t>
  </si>
  <si>
    <t>sw0stname</t>
  </si>
  <si>
    <t>Switch sequence state names</t>
  </si>
  <si>
    <t>icon</t>
  </si>
  <si>
    <t>10000004</t>
  </si>
  <si>
    <t>sw0icon</t>
  </si>
  <si>
    <t>Switch icon</t>
  </si>
  <si>
    <t>mstate</t>
  </si>
  <si>
    <t>10000005</t>
  </si>
  <si>
    <t>sw0mstate</t>
  </si>
  <si>
    <t>Switch main state</t>
  </si>
  <si>
    <t>sstate</t>
  </si>
  <si>
    <t>10000006</t>
  </si>
  <si>
    <t>sw0sstate</t>
  </si>
  <si>
    <t xml:space="preserve">Switch sub state </t>
  </si>
  <si>
    <t>mind</t>
  </si>
  <si>
    <t>10000007</t>
  </si>
  <si>
    <t>sw0mind</t>
  </si>
  <si>
    <t>Switch main indicator</t>
  </si>
  <si>
    <t>sind</t>
  </si>
  <si>
    <t>10000008</t>
  </si>
  <si>
    <t>sw0sind</t>
  </si>
  <si>
    <t>Switch sub indicator</t>
  </si>
  <si>
    <t>zone</t>
  </si>
  <si>
    <t>10000009</t>
  </si>
  <si>
    <t>sw0zone</t>
  </si>
  <si>
    <t>Switch zone</t>
  </si>
  <si>
    <t>1000000a</t>
  </si>
  <si>
    <t>sw0zdel</t>
  </si>
  <si>
    <t>mpp</t>
  </si>
  <si>
    <t>1000000b</t>
  </si>
  <si>
    <t>sw0mpp</t>
  </si>
  <si>
    <t>Switch drawn on main page</t>
  </si>
  <si>
    <t>mpxp</t>
  </si>
  <si>
    <t>1000000c</t>
  </si>
  <si>
    <t>sw0mpxp</t>
  </si>
  <si>
    <t>Switch main page X position</t>
  </si>
  <si>
    <t>mpyp</t>
  </si>
  <si>
    <t>1000000d</t>
  </si>
  <si>
    <t>sw0mpyp</t>
  </si>
  <si>
    <t>Switch main page Y position</t>
  </si>
  <si>
    <t>1000000e</t>
  </si>
  <si>
    <t>sw0id</t>
  </si>
  <si>
    <t>Switch unique ID</t>
  </si>
  <si>
    <t>szm</t>
  </si>
  <si>
    <t>10010000</t>
  </si>
  <si>
    <t>szm0avl</t>
  </si>
  <si>
    <t>Switch Zone Manager</t>
  </si>
  <si>
    <t>10010001</t>
  </si>
  <si>
    <t>szm0add</t>
  </si>
  <si>
    <t>sz</t>
  </si>
  <si>
    <t>10020000</t>
  </si>
  <si>
    <t>sz0avl</t>
  </si>
  <si>
    <t>Switch Zone</t>
  </si>
  <si>
    <t>10020001</t>
  </si>
  <si>
    <t>sz0name</t>
  </si>
  <si>
    <t>10020002</t>
  </si>
  <si>
    <t>sz0on</t>
  </si>
  <si>
    <t>On/Off</t>
  </si>
  <si>
    <t>10020003</t>
  </si>
  <si>
    <t>sz0zdel</t>
  </si>
  <si>
    <t>btn</t>
  </si>
  <si>
    <t>10030000</t>
  </si>
  <si>
    <t>btn0avl</t>
  </si>
  <si>
    <t>btn0</t>
  </si>
  <si>
    <t>10030001</t>
  </si>
  <si>
    <t>btn0btn0</t>
  </si>
  <si>
    <t>Inventilate Power Button</t>
  </si>
  <si>
    <t>btn1</t>
  </si>
  <si>
    <t>10030002</t>
  </si>
  <si>
    <t>btn0btn1</t>
  </si>
  <si>
    <t>Inventilate Mode Button</t>
  </si>
  <si>
    <t>btn2</t>
  </si>
  <si>
    <t>10030003</t>
  </si>
  <si>
    <t>btn0btn2</t>
  </si>
  <si>
    <t>Inventilate Storage Mode Button</t>
  </si>
  <si>
    <t>__vessel</t>
  </si>
  <si>
    <t>ve</t>
  </si>
  <si>
    <t>11000000</t>
  </si>
  <si>
    <t>ve0avl</t>
  </si>
  <si>
    <t>Vessel</t>
  </si>
  <si>
    <t>11000001</t>
  </si>
  <si>
    <t>ve0lat</t>
  </si>
  <si>
    <t>^G</t>
  </si>
  <si>
    <t>Vessel latitude</t>
  </si>
  <si>
    <t>lng</t>
  </si>
  <si>
    <t>11000002</t>
  </si>
  <si>
    <t>ve0lng</t>
  </si>
  <si>
    <t>Vessel longitude</t>
  </si>
  <si>
    <t>spd</t>
  </si>
  <si>
    <t>11000003</t>
  </si>
  <si>
    <t>ve0spd</t>
  </si>
  <si>
    <t>kph</t>
  </si>
  <si>
    <t>Vessel speed</t>
  </si>
  <si>
    <t>head</t>
  </si>
  <si>
    <t>11000004</t>
  </si>
  <si>
    <t>ve0head</t>
  </si>
  <si>
    <t>Vessel heading</t>
  </si>
  <si>
    <t>pitch</t>
  </si>
  <si>
    <t>11000005</t>
  </si>
  <si>
    <t>ve0pitch</t>
  </si>
  <si>
    <t>Vessel pitch</t>
  </si>
  <si>
    <t>roll</t>
  </si>
  <si>
    <t>11000006</t>
  </si>
  <si>
    <t>ve0roll</t>
  </si>
  <si>
    <t>Vessel roll</t>
  </si>
  <si>
    <t>ptab</t>
  </si>
  <si>
    <t>11000007</t>
  </si>
  <si>
    <t>ve0ptab</t>
  </si>
  <si>
    <t>Vessel port trim tab</t>
  </si>
  <si>
    <t>stab</t>
  </si>
  <si>
    <t>11000008</t>
  </si>
  <si>
    <t>ve0stab</t>
  </si>
  <si>
    <t>Vessel stbd trim tab</t>
  </si>
  <si>
    <t>jp</t>
  </si>
  <si>
    <t>11000009</t>
  </si>
  <si>
    <t>ve0jp</t>
  </si>
  <si>
    <t>Vessel jackplate</t>
  </si>
  <si>
    <t>__engine</t>
  </si>
  <si>
    <t>ngn</t>
  </si>
  <si>
    <t>12000000</t>
  </si>
  <si>
    <t>ngn0avl</t>
  </si>
  <si>
    <t>Engine data</t>
  </si>
  <si>
    <t>fucoh</t>
  </si>
  <si>
    <t>12000001</t>
  </si>
  <si>
    <t>ngn0fucoh</t>
  </si>
  <si>
    <t>Fuel consumption L/hour</t>
  </si>
  <si>
    <t>fuco</t>
  </si>
  <si>
    <t>12000002</t>
  </si>
  <si>
    <t>ngn0fuco</t>
  </si>
  <si>
    <t>lkm</t>
  </si>
  <si>
    <t>Fuel consumption L/km</t>
  </si>
  <si>
    <t>sp</t>
  </si>
  <si>
    <t>12000003</t>
  </si>
  <si>
    <t>ngn0sp</t>
  </si>
  <si>
    <t>Speed</t>
  </si>
  <si>
    <t>trans</t>
  </si>
  <si>
    <t>12000004</t>
  </si>
  <si>
    <t>ngn0trans</t>
  </si>
  <si>
    <t>Transmission</t>
  </si>
  <si>
    <t>trim</t>
  </si>
  <si>
    <t>12000005</t>
  </si>
  <si>
    <t>ngn0trim</t>
  </si>
  <si>
    <t>Trim</t>
  </si>
  <si>
    <t>hours</t>
  </si>
  <si>
    <t>12000006</t>
  </si>
  <si>
    <t>ngn0hours</t>
  </si>
  <si>
    <t>Hours (engine data)</t>
  </si>
  <si>
    <t>12000007</t>
  </si>
  <si>
    <t>ngn0warn</t>
  </si>
  <si>
    <t>Warning indicator</t>
  </si>
  <si>
    <t>__weather</t>
  </si>
  <si>
    <t>13000000</t>
  </si>
  <si>
    <t>we0avl</t>
  </si>
  <si>
    <t>Weather</t>
  </si>
  <si>
    <t>13000001</t>
  </si>
  <si>
    <t>we0otemp</t>
  </si>
  <si>
    <t>Outside Temperature</t>
  </si>
  <si>
    <t>seatemp</t>
  </si>
  <si>
    <t>13000002</t>
  </si>
  <si>
    <t>we0seatemp</t>
  </si>
  <si>
    <t>Sea temperature</t>
  </si>
  <si>
    <t>seasal</t>
  </si>
  <si>
    <t>13000003</t>
  </si>
  <si>
    <t>we0seasal</t>
  </si>
  <si>
    <t>gkg</t>
  </si>
  <si>
    <t>Sea salinity</t>
  </si>
  <si>
    <t>atm</t>
  </si>
  <si>
    <t>13000004</t>
  </si>
  <si>
    <t>we0atm</t>
  </si>
  <si>
    <t>Atmospheric Pressure</t>
  </si>
  <si>
    <t>ah</t>
  </si>
  <si>
    <t>13000005</t>
  </si>
  <si>
    <t>we0ah</t>
  </si>
  <si>
    <t>Air Humidity</t>
  </si>
  <si>
    <t>wsp</t>
  </si>
  <si>
    <t>13000006</t>
  </si>
  <si>
    <t>we0wsp</t>
  </si>
  <si>
    <t>Wind speed</t>
  </si>
  <si>
    <t>wdir</t>
  </si>
  <si>
    <t>13000007</t>
  </si>
  <si>
    <t>we0wdir</t>
  </si>
  <si>
    <t>Wind Direction</t>
  </si>
  <si>
    <t>wadep</t>
  </si>
  <si>
    <t>13000008</t>
  </si>
  <si>
    <t>we0wadep</t>
  </si>
  <si>
    <t>m</t>
  </si>
  <si>
    <t>Water depth</t>
  </si>
  <si>
    <t>tilvl</t>
  </si>
  <si>
    <t>13000009</t>
  </si>
  <si>
    <t>we0tilvl</t>
  </si>
  <si>
    <t>Tide Level</t>
  </si>
  <si>
    <t>titen</t>
  </si>
  <si>
    <t>1300000a</t>
  </si>
  <si>
    <t>we0titen</t>
  </si>
  <si>
    <t>0=Down; 1=Up</t>
  </si>
  <si>
    <t>Tide Tendency</t>
  </si>
  <si>
    <t>seasp</t>
  </si>
  <si>
    <t>1300000b</t>
  </si>
  <si>
    <t>we0seasp</t>
  </si>
  <si>
    <t>Sea Current Speed</t>
  </si>
  <si>
    <t>seadir</t>
  </si>
  <si>
    <t>1300000c</t>
  </si>
  <si>
    <t>we0seadir</t>
  </si>
  <si>
    <t>Sea Current Direction</t>
  </si>
  <si>
    <t>__services</t>
  </si>
  <si>
    <t>bms</t>
  </si>
  <si>
    <t>14000000</t>
  </si>
  <si>
    <t>bms0avl</t>
  </si>
  <si>
    <t>Battery Management Service</t>
  </si>
  <si>
    <t>14000001</t>
  </si>
  <si>
    <t>bms0v</t>
  </si>
  <si>
    <t>BMS battery Voltage</t>
  </si>
  <si>
    <t>flo</t>
  </si>
  <si>
    <t>14000002</t>
  </si>
  <si>
    <t>bms0flo</t>
  </si>
  <si>
    <t>bms0flow</t>
  </si>
  <si>
    <t>BMS battery energy flow</t>
  </si>
  <si>
    <t>14000003</t>
  </si>
  <si>
    <t>bms0id</t>
  </si>
  <si>
    <t>BMS battery id</t>
  </si>
  <si>
    <t>14000004</t>
  </si>
  <si>
    <t>bms0soc</t>
  </si>
  <si>
    <t>BMS battery state of charge</t>
  </si>
  <si>
    <t>14000005</t>
  </si>
  <si>
    <t>bms0soh</t>
  </si>
  <si>
    <t>BMS battery state of health</t>
  </si>
  <si>
    <t>vhh</t>
  </si>
  <si>
    <t>14000006</t>
  </si>
  <si>
    <t>bms0vhh</t>
  </si>
  <si>
    <t>BMS battery voltage last hour history</t>
  </si>
  <si>
    <t>vdh</t>
  </si>
  <si>
    <t>14000007</t>
  </si>
  <si>
    <t>bms0vdh</t>
  </si>
  <si>
    <t>BMS battery voltage last day history</t>
  </si>
  <si>
    <t>vwh</t>
  </si>
  <si>
    <t>14000008</t>
  </si>
  <si>
    <t>bms0vwh</t>
  </si>
  <si>
    <t>BMS battery voltage last week history</t>
  </si>
  <si>
    <t>alrts</t>
  </si>
  <si>
    <t>14000009</t>
  </si>
  <si>
    <t>bms0alrts</t>
  </si>
  <si>
    <t>1=Active</t>
  </si>
  <si>
    <t>BMS battery alert status</t>
  </si>
  <si>
    <t>alrte</t>
  </si>
  <si>
    <t>1400000a</t>
  </si>
  <si>
    <t>bms0alrte</t>
  </si>
  <si>
    <t>BMS battery alert enabled</t>
  </si>
  <si>
    <t>athr</t>
  </si>
  <si>
    <t>1400000b</t>
  </si>
  <si>
    <t>bms0athr</t>
  </si>
  <si>
    <t>BMS battery alert threshold</t>
  </si>
  <si>
    <t>Array of 7 int16 values + one byte to indicate how old is the most recent value.</t>
  </si>
  <si>
    <t>alat</t>
  </si>
  <si>
    <t>1400000c</t>
  </si>
  <si>
    <t>bms0alat</t>
  </si>
  <si>
    <t>BMS battery alert latency</t>
  </si>
  <si>
    <t>wrns</t>
  </si>
  <si>
    <t>1400000d</t>
  </si>
  <si>
    <t>bms0wrns</t>
  </si>
  <si>
    <t>BMS battery warning status</t>
  </si>
  <si>
    <t>wrne</t>
  </si>
  <si>
    <t>1400000e</t>
  </si>
  <si>
    <t>bms0wrne</t>
  </si>
  <si>
    <t>BMS battery warning enabled</t>
  </si>
  <si>
    <t>wthr</t>
  </si>
  <si>
    <t>1400000f</t>
  </si>
  <si>
    <t>bms0wthr</t>
  </si>
  <si>
    <t>BMS battery warning threshold</t>
  </si>
  <si>
    <t>wlat</t>
  </si>
  <si>
    <t>14000010</t>
  </si>
  <si>
    <t>bms0wlat</t>
  </si>
  <si>
    <t>BMS battery warning latency</t>
  </si>
  <si>
    <t>bos</t>
  </si>
  <si>
    <t>14010000</t>
  </si>
  <si>
    <t>bos0avl</t>
  </si>
  <si>
    <t>Bilge Operation Service</t>
  </si>
  <si>
    <t>sta</t>
  </si>
  <si>
    <t>14010001</t>
  </si>
  <si>
    <t>bos0sta</t>
  </si>
  <si>
    <t>1=Bilge active</t>
  </si>
  <si>
    <t>BOS bilge status</t>
  </si>
  <si>
    <t>cl1h</t>
  </si>
  <si>
    <t>14010002</t>
  </si>
  <si>
    <t>bos0cl1h</t>
  </si>
  <si>
    <t>BOS bilge cycles in last hour</t>
  </si>
  <si>
    <t>cl24h</t>
  </si>
  <si>
    <t>14010003</t>
  </si>
  <si>
    <t>bos0cl24h</t>
  </si>
  <si>
    <t>BOS bilge cycles in last 24 hours</t>
  </si>
  <si>
    <t>crt</t>
  </si>
  <si>
    <t>14010004</t>
  </si>
  <si>
    <t>bos0crt</t>
  </si>
  <si>
    <t>BOS bilge continuous run time</t>
  </si>
  <si>
    <t>14010005</t>
  </si>
  <si>
    <t>bos0id</t>
  </si>
  <si>
    <t>BOS bilge id</t>
  </si>
  <si>
    <t>chh</t>
  </si>
  <si>
    <t>14010006</t>
  </si>
  <si>
    <t>bos0chh</t>
  </si>
  <si>
    <t>BOS bilge cycles hour history</t>
  </si>
  <si>
    <t>cdh</t>
  </si>
  <si>
    <t>14010007</t>
  </si>
  <si>
    <t>bos0cdh</t>
  </si>
  <si>
    <t>BOS bilge cycles day history</t>
  </si>
  <si>
    <t>cmh</t>
  </si>
  <si>
    <t>14010008</t>
  </si>
  <si>
    <t>bos0cmh</t>
  </si>
  <si>
    <t>BOS bilge cycles month history</t>
  </si>
  <si>
    <t>14010009</t>
  </si>
  <si>
    <t>bos0alrts</t>
  </si>
  <si>
    <t>BOS bilge alert status</t>
  </si>
  <si>
    <t>1401000a</t>
  </si>
  <si>
    <t>bos0alrte</t>
  </si>
  <si>
    <t>BOS bilge alert enabled</t>
  </si>
  <si>
    <t>acht</t>
  </si>
  <si>
    <t>1401000b</t>
  </si>
  <si>
    <t>bos0acht</t>
  </si>
  <si>
    <t>BOS bilge alert cycles per hour threshold</t>
  </si>
  <si>
    <t>acdt</t>
  </si>
  <si>
    <t>1401000c</t>
  </si>
  <si>
    <t>bos0acdt</t>
  </si>
  <si>
    <t>BOS bilge alert cycles per day threshold</t>
  </si>
  <si>
    <t>artt</t>
  </si>
  <si>
    <t>1401000d</t>
  </si>
  <si>
    <t>bos0artt</t>
  </si>
  <si>
    <t>BOS bilge alert run time threshold</t>
  </si>
  <si>
    <t>1401000e</t>
  </si>
  <si>
    <t>bos0wrns</t>
  </si>
  <si>
    <t>BOS bilge warning status</t>
  </si>
  <si>
    <t>1401000f</t>
  </si>
  <si>
    <t>bos0wrne</t>
  </si>
  <si>
    <t>BOS bilge warning enabled</t>
  </si>
  <si>
    <t>wcht</t>
  </si>
  <si>
    <t>14010010</t>
  </si>
  <si>
    <t>bos0wcht</t>
  </si>
  <si>
    <t>BOS bilge warning cycles per hour threshold</t>
  </si>
  <si>
    <t>wcdt</t>
  </si>
  <si>
    <t>14010011</t>
  </si>
  <si>
    <t>bos0wcdt</t>
  </si>
  <si>
    <t>BOS bilge warning cycles per day threshold</t>
  </si>
  <si>
    <t>wrtt</t>
  </si>
  <si>
    <t>14010012</t>
  </si>
  <si>
    <t>bos0wrtt</t>
  </si>
  <si>
    <t>BOS bilge warning run time threshold</t>
  </si>
  <si>
    <t>tms</t>
  </si>
  <si>
    <t>14020000</t>
  </si>
  <si>
    <t>tms0avl</t>
  </si>
  <si>
    <t>Tank Monitoring Service</t>
  </si>
  <si>
    <t>14020001</t>
  </si>
  <si>
    <t>tms0lvl</t>
  </si>
  <si>
    <t>TMS tank level</t>
  </si>
  <si>
    <t>14020002</t>
  </si>
  <si>
    <t>tms0type</t>
  </si>
  <si>
    <t>TMS tank type</t>
  </si>
  <si>
    <t>14020003</t>
  </si>
  <si>
    <t>tms0alrts</t>
  </si>
  <si>
    <t>1=Alert active</t>
  </si>
  <si>
    <t>TMS tank alert status</t>
  </si>
  <si>
    <t>14020004</t>
  </si>
  <si>
    <t>tms0alrte</t>
  </si>
  <si>
    <t>1=Alert enabled</t>
  </si>
  <si>
    <t>TMS tank alert enabled</t>
  </si>
  <si>
    <t>alth</t>
  </si>
  <si>
    <t>14020005</t>
  </si>
  <si>
    <t>tms0alth</t>
  </si>
  <si>
    <t>TMS tank low level alert threshold</t>
  </si>
  <si>
    <t>ahth</t>
  </si>
  <si>
    <t>14020006</t>
  </si>
  <si>
    <t>tms0ahth</t>
  </si>
  <si>
    <t>TMS tank high level alert threshold</t>
  </si>
  <si>
    <t>14020007</t>
  </si>
  <si>
    <t>tms0alat</t>
  </si>
  <si>
    <t>TMS tank level alert latency</t>
  </si>
  <si>
    <t>14020008</t>
  </si>
  <si>
    <t>tms0wrns</t>
  </si>
  <si>
    <t>1=Warning active</t>
  </si>
  <si>
    <t>TMS tank warning status</t>
  </si>
  <si>
    <t>14020009</t>
  </si>
  <si>
    <t>tms0wrne</t>
  </si>
  <si>
    <t>1=Warning enabled</t>
  </si>
  <si>
    <t>TMS tank warning enabled</t>
  </si>
  <si>
    <t>wlth</t>
  </si>
  <si>
    <t>1402000a</t>
  </si>
  <si>
    <t>tms0wlth</t>
  </si>
  <si>
    <t>TMS tank low warning alert threshold</t>
  </si>
  <si>
    <t>whth</t>
  </si>
  <si>
    <t>1402000b</t>
  </si>
  <si>
    <t>tms0whth</t>
  </si>
  <si>
    <t>TMS tank high warning alert threshold</t>
  </si>
  <si>
    <t>1402000c</t>
  </si>
  <si>
    <t>tms0wlat</t>
  </si>
  <si>
    <t>TMS tank level warning latency</t>
  </si>
  <si>
    <t>bss</t>
  </si>
  <si>
    <t>14030000</t>
  </si>
  <si>
    <t>bss0avl</t>
  </si>
  <si>
    <t>Boat Security Service</t>
  </si>
  <si>
    <t>sea</t>
  </si>
  <si>
    <t>14030001</t>
  </si>
  <si>
    <t>bss0sea</t>
  </si>
  <si>
    <t>1=Armed</t>
  </si>
  <si>
    <t>BSS armed</t>
  </si>
  <si>
    <t>ien</t>
  </si>
  <si>
    <t>14030002</t>
  </si>
  <si>
    <t>bss0ien</t>
  </si>
  <si>
    <t>BSS intrusion enabled</t>
  </si>
  <si>
    <t>ila</t>
  </si>
  <si>
    <t>14030003</t>
  </si>
  <si>
    <t>bss0ila</t>
  </si>
  <si>
    <t>BSS intrusion latency</t>
  </si>
  <si>
    <t>14030004</t>
  </si>
  <si>
    <t>bss0ist</t>
  </si>
  <si>
    <t>BSS intrusion status</t>
  </si>
  <si>
    <t>ate</t>
  </si>
  <si>
    <t>14030005</t>
  </si>
  <si>
    <t>bss0ate</t>
  </si>
  <si>
    <t>BSS anti theft enabled</t>
  </si>
  <si>
    <t>atl</t>
  </si>
  <si>
    <t>14030006</t>
  </si>
  <si>
    <t>bss0atl</t>
  </si>
  <si>
    <t>BSS anti theft latency</t>
  </si>
  <si>
    <t>ats</t>
  </si>
  <si>
    <t>14030007</t>
  </si>
  <si>
    <t>bss0ats</t>
  </si>
  <si>
    <t>BSS anti theft status</t>
  </si>
  <si>
    <t>bts</t>
  </si>
  <si>
    <t>14040000</t>
  </si>
  <si>
    <t>bts0avl</t>
  </si>
  <si>
    <t>Boat Tracking Service</t>
  </si>
  <si>
    <t>14040001</t>
  </si>
  <si>
    <t>bts0loc</t>
  </si>
  <si>
    <t>BTS boat location</t>
  </si>
  <si>
    <t>14040002</t>
  </si>
  <si>
    <t>bts0lat</t>
  </si>
  <si>
    <t>BTS boat latitude</t>
  </si>
  <si>
    <t>14040003</t>
  </si>
  <si>
    <t>bts0lng</t>
  </si>
  <si>
    <t>BTS boat longitude</t>
  </si>
  <si>
    <t>gfa</t>
  </si>
  <si>
    <t>14040004</t>
  </si>
  <si>
    <t>bts0gfa</t>
  </si>
  <si>
    <t>BTS geo fence armed</t>
  </si>
  <si>
    <t>gfr</t>
  </si>
  <si>
    <t>14040005</t>
  </si>
  <si>
    <t>bts0gfr</t>
  </si>
  <si>
    <t>BTS geo fence radius</t>
  </si>
  <si>
    <t>gfl</t>
  </si>
  <si>
    <t>14040006</t>
  </si>
  <si>
    <t>bts0gfl</t>
  </si>
  <si>
    <t>BTS geo fence latency</t>
  </si>
  <si>
    <t>gfs</t>
  </si>
  <si>
    <t>14040007</t>
  </si>
  <si>
    <t>bts0gfs</t>
  </si>
  <si>
    <t>BTS geo fence status</t>
  </si>
  <si>
    <t>lato</t>
  </si>
  <si>
    <t>14040008</t>
  </si>
  <si>
    <t>bts0lato</t>
  </si>
  <si>
    <t>BTS boat latitude origin</t>
  </si>
  <si>
    <t>lngo</t>
  </si>
  <si>
    <t>14040009</t>
  </si>
  <si>
    <t>bts0lngo</t>
  </si>
  <si>
    <t>BTS boat longitude origin</t>
  </si>
  <si>
    <t>cls</t>
  </si>
  <si>
    <t>14050000</t>
  </si>
  <si>
    <t>cls0avl</t>
  </si>
  <si>
    <t>Climate Service</t>
  </si>
  <si>
    <t>14050001</t>
  </si>
  <si>
    <t>cls0name</t>
  </si>
  <si>
    <t>List of firmware ids and current versions service can handle, separated with ; Ex: APO_0012;SDB_0002</t>
  </si>
  <si>
    <t>14050002</t>
  </si>
  <si>
    <t>cls0sysu</t>
  </si>
  <si>
    <t>usm</t>
  </si>
  <si>
    <t>14060000</t>
  </si>
  <si>
    <t>usm0avl</t>
  </si>
  <si>
    <t>Update Service Manager</t>
  </si>
  <si>
    <t>14060001</t>
  </si>
  <si>
    <t>usm0dd</t>
  </si>
  <si>
    <t>Download done</t>
  </si>
  <si>
    <t>https://onedometic.atlassian.net/wiki/spaces/GC/pages/2705555613/Core+GW0+CFG0+SVC0#SVC0---System-services</t>
  </si>
  <si>
    <t>14060002</t>
  </si>
  <si>
    <t>usm0stat</t>
  </si>
  <si>
    <t>UNIX time (s), actions needed on the sign bit 13th February 2038</t>
  </si>
  <si>
    <t>prog</t>
  </si>
  <si>
    <t>14060003</t>
  </si>
  <si>
    <t>usm0prog</t>
  </si>
  <si>
    <t>Progress</t>
  </si>
  <si>
    <t>Time zone offset (in seconds)</t>
  </si>
  <si>
    <t>rrq</t>
  </si>
  <si>
    <t>14060004</t>
  </si>
  <si>
    <t>usm0rrq</t>
  </si>
  <si>
    <t>Read request</t>
  </si>
  <si>
    <t>NTP server to get time from</t>
  </si>
  <si>
    <t>data</t>
  </si>
  <si>
    <t>14060005</t>
  </si>
  <si>
    <t>usm0data</t>
  </si>
  <si>
    <t>Data</t>
  </si>
  <si>
    <t>From where did we get current time?</t>
  </si>
  <si>
    <t>tbs</t>
  </si>
  <si>
    <t>14060006</t>
  </si>
  <si>
    <t>usm0tbs</t>
  </si>
  <si>
    <t>Transfer block size</t>
  </si>
  <si>
    <t>us</t>
  </si>
  <si>
    <t>14070000</t>
  </si>
  <si>
    <t>us0avl</t>
  </si>
  <si>
    <t>Update Service</t>
  </si>
  <si>
    <t>14070001</t>
  </si>
  <si>
    <t>us0data</t>
  </si>
  <si>
    <t>Sensor node id which this sensor is connected to</t>
  </si>
  <si>
    <t>14070002</t>
  </si>
  <si>
    <t>us0stat</t>
  </si>
  <si>
    <t>14070003</t>
  </si>
  <si>
    <t>us0list</t>
  </si>
  <si>
    <t>List fwids</t>
  </si>
  <si>
    <t>btr</t>
  </si>
  <si>
    <t>14070004</t>
  </si>
  <si>
    <t>us0btr</t>
  </si>
  <si>
    <t>Block transfer result</t>
  </si>
  <si>
    <t>14070005</t>
  </si>
  <si>
    <t>us0rrq</t>
  </si>
  <si>
    <t>svc</t>
  </si>
  <si>
    <t>14080000</t>
  </si>
  <si>
    <t>svc0avl</t>
  </si>
  <si>
    <t>System services</t>
  </si>
  <si>
    <t>14080001</t>
  </si>
  <si>
    <t>svc0syst</t>
  </si>
  <si>
    <t>unix</t>
  </si>
  <si>
    <t>System time</t>
  </si>
  <si>
    <t>tmz</t>
  </si>
  <si>
    <t>14080002</t>
  </si>
  <si>
    <t>svc0tmz</t>
  </si>
  <si>
    <t>Time zone offset</t>
  </si>
  <si>
    <t>ntps</t>
  </si>
  <si>
    <t>14080003</t>
  </si>
  <si>
    <t>svc0ntps</t>
  </si>
  <si>
    <t>NTP server</t>
  </si>
  <si>
    <t>tsrc</t>
  </si>
  <si>
    <t>14080004</t>
  </si>
  <si>
    <t>svc0tsrc</t>
  </si>
  <si>
    <t>Time source</t>
  </si>
  <si>
    <t>__ble</t>
  </si>
  <si>
    <t>tks</t>
  </si>
  <si>
    <t>15000000</t>
  </si>
  <si>
    <t>tks0avl</t>
  </si>
  <si>
    <t>Tank sensor</t>
  </si>
  <si>
    <t>sdev</t>
  </si>
  <si>
    <t>15000001</t>
  </si>
  <si>
    <t>tks0sdev</t>
  </si>
  <si>
    <t>Sensor device</t>
  </si>
  <si>
    <t>15000002</t>
  </si>
  <si>
    <t>tks0lvl</t>
  </si>
  <si>
    <t>lpgs</t>
  </si>
  <si>
    <t>15010000</t>
  </si>
  <si>
    <t>lpgs0avl</t>
  </si>
  <si>
    <t>LPG Tank sensor</t>
  </si>
  <si>
    <t>15010001</t>
  </si>
  <si>
    <t>lpgs0sdev</t>
  </si>
  <si>
    <t>15010002</t>
  </si>
  <si>
    <t>lpgs0lvl</t>
  </si>
  <si>
    <t>bv</t>
  </si>
  <si>
    <t>15010003</t>
  </si>
  <si>
    <t>lpgs0bv</t>
  </si>
  <si>
    <t>al</t>
  </si>
  <si>
    <t>15020000</t>
  </si>
  <si>
    <t>al0avl</t>
  </si>
  <si>
    <t>Area Lights</t>
  </si>
  <si>
    <t>15020001</t>
  </si>
  <si>
    <t>al0cmd</t>
  </si>
  <si>
    <t>Light command</t>
  </si>
  <si>
    <t>mpc</t>
  </si>
  <si>
    <t>mpc0avl</t>
  </si>
  <si>
    <t>Mopeka Pro Check</t>
  </si>
  <si>
    <t>mpc0v</t>
  </si>
  <si>
    <t>Voltage</t>
  </si>
  <si>
    <t>mpc0temp</t>
  </si>
  <si>
    <t>button</t>
  </si>
  <si>
    <t>mpc0button</t>
  </si>
  <si>
    <t>1=Pressed</t>
  </si>
  <si>
    <t>rawtl</t>
  </si>
  <si>
    <t>mpc0rawtl</t>
  </si>
  <si>
    <t>Raw Tank Level</t>
  </si>
  <si>
    <t>q</t>
  </si>
  <si>
    <t>mpc0q</t>
  </si>
  <si>
    <t>Quality</t>
  </si>
  <si>
    <t>mpc0id</t>
  </si>
  <si>
    <t>ID low 3 bytes</t>
  </si>
  <si>
    <t>TLV encoded</t>
  </si>
  <si>
    <t>x</t>
  </si>
  <si>
    <t>mpc0x</t>
  </si>
  <si>
    <t>X Acceleration</t>
  </si>
  <si>
    <t>0-None, 1-success, 2-Fail, 3-Timeout</t>
  </si>
  <si>
    <t>y</t>
  </si>
  <si>
    <t>mpc0y</t>
  </si>
  <si>
    <t>Y Acceleration</t>
  </si>
  <si>
    <t>0-None, 1-Success, 2-Duplicate, 3-No Free Space, 4-Error</t>
  </si>
  <si>
    <t>ide</t>
  </si>
  <si>
    <t>mpc0ide</t>
  </si>
  <si>
    <t>ID high 3 bytes</t>
  </si>
  <si>
    <t>mpc0th</t>
  </si>
  <si>
    <t>Tank height</t>
  </si>
  <si>
    <t>mpc0name</t>
  </si>
  <si>
    <t>Tank name</t>
  </si>
  <si>
    <t>region</t>
  </si>
  <si>
    <t>mpc0region</t>
  </si>
  <si>
    <t>mpcsvc0region</t>
  </si>
  <si>
    <t>Region</t>
  </si>
  <si>
    <t>size</t>
  </si>
  <si>
    <t>mpc0size</t>
  </si>
  <si>
    <t>mpcsvc0size</t>
  </si>
  <si>
    <t>Tank size</t>
  </si>
  <si>
    <t>Whether key is enabled/disabled, updated by app</t>
  </si>
  <si>
    <t>thresh</t>
  </si>
  <si>
    <t>mpc0thresh</t>
  </si>
  <si>
    <t>Alarm threshold</t>
  </si>
  <si>
    <t>unit</t>
  </si>
  <si>
    <t>mpc0unit</t>
  </si>
  <si>
    <t>mpcsvc0unit</t>
  </si>
  <si>
    <t>Tank level unit</t>
  </si>
  <si>
    <t>valid on which days 0b1001011 (valid on -&gt;  Saturday , x , x , Wednesday , x  ,Monday, Sunday)</t>
  </si>
  <si>
    <t>From Time in Minutes (Range 0-1439)</t>
  </si>
  <si>
    <t>__pvs</t>
  </si>
  <si>
    <t>pvs</t>
  </si>
  <si>
    <t>16000000</t>
  </si>
  <si>
    <t>pvs0avl</t>
  </si>
  <si>
    <t>Password Validation Service</t>
  </si>
  <si>
    <t>To Time in Minutes (Range 0-1439)</t>
  </si>
  <si>
    <t>ekblob</t>
  </si>
  <si>
    <t>16000001</t>
  </si>
  <si>
    <t>pvs0ekblob</t>
  </si>
  <si>
    <t>Entered key blob</t>
  </si>
  <si>
    <t>vstat</t>
  </si>
  <si>
    <t>16000002</t>
  </si>
  <si>
    <t>pvs0vstat</t>
  </si>
  <si>
    <t>Validation status</t>
  </si>
  <si>
    <t>Enabled - Use schedule, Disable - Always enabled</t>
  </si>
  <si>
    <t>adds</t>
  </si>
  <si>
    <t>pvs0adds</t>
  </si>
  <si>
    <t>Add Status</t>
  </si>
  <si>
    <t>pvs0add</t>
  </si>
  <si>
    <t>Updated by HMI to inform about key input screen and start accumulating key</t>
  </si>
  <si>
    <t>key</t>
  </si>
  <si>
    <t>16010000</t>
  </si>
  <si>
    <t>key0avl</t>
  </si>
  <si>
    <t>Key</t>
  </si>
  <si>
    <t>Number of keys accumulated for password</t>
  </si>
  <si>
    <t>16010001</t>
  </si>
  <si>
    <t>key0del</t>
  </si>
  <si>
    <t>key0name</t>
  </si>
  <si>
    <t>ena</t>
  </si>
  <si>
    <t>key0ena</t>
  </si>
  <si>
    <t>Key enable</t>
  </si>
  <si>
    <t>Updated by Bridge connector when Keypad Button (One digit) is pressed</t>
  </si>
  <si>
    <t>door</t>
  </si>
  <si>
    <t>key0door</t>
  </si>
  <si>
    <t>Door</t>
  </si>
  <si>
    <t>day</t>
  </si>
  <si>
    <t>key0day</t>
  </si>
  <si>
    <t>Day</t>
  </si>
  <si>
    <t>frt</t>
  </si>
  <si>
    <t>key0frt</t>
  </si>
  <si>
    <t>From Time</t>
  </si>
  <si>
    <t>Enter time for buzzer to be active</t>
  </si>
  <si>
    <t>tot</t>
  </si>
  <si>
    <t>key0tot</t>
  </si>
  <si>
    <t>To Time</t>
  </si>
  <si>
    <t>key0blob</t>
  </si>
  <si>
    <t>Key blob</t>
  </si>
  <si>
    <t>sena</t>
  </si>
  <si>
    <t>key0sena</t>
  </si>
  <si>
    <t>Schedule enable</t>
  </si>
  <si>
    <t>pcs</t>
  </si>
  <si>
    <t>16020000</t>
  </si>
  <si>
    <t>pcs0avl</t>
  </si>
  <si>
    <t>Pincode Service</t>
  </si>
  <si>
    <t>kiv</t>
  </si>
  <si>
    <t>16020001</t>
  </si>
  <si>
    <t>pcs0kiv</t>
  </si>
  <si>
    <t>Key input enable</t>
  </si>
  <si>
    <t>kpc</t>
  </si>
  <si>
    <t>16020002</t>
  </si>
  <si>
    <t>pcs0kpc</t>
  </si>
  <si>
    <t>Key count</t>
  </si>
  <si>
    <t>__userinteract</t>
  </si>
  <si>
    <t>kp</t>
  </si>
  <si>
    <t>17000000</t>
  </si>
  <si>
    <t>kp0avl</t>
  </si>
  <si>
    <t>Key pad</t>
  </si>
  <si>
    <t>keyb</t>
  </si>
  <si>
    <t>17000001</t>
  </si>
  <si>
    <t>kp0keyb</t>
  </si>
  <si>
    <t>Set maximum ram size to be used</t>
  </si>
  <si>
    <t>longpress</t>
  </si>
  <si>
    <t>17000002</t>
  </si>
  <si>
    <t>kp0longpress</t>
  </si>
  <si>
    <t>Longpress of key</t>
  </si>
  <si>
    <t>bz</t>
  </si>
  <si>
    <t>17010000</t>
  </si>
  <si>
    <t>bz0avl</t>
  </si>
  <si>
    <t>Buzzer</t>
  </si>
  <si>
    <t>17010001</t>
  </si>
  <si>
    <t>bz0evt</t>
  </si>
  <si>
    <t>ew</t>
  </si>
  <si>
    <t>ew0avl</t>
  </si>
  <si>
    <t>Display</t>
  </si>
  <si>
    <t>ecd</t>
  </si>
  <si>
    <t>ew0ecd</t>
  </si>
  <si>
    <t>wcd</t>
  </si>
  <si>
    <t>ew0wcd</t>
  </si>
  <si>
    <t>Warning code</t>
  </si>
  <si>
    <t>secd</t>
  </si>
  <si>
    <t>ew0secd</t>
  </si>
  <si>
    <t>System error code</t>
  </si>
  <si>
    <t>__ddmlog</t>
  </si>
  <si>
    <t>ls</t>
  </si>
  <si>
    <t>18000000</t>
  </si>
  <si>
    <t>ls0avl</t>
  </si>
  <si>
    <t>Log service</t>
  </si>
  <si>
    <t>18000001</t>
  </si>
  <si>
    <t>ls0add</t>
  </si>
  <si>
    <t>instance</t>
  </si>
  <si>
    <t>Add specification</t>
  </si>
  <si>
    <t>ramsize</t>
  </si>
  <si>
    <t>ls0ramsize</t>
  </si>
  <si>
    <t>log size</t>
  </si>
  <si>
    <t>Max RAM size</t>
  </si>
  <si>
    <t>lscfg</t>
  </si>
  <si>
    <t>lscfg0avl</t>
  </si>
  <si>
    <t>Log specification</t>
  </si>
  <si>
    <t>int</t>
  </si>
  <si>
    <t>rule</t>
  </si>
  <si>
    <t>lscfg0del</t>
  </si>
  <si>
    <t>Remove specification</t>
  </si>
  <si>
    <t>lscfg0act</t>
  </si>
  <si>
    <t>Activate</t>
  </si>
  <si>
    <t>__ruleengine</t>
  </si>
  <si>
    <t>rule0avl</t>
  </si>
  <si>
    <t>Rule Engine</t>
  </si>
  <si>
    <t>Type designator</t>
  </si>
  <si>
    <t>DDM2 Unit</t>
  </si>
  <si>
    <t>Unit designator</t>
  </si>
  <si>
    <t>affix</t>
  </si>
  <si>
    <t>factor</t>
  </si>
  <si>
    <t>MiniDDM Type</t>
  </si>
  <si>
    <t>Size</t>
  </si>
  <si>
    <t>Affix</t>
  </si>
  <si>
    <t>Factor</t>
  </si>
  <si>
    <t>DDM2_TYPE_INT32_T</t>
  </si>
  <si>
    <t>DDM2_UNIT_BOOL</t>
  </si>
  <si>
    <t>u8</t>
  </si>
  <si>
    <t>MINIDDM_TYPE_U8</t>
  </si>
  <si>
    <t>1</t>
  </si>
  <si>
    <t xml:space="preserve"> </t>
  </si>
  <si>
    <t>uint8_t</t>
  </si>
  <si>
    <t>1/32</t>
  </si>
  <si>
    <t>bit 0-6</t>
  </si>
  <si>
    <t>0-127, Bit 7 reserved</t>
  </si>
  <si>
    <t>DDM2_TYPE_STRING</t>
  </si>
  <si>
    <t>DDM2_UNIT_ENUMERATION</t>
  </si>
  <si>
    <t>u16</t>
  </si>
  <si>
    <t>MINIDDM_TYPE_U16</t>
  </si>
  <si>
    <t>2</t>
  </si>
  <si>
    <t>Bit 0-6</t>
  </si>
  <si>
    <t>(-40 - 87)</t>
  </si>
  <si>
    <t>DDM2_TYPE_OTHER</t>
  </si>
  <si>
    <t>DDM2_UNIT_AMPERE</t>
  </si>
  <si>
    <t>u32</t>
  </si>
  <si>
    <t>MINIDDM_TYPE_U32</t>
  </si>
  <si>
    <t>4</t>
  </si>
  <si>
    <t>bit 7</t>
  </si>
  <si>
    <t>0; 1=pressed</t>
  </si>
  <si>
    <t>DDM2_TYPE_NONE</t>
  </si>
  <si>
    <t>DDM2_UNIT_VOLT</t>
  </si>
  <si>
    <t>MINIDDM_TYPE_STRING</t>
  </si>
  <si>
    <t>-1</t>
  </si>
  <si>
    <t>Raw tank level</t>
  </si>
  <si>
    <t>uint16_t</t>
  </si>
  <si>
    <t>bit0-13</t>
  </si>
  <si>
    <t>DDM2_TYPE_JUMBO</t>
  </si>
  <si>
    <t>DDM2_UNIT_PART</t>
  </si>
  <si>
    <t>bin</t>
  </si>
  <si>
    <t>MINIDDM_TYPE_BINARY</t>
  </si>
  <si>
    <t>bit14-15</t>
  </si>
  <si>
    <t>DDM2_TYPE_VOID</t>
  </si>
  <si>
    <t>DDM2_UNIT_DEGC</t>
  </si>
  <si>
    <t>°C</t>
  </si>
  <si>
    <t>MINIDDM_TYPE_VOID</t>
  </si>
  <si>
    <t>0</t>
  </si>
  <si>
    <t>Acceleration</t>
  </si>
  <si>
    <t>int8_t</t>
  </si>
  <si>
    <t>G</t>
  </si>
  <si>
    <t>1/1024</t>
  </si>
  <si>
    <t>(+/- 0.125G)</t>
  </si>
  <si>
    <t>COUNT</t>
  </si>
  <si>
    <t>DDM2_TYPE_COUNT</t>
  </si>
  <si>
    <t>DDM2_UNIT_DEG</t>
  </si>
  <si>
    <t>°</t>
  </si>
  <si>
    <t>celsius_2</t>
  </si>
  <si>
    <t>MINIDDM_TYPE_CELSIUS_2</t>
  </si>
  <si>
    <t>DDM2_UNIT_DEGG</t>
  </si>
  <si>
    <t>percent_2</t>
  </si>
  <si>
    <t>MINIDDM_TYPE_PERCENT_2</t>
  </si>
  <si>
    <t>i16</t>
  </si>
  <si>
    <t>celsius</t>
  </si>
  <si>
    <t>0.01C/bit, -25 to +85C.</t>
  </si>
  <si>
    <t xml:space="preserve">BME280, BME680 </t>
  </si>
  <si>
    <t>DDM2_UNIT_NONE</t>
  </si>
  <si>
    <t>pascal_4</t>
  </si>
  <si>
    <t>MINIDDM_TYPE_PASCAL_4</t>
  </si>
  <si>
    <t>percent</t>
  </si>
  <si>
    <t>0.01%/bit, 0 to 100%.</t>
  </si>
  <si>
    <t>DDM2_UNIT_MINUTE</t>
  </si>
  <si>
    <t>ohm_4</t>
  </si>
  <si>
    <t>MINIDDM_TYPE_OHM_4</t>
  </si>
  <si>
    <t>ohm</t>
  </si>
  <si>
    <t>u24</t>
  </si>
  <si>
    <t>pascal</t>
  </si>
  <si>
    <t>0.1Pa/bit, 0 to 1.1MPa.</t>
  </si>
  <si>
    <t>DDM2_UNIT_SECOND</t>
  </si>
  <si>
    <t>g_2</t>
  </si>
  <si>
    <t>MINIDDM_TYPE_G_2</t>
  </si>
  <si>
    <t>Gas sensor resistance</t>
  </si>
  <si>
    <t>1 ohm/bit, 0 to 4.29 Gohm</t>
  </si>
  <si>
    <t>BME680 </t>
  </si>
  <si>
    <t>DDM2_UNIT_HOUR</t>
  </si>
  <si>
    <t>volt_2</t>
  </si>
  <si>
    <t>MINIDDM_TYPE_VOLT_2</t>
  </si>
  <si>
    <t>Angle</t>
  </si>
  <si>
    <t>degrees</t>
  </si>
  <si>
    <t>0.01 degree/bit -90° to 90°</t>
  </si>
  <si>
    <t>DDM2_UNIT_WATT</t>
  </si>
  <si>
    <t>seconds_4</t>
  </si>
  <si>
    <t>MINIDDM_TYPE_SECONDS_4</t>
  </si>
  <si>
    <t>DDM2_UNIT_PASCAL</t>
  </si>
  <si>
    <t>seconds_2</t>
  </si>
  <si>
    <t>MINIDDM_TYPE_SECONDS_2</t>
  </si>
  <si>
    <t>DDM2_UNIT_L_PER_HOUR</t>
  </si>
  <si>
    <t>degrees_2</t>
  </si>
  <si>
    <t>MINIDDM_TYPE_DEGREES_2</t>
  </si>
  <si>
    <t>DDM2_UNIT_RPM</t>
  </si>
  <si>
    <t>i8</t>
  </si>
  <si>
    <t>MINIDDM_TYPE_I8</t>
  </si>
  <si>
    <t>DDM2_UNIT_AMPHOURS</t>
  </si>
  <si>
    <t>MINIDDM_TYPE_I16</t>
  </si>
  <si>
    <t>DDM2_UNIT_KM_PER_HOUR</t>
  </si>
  <si>
    <t>km/h</t>
  </si>
  <si>
    <t>i32</t>
  </si>
  <si>
    <t>MINIDDM_TYPE_I32</t>
  </si>
  <si>
    <t>DDM2_UNIT_G_PER_KG</t>
  </si>
  <si>
    <t>g/kg</t>
  </si>
  <si>
    <t>millitesla_2</t>
  </si>
  <si>
    <t>MINIDDM_TYPE_MILLITESLA_2</t>
  </si>
  <si>
    <t>DDM2_UNIT_L_PER_KM</t>
  </si>
  <si>
    <t>l/km</t>
  </si>
  <si>
    <t>MINIDDM_TYPE_COUNT</t>
  </si>
  <si>
    <t>DDM2_UNIT_METER</t>
  </si>
  <si>
    <t>DDM2_UNIT_G</t>
  </si>
  <si>
    <t>DDM2_UNIT_DIFFPASCAL</t>
  </si>
  <si>
    <t>DDM2_UNIT_PPM</t>
  </si>
  <si>
    <t>DDM2_UNIT_OHM</t>
  </si>
  <si>
    <t>DDM2_UNIT_UNIX</t>
  </si>
  <si>
    <t>DDM2_UNIT_MILLITESLA</t>
  </si>
  <si>
    <t>DDM2_UNIT_COUNT</t>
  </si>
  <si>
    <t>Low=0</t>
  </si>
  <si>
    <t>Med=1</t>
  </si>
  <si>
    <t>High=2</t>
  </si>
  <si>
    <t>Max=3</t>
  </si>
  <si>
    <t>Night=4</t>
  </si>
  <si>
    <t>Auto=5</t>
  </si>
  <si>
    <t>Cool=0</t>
  </si>
  <si>
    <t>Heat=1</t>
  </si>
  <si>
    <t>Fan=2</t>
  </si>
  <si>
    <t>Auto=3</t>
  </si>
  <si>
    <t>Dry=4</t>
  </si>
  <si>
    <t>Turbo=5</t>
  </si>
  <si>
    <t>none=0</t>
  </si>
  <si>
    <t>DOMETIC FreshJet=1</t>
  </si>
  <si>
    <t>TRUMA Aventa Comfort=2</t>
  </si>
  <si>
    <t>TRUMA Aventa Comfort CP+=3</t>
  </si>
  <si>
    <t>TRUMA Saphir Compact=4</t>
  </si>
  <si>
    <t>TRUMA Saphir Compact CP+=5</t>
  </si>
  <si>
    <t>TRUMA Aventa Eco=6</t>
  </si>
  <si>
    <t>TRUMA Aventa Eco CP+=7</t>
  </si>
  <si>
    <t>TRUMA Saphir Comfort-RC=8</t>
  </si>
  <si>
    <t>TRUMA Saphir Comfort-RC CP+=9</t>
  </si>
  <si>
    <t>DOMETIC FreshWell=10</t>
  </si>
  <si>
    <t>unknown=11</t>
  </si>
  <si>
    <t>Dometic FJX4000 series=12</t>
  </si>
  <si>
    <t>Dometic FJX7000 series=13</t>
  </si>
  <si>
    <t>oe0=0</t>
  </si>
  <si>
    <t>oe1=1</t>
  </si>
  <si>
    <t>oe2=2</t>
  </si>
  <si>
    <t>oe3=3</t>
  </si>
  <si>
    <t>Off=0</t>
  </si>
  <si>
    <t>Eco=1</t>
  </si>
  <si>
    <t>Hot=2</t>
  </si>
  <si>
    <t>Boost=3</t>
  </si>
  <si>
    <t>Gas=0</t>
  </si>
  <si>
    <t>Gas+el 900 W=1</t>
  </si>
  <si>
    <t>Gas+el 1800 W=2</t>
  </si>
  <si>
    <t>El 900 W=3</t>
  </si>
  <si>
    <t>El 1800 W=4</t>
  </si>
  <si>
    <t>No therme (ID-0x3a) found=0</t>
  </si>
  <si>
    <t>TRUMA Combi Gas 6=1</t>
  </si>
  <si>
    <t>TRUMA Combi Gas 4=2</t>
  </si>
  <si>
    <t>TRUMA Combi Gas 6 E=3</t>
  </si>
  <si>
    <t>TRUMA Combi Gas 4 E=4</t>
  </si>
  <si>
    <t>TRUMA Combi Gas 2=5</t>
  </si>
  <si>
    <t>TRUMA Combi Gas 2 E=6</t>
  </si>
  <si>
    <t>TRUMA FID 0113 - unknown=7</t>
  </si>
  <si>
    <t>TRUMA Combi D 6=8</t>
  </si>
  <si>
    <t>TRUMA Combi D 4=9</t>
  </si>
  <si>
    <t>TRUMA Combi D 6 E=10</t>
  </si>
  <si>
    <t>TRUMA Combi D 4 E=11</t>
  </si>
  <si>
    <t>TRUMA FID 1013 - unknown=12</t>
  </si>
  <si>
    <t>TRUMA VarioHeat 2.4 kW=13</t>
  </si>
  <si>
    <t>TRUMA VarioHeat 3.7 kW=14</t>
  </si>
  <si>
    <t>TRUMA FID 2016 - unknown=15</t>
  </si>
  <si>
    <t>ALDE 3020=16</t>
  </si>
  <si>
    <t>ULTRA HEATER=17</t>
  </si>
  <si>
    <t>SHARC CH6000=18</t>
  </si>
  <si>
    <t>SHARC CH6000E=19</t>
  </si>
  <si>
    <t>SHARC CH4000=20</t>
  </si>
  <si>
    <t>SHARC CH4000E=21</t>
  </si>
  <si>
    <t>Auto=0</t>
  </si>
  <si>
    <t>Manual AC=1</t>
  </si>
  <si>
    <t>Manual DC=2</t>
  </si>
  <si>
    <t>Manual gas=3</t>
  </si>
  <si>
    <t>No Device (ID-0x2f) found=0</t>
  </si>
  <si>
    <t>KATHREIN CAP 650=1</t>
  </si>
  <si>
    <t>KATHREIN CAP 750=2</t>
  </si>
  <si>
    <t>KATHREIN CAP 950=3</t>
  </si>
  <si>
    <t>Unknown=4</t>
  </si>
  <si>
    <t>idle=0x00</t>
  </si>
  <si>
    <t>standby=0x10</t>
  </si>
  <si>
    <t>booting=0x20</t>
  </si>
  <si>
    <t>park=0x30</t>
  </si>
  <si>
    <t>satellite ok=0x40</t>
  </si>
  <si>
    <t>searching=0x50</t>
  </si>
  <si>
    <t>moving=0x60</t>
  </si>
  <si>
    <t>reset=0x70</t>
  </si>
  <si>
    <t>update=0x80</t>
  </si>
  <si>
    <t>optimize=0xa0</t>
  </si>
  <si>
    <t>error=0xf0</t>
  </si>
  <si>
    <t>wakeup=0x01</t>
  </si>
  <si>
    <t>standby=0x02</t>
  </si>
  <si>
    <t>reset=0x03</t>
  </si>
  <si>
    <t>park=0x04</t>
  </si>
  <si>
    <t>last sat=0x05</t>
  </si>
  <si>
    <t>move sat=0x06</t>
  </si>
  <si>
    <t>set GPS=0x07</t>
  </si>
  <si>
    <t>OK-key=0x09</t>
  </si>
  <si>
    <t>stop key=0x0a</t>
  </si>
  <si>
    <t>19.2E Astra=192</t>
  </si>
  <si>
    <t>13.0E Eutelsat=130</t>
  </si>
  <si>
    <t>23.5E Astra=235</t>
  </si>
  <si>
    <t>28.2E Astra=282</t>
  </si>
  <si>
    <t>5.0E Sirius=50</t>
  </si>
  <si>
    <t>9.0E Eurobird=90</t>
  </si>
  <si>
    <t>16.0E Eutelsat=160</t>
  </si>
  <si>
    <t>42.0E Turksat=420</t>
  </si>
  <si>
    <t>30.0W Hispasat=3300</t>
  </si>
  <si>
    <t>3.0W Atlantic Bild=3550</t>
  </si>
  <si>
    <t>0.8W Thor=3590</t>
  </si>
  <si>
    <t>0_5kW=1</t>
  </si>
  <si>
    <t>1kW=2</t>
  </si>
  <si>
    <t>2kW=3</t>
  </si>
  <si>
    <t>3kW=4</t>
  </si>
  <si>
    <t>ESP_RST_UNKNOWN=0</t>
  </si>
  <si>
    <t>ESP_RST_POWERON=1</t>
  </si>
  <si>
    <t>ESP_RST_EXT=2</t>
  </si>
  <si>
    <t>ESP_RST_SW=3</t>
  </si>
  <si>
    <t>ESP_RST_PANIC=4</t>
  </si>
  <si>
    <t>ESP_RST_INT_WDT=5</t>
  </si>
  <si>
    <t>ESP_RST_TASK_WDT=6</t>
  </si>
  <si>
    <t>ESP_RST_WDT=7</t>
  </si>
  <si>
    <t>ESP_RST_DEEPSLEEP=8</t>
  </si>
  <si>
    <t>ESP_RST_BROWNOUT=9</t>
  </si>
  <si>
    <t>ESP_RST_SDIO=10</t>
  </si>
  <si>
    <t>Silent=1</t>
  </si>
  <si>
    <t>Ventilation=2</t>
  </si>
  <si>
    <t>No errors=0</t>
  </si>
  <si>
    <t>Warning fault=1</t>
  </si>
  <si>
    <t>Critical fault=2</t>
  </si>
  <si>
    <t>CUC fault=0x01</t>
  </si>
  <si>
    <t>Heating element fault=0x02</t>
  </si>
  <si>
    <t>Peltier element fault=0x04</t>
  </si>
  <si>
    <t>Fan speed error=0x08</t>
  </si>
  <si>
    <t>NTC1 sensor error=0x10</t>
  </si>
  <si>
    <t>NTC2 sensor error=0x20</t>
  </si>
  <si>
    <t>Flooded=0</t>
  </si>
  <si>
    <t>Gel=1</t>
  </si>
  <si>
    <t>AGM=2</t>
  </si>
  <si>
    <t>Lithium-Ion=3</t>
  </si>
  <si>
    <t>Level0=0</t>
  </si>
  <si>
    <t>Level1=1</t>
  </si>
  <si>
    <t>Level2=2</t>
  </si>
  <si>
    <t>Level3=3</t>
  </si>
  <si>
    <t>Level4=4</t>
  </si>
  <si>
    <t>Level5=5</t>
  </si>
  <si>
    <t>Level6=6</t>
  </si>
  <si>
    <t>Level7=7</t>
  </si>
  <si>
    <t>Metric=0</t>
  </si>
  <si>
    <t>Imperial=1</t>
  </si>
  <si>
    <t>A=0</t>
  </si>
  <si>
    <t>B=1</t>
  </si>
  <si>
    <t>C=2</t>
  </si>
  <si>
    <t>D=3</t>
  </si>
  <si>
    <t>E=4</t>
  </si>
  <si>
    <t>F=5</t>
  </si>
  <si>
    <t>Cool=1</t>
  </si>
  <si>
    <t>Heat=2</t>
  </si>
  <si>
    <t>Vent=4</t>
  </si>
  <si>
    <t>Aux heat=5</t>
  </si>
  <si>
    <t>Dehumidify=6</t>
  </si>
  <si>
    <t>Closed=0</t>
  </si>
  <si>
    <t>One quarter open=1</t>
  </si>
  <si>
    <t>Half open=2</t>
  </si>
  <si>
    <t>Three quarter open=3</t>
  </si>
  <si>
    <t>Open=4</t>
  </si>
  <si>
    <t>Stopped=0</t>
  </si>
  <si>
    <t>Preheat=1</t>
  </si>
  <si>
    <t>Cranking=2</t>
  </si>
  <si>
    <t>Running=3</t>
  </si>
  <si>
    <t>Priming=4</t>
  </si>
  <si>
    <t>Fault=5</t>
  </si>
  <si>
    <t>Engine run only=6</t>
  </si>
  <si>
    <t>Test mode=7</t>
  </si>
  <si>
    <t>Voltage adjust mode=8</t>
  </si>
  <si>
    <t>Fault bypass mode=9</t>
  </si>
  <si>
    <t>Configuration mode=10</t>
  </si>
  <si>
    <t>Stop=0</t>
  </si>
  <si>
    <t>Start=1</t>
  </si>
  <si>
    <t>Manual prime=2</t>
  </si>
  <si>
    <t>Manual preheat=3</t>
  </si>
  <si>
    <t>Not defined=0</t>
  </si>
  <si>
    <t>Run crank inputs=1</t>
  </si>
  <si>
    <t>Crank Glow and stop inputs=2</t>
  </si>
  <si>
    <t>Preheat Prime input=3</t>
  </si>
  <si>
    <t>Single On Off input=4</t>
  </si>
  <si>
    <t>Disable=0</t>
  </si>
  <si>
    <t>Not charging=1</t>
  </si>
  <si>
    <t>Bulk=2</t>
  </si>
  <si>
    <t>Absorption=3</t>
  </si>
  <si>
    <t>Overcharge=4</t>
  </si>
  <si>
    <t>Equalize=5</t>
  </si>
  <si>
    <t>Float=6</t>
  </si>
  <si>
    <t>Constant voltage current=7</t>
  </si>
  <si>
    <t>Charging not forced=0</t>
  </si>
  <si>
    <t>Force charge to bulk=1</t>
  </si>
  <si>
    <t>Force charge to float=2</t>
  </si>
  <si>
    <t>No motion=0</t>
  </si>
  <si>
    <t>Extending=1</t>
  </si>
  <si>
    <t>Retracting=2</t>
  </si>
  <si>
    <t>Disable DC generator DC output=0</t>
  </si>
  <si>
    <t>Enable DC generator DC output=1</t>
  </si>
  <si>
    <t>Start equalization=2</t>
  </si>
  <si>
    <t>Normal=0</t>
  </si>
  <si>
    <t>In overcurrent=1</t>
  </si>
  <si>
    <t>Unknown=2</t>
  </si>
  <si>
    <t>Open circuit=3</t>
  </si>
  <si>
    <t>Fresh=0</t>
  </si>
  <si>
    <t>Black waste=1</t>
  </si>
  <si>
    <t>Gray=2</t>
  </si>
  <si>
    <t>LPG=3</t>
  </si>
  <si>
    <t>Fuel=4</t>
  </si>
  <si>
    <t>Oil=5</t>
  </si>
  <si>
    <t>Live well=6</t>
  </si>
  <si>
    <t>Bait well=7</t>
  </si>
  <si>
    <t>2nd fresh=16</t>
  </si>
  <si>
    <t>2nd black=17</t>
  </si>
  <si>
    <t>2nd gray=18</t>
  </si>
  <si>
    <t>2nd LPG=19</t>
  </si>
  <si>
    <t>Waiting for compressor=1</t>
  </si>
  <si>
    <t>Compressor on=2</t>
  </si>
  <si>
    <t>Load shed=3</t>
  </si>
  <si>
    <t>Set level (delay)=0</t>
  </si>
  <si>
    <t>On (duration)=1</t>
  </si>
  <si>
    <t>On (delay)=2</t>
  </si>
  <si>
    <t>Off (delay)=3</t>
  </si>
  <si>
    <t>Stop (delay)=4</t>
  </si>
  <si>
    <t>Toggle=5</t>
  </si>
  <si>
    <t>Memory off=6</t>
  </si>
  <si>
    <t>Lock=34</t>
  </si>
  <si>
    <t>Flash=49</t>
  </si>
  <si>
    <t>Set brightness=0</t>
  </si>
  <si>
    <t>On=1</t>
  </si>
  <si>
    <t>Off=3</t>
  </si>
  <si>
    <t>Stop=4</t>
  </si>
  <si>
    <t>Ramp brightness=17</t>
  </si>
  <si>
    <t>Ramp toggle=18</t>
  </si>
  <si>
    <t>Ramp up=19</t>
  </si>
  <si>
    <t>Ramp down=20</t>
  </si>
  <si>
    <t>Ramp up down=21</t>
  </si>
  <si>
    <t>Unlock=35</t>
  </si>
  <si>
    <t>Flash momentary=50</t>
  </si>
  <si>
    <t>Disabled=0</t>
  </si>
  <si>
    <t>Inverting=1</t>
  </si>
  <si>
    <t>AC pass-through=2</t>
  </si>
  <si>
    <t>APS only=3</t>
  </si>
  <si>
    <t>Load sensing=4</t>
  </si>
  <si>
    <t>Waiting to invert=5</t>
  </si>
  <si>
    <t>QR=0</t>
  </si>
  <si>
    <t>Passive=1</t>
  </si>
  <si>
    <t>Active=2</t>
  </si>
  <si>
    <t>Combustion=1</t>
  </si>
  <si>
    <t>Electric=2</t>
  </si>
  <si>
    <t>Gas and Electric=3</t>
  </si>
  <si>
    <t>Auto=4</t>
  </si>
  <si>
    <t>Test combustion=5</t>
  </si>
  <si>
    <t>Test electric=6</t>
  </si>
  <si>
    <t>Default=0</t>
  </si>
  <si>
    <t>Comfort=2</t>
  </si>
  <si>
    <t>Anti-freeze=3</t>
  </si>
  <si>
    <t>Decalcification=4</t>
  </si>
  <si>
    <t>Fault=3</t>
  </si>
  <si>
    <t>No external activity=0</t>
  </si>
  <si>
    <t>External activity detected=1</t>
  </si>
  <si>
    <t>Reset external activity flag=2</t>
  </si>
  <si>
    <t>Unit is not in quiet time=0</t>
  </si>
  <si>
    <t>Unit is in quiet time=1</t>
  </si>
  <si>
    <t>Do not override quiet time=2</t>
  </si>
  <si>
    <t>Override quiet time=3</t>
  </si>
  <si>
    <t>Sun=1</t>
  </si>
  <si>
    <t>Mon=2</t>
  </si>
  <si>
    <t>Tue=4</t>
  </si>
  <si>
    <t>Wed=8</t>
  </si>
  <si>
    <t>Thur=16</t>
  </si>
  <si>
    <t>Fri=32</t>
  </si>
  <si>
    <t>Sat=64</t>
  </si>
  <si>
    <t>Not activated=0</t>
  </si>
  <si>
    <t>Activated=1</t>
  </si>
  <si>
    <t>Activate=2</t>
  </si>
  <si>
    <t>unknown=0</t>
  </si>
  <si>
    <t>disconnected=1</t>
  </si>
  <si>
    <t>connecting=2</t>
  </si>
  <si>
    <t>connected=3</t>
  </si>
  <si>
    <t>disconnected_retrying=4</t>
  </si>
  <si>
    <t>pairing mode off=0</t>
  </si>
  <si>
    <t>pairing mode on=1</t>
  </si>
  <si>
    <t>clear bonds=3</t>
  </si>
  <si>
    <t>Public=0</t>
  </si>
  <si>
    <t>Random=1</t>
  </si>
  <si>
    <t>Resolvable public=2</t>
  </si>
  <si>
    <t>Resolvable private=3</t>
  </si>
  <si>
    <t>Climate=0</t>
  </si>
  <si>
    <t>Air Quality=1</t>
  </si>
  <si>
    <t>Door=2</t>
  </si>
  <si>
    <t>Motion=3</t>
  </si>
  <si>
    <t>Wire break and voltage=4</t>
  </si>
  <si>
    <t>Test=5</t>
  </si>
  <si>
    <t>Differential Pressure=6</t>
  </si>
  <si>
    <t>Door &amp; Climate=7</t>
  </si>
  <si>
    <t>Cold=0</t>
  </si>
  <si>
    <t>Warm=1</t>
  </si>
  <si>
    <t>Bilge pump=0</t>
  </si>
  <si>
    <t>Nav lights=1</t>
  </si>
  <si>
    <t>Anchor lights=2</t>
  </si>
  <si>
    <t>Courtesy lights=3</t>
  </si>
  <si>
    <t>Underwater lights=4</t>
  </si>
  <si>
    <t>Horn=5</t>
  </si>
  <si>
    <t>Wipers=6</t>
  </si>
  <si>
    <t>Shade=7</t>
  </si>
  <si>
    <t>Blower=8</t>
  </si>
  <si>
    <t>Live well pump=9</t>
  </si>
  <si>
    <t>Bait well pump=10</t>
  </si>
  <si>
    <t>door0status</t>
  </si>
  <si>
    <t>Door closed=0</t>
  </si>
  <si>
    <t>Door opened=1</t>
  </si>
  <si>
    <t>pir0event</t>
  </si>
  <si>
    <t>PIR detection event=1</t>
  </si>
  <si>
    <t>Single=0</t>
  </si>
  <si>
    <t>Double=1</t>
  </si>
  <si>
    <t>Sequence=2</t>
  </si>
  <si>
    <t>Mode=3</t>
  </si>
  <si>
    <t>Single no preset=4</t>
  </si>
  <si>
    <t>Dimmer=5</t>
  </si>
  <si>
    <t>RGB=6</t>
  </si>
  <si>
    <t>Heat pump only=0</t>
  </si>
  <si>
    <t>Auxiliary heat only=1</t>
  </si>
  <si>
    <t>Auto=2</t>
  </si>
  <si>
    <t>Reverse=0</t>
  </si>
  <si>
    <t>Neutral=1</t>
  </si>
  <si>
    <t>Forward=2</t>
  </si>
  <si>
    <t>None=0</t>
  </si>
  <si>
    <t>Light=1</t>
  </si>
  <si>
    <t>Pump=2</t>
  </si>
  <si>
    <t>Engine=3</t>
  </si>
  <si>
    <t>Wiper=4</t>
  </si>
  <si>
    <t>Hardtop Conopy=5</t>
  </si>
  <si>
    <t>Actuator=6</t>
  </si>
  <si>
    <t>Cool=7</t>
  </si>
  <si>
    <t>Heat=8</t>
  </si>
  <si>
    <t>Anchor=9</t>
  </si>
  <si>
    <t>Horn=10</t>
  </si>
  <si>
    <t>On or Up=1</t>
  </si>
  <si>
    <t>Down=2</t>
  </si>
  <si>
    <t>1Hz def color=2</t>
  </si>
  <si>
    <t>5Hz def color=3</t>
  </si>
  <si>
    <t>1Hz warning color=4</t>
  </si>
  <si>
    <t>5Hz warning color=5</t>
  </si>
  <si>
    <t>Inactive=6</t>
  </si>
  <si>
    <t>Discharging=-1</t>
  </si>
  <si>
    <t>Idling=0</t>
  </si>
  <si>
    <t>Charging=1</t>
  </si>
  <si>
    <t>1 Degree F=0</t>
  </si>
  <si>
    <t>2 Degree F=1</t>
  </si>
  <si>
    <t>Heat pump=1</t>
  </si>
  <si>
    <t>Furnace=2</t>
  </si>
  <si>
    <t>Both=3</t>
  </si>
  <si>
    <t>Undefined=-1</t>
  </si>
  <si>
    <t>Port Engine=0</t>
  </si>
  <si>
    <t>Stbd Engine=1</t>
  </si>
  <si>
    <t>Port-Center Engine=2</t>
  </si>
  <si>
    <t>Stbd-Center Engine=3</t>
  </si>
  <si>
    <t>Center Engine=4</t>
  </si>
  <si>
    <t>Center-Port Engine=5</t>
  </si>
  <si>
    <t>Center-Stbd Engine=6</t>
  </si>
  <si>
    <t>House Battery 1=7</t>
  </si>
  <si>
    <t>House Battery 2=8</t>
  </si>
  <si>
    <t>House Battery 3=9</t>
  </si>
  <si>
    <t>House Battery 4=10</t>
  </si>
  <si>
    <t>House Battery 5=11</t>
  </si>
  <si>
    <t>House Battery 6=12</t>
  </si>
  <si>
    <t>House Battery 7=13</t>
  </si>
  <si>
    <t>House Battery 8=14</t>
  </si>
  <si>
    <t>House Battery 9=15</t>
  </si>
  <si>
    <t>House Battery 10=16</t>
  </si>
  <si>
    <t>N2K Battery 1=17</t>
  </si>
  <si>
    <t>N2K Battery 2=18</t>
  </si>
  <si>
    <t>N2K Battery 3=19</t>
  </si>
  <si>
    <t>N2K Battery 4=20</t>
  </si>
  <si>
    <t>N2K Battery 5=21</t>
  </si>
  <si>
    <t>N2K Battery 6=22</t>
  </si>
  <si>
    <t>N2K Battery 7=23</t>
  </si>
  <si>
    <t>N2K Battery 8=24</t>
  </si>
  <si>
    <t>Aft Bilge 1=0</t>
  </si>
  <si>
    <t>Aft Bilge 2=1</t>
  </si>
  <si>
    <t>Fwd Bilge 1=2</t>
  </si>
  <si>
    <t>Fwd Bilge 2=3</t>
  </si>
  <si>
    <t>Port Bilge=4</t>
  </si>
  <si>
    <t>Stbd Bilge=5</t>
  </si>
  <si>
    <t>Bilge 1=6</t>
  </si>
  <si>
    <t>Bilge 2=7</t>
  </si>
  <si>
    <t>Bilge 3=8</t>
  </si>
  <si>
    <t>Bilge 4=9</t>
  </si>
  <si>
    <t>Bilge 5=10</t>
  </si>
  <si>
    <t>Sleep=0</t>
  </si>
  <si>
    <t>Wake=1</t>
  </si>
  <si>
    <t>Away=2</t>
  </si>
  <si>
    <t>Return=3</t>
  </si>
  <si>
    <t>Storage=250</t>
  </si>
  <si>
    <t>Upper=1</t>
  </si>
  <si>
    <t>Lower=2</t>
  </si>
  <si>
    <t>Auto=1</t>
  </si>
  <si>
    <t>Turbo=2</t>
  </si>
  <si>
    <t>Sleep=3</t>
  </si>
  <si>
    <t>Filter change not req=0</t>
  </si>
  <si>
    <t>Filter change Req=1</t>
  </si>
  <si>
    <t>Filter Reset=2</t>
  </si>
  <si>
    <t>Deactivate=0</t>
  </si>
  <si>
    <t>Activate=1</t>
  </si>
  <si>
    <t>Filter do not change=3</t>
  </si>
  <si>
    <t>No Direction=0</t>
  </si>
  <si>
    <t>Clockwise=1</t>
  </si>
  <si>
    <t>Counter Clockwise=2</t>
  </si>
  <si>
    <t>Not connected=0</t>
  </si>
  <si>
    <t>Publish ok=1</t>
  </si>
  <si>
    <t>Reconnecting=2</t>
  </si>
  <si>
    <t>Reconnect/Pub root ok=3</t>
  </si>
  <si>
    <t>Connected=4</t>
  </si>
  <si>
    <t>Connected/Pub root ok=5</t>
  </si>
  <si>
    <t>Publish fail=8</t>
  </si>
  <si>
    <t>Publish fail/Connected=12</t>
  </si>
  <si>
    <t>Publish fail/Connected/Pub root ok=13</t>
  </si>
  <si>
    <t>Connect fail=16</t>
  </si>
  <si>
    <t>DISCHARGING=0</t>
  </si>
  <si>
    <t>NOT_CHARGING=1</t>
  </si>
  <si>
    <t>CHARGING=2</t>
  </si>
  <si>
    <t>FULL=3</t>
  </si>
  <si>
    <t>NONE=0</t>
  </si>
  <si>
    <t>STANDARD=1</t>
  </si>
  <si>
    <t>FAST=2</t>
  </si>
  <si>
    <t>UNKNOWN=3</t>
  </si>
  <si>
    <t>GOOD=0</t>
  </si>
  <si>
    <t>OVERVOLTAGE=1</t>
  </si>
  <si>
    <t>SAFETY_TIME_EXPIRE=2</t>
  </si>
  <si>
    <t>OVERHEAT=3</t>
  </si>
  <si>
    <t>UNSPEC_FAILURE=4</t>
  </si>
  <si>
    <t>12V connected=0</t>
  </si>
  <si>
    <t>12V not connected=1</t>
  </si>
  <si>
    <t>LDO Failed=2</t>
  </si>
  <si>
    <t>Continuous=1</t>
  </si>
  <si>
    <t>Hourly=2</t>
  </si>
  <si>
    <t>Daily=4</t>
  </si>
  <si>
    <t>sta_started=1</t>
  </si>
  <si>
    <t>sta_connected=2</t>
  </si>
  <si>
    <t>sta_disconnected=3</t>
  </si>
  <si>
    <t>scan_completed=4</t>
  </si>
  <si>
    <t>sta_disconn_wrong_password=5</t>
  </si>
  <si>
    <t>sta_disconn_no_ap_found=6</t>
  </si>
  <si>
    <t>ap_started=8</t>
  </si>
  <si>
    <t>ap_sta_connected=9</t>
  </si>
  <si>
    <t>ap_sta_disconnected=10</t>
  </si>
  <si>
    <t>wps_success=16</t>
  </si>
  <si>
    <t>wps_failed=17</t>
  </si>
  <si>
    <t>wps_timeout=18</t>
  </si>
  <si>
    <t>wps_pin=19</t>
  </si>
  <si>
    <t>sta=1</t>
  </si>
  <si>
    <t>ap=2</t>
  </si>
  <si>
    <t>sta_ap=3</t>
  </si>
  <si>
    <t>Relative=0</t>
  </si>
  <si>
    <t>Absolute=1</t>
  </si>
  <si>
    <t>Min=0</t>
  </si>
  <si>
    <t>Low=1</t>
  </si>
  <si>
    <t>Med=2</t>
  </si>
  <si>
    <t>High=3</t>
  </si>
  <si>
    <t>Max=4</t>
  </si>
  <si>
    <t>Single tap=1</t>
  </si>
  <si>
    <t>Double tap=2</t>
  </si>
  <si>
    <t>Tilt=3</t>
  </si>
  <si>
    <t>Tampering=4</t>
  </si>
  <si>
    <t>Motion=5</t>
  </si>
  <si>
    <t>Freefall=6</t>
  </si>
  <si>
    <t>Unconfigured=0</t>
  </si>
  <si>
    <t>Afghanistan=4</t>
  </si>
  <si>
    <t>Albania=8</t>
  </si>
  <si>
    <t>Algeria=12</t>
  </si>
  <si>
    <t>American Samoa=16</t>
  </si>
  <si>
    <t>Andorra=20</t>
  </si>
  <si>
    <t>Angola=24</t>
  </si>
  <si>
    <t>Anguilla=660</t>
  </si>
  <si>
    <t>Antarctica=10</t>
  </si>
  <si>
    <t>Antigua and Barbuda=28</t>
  </si>
  <si>
    <t>Argentina=32</t>
  </si>
  <si>
    <t>Armenia=51</t>
  </si>
  <si>
    <t>Aruba=533</t>
  </si>
  <si>
    <t>Australia=36</t>
  </si>
  <si>
    <t>Austria=40</t>
  </si>
  <si>
    <t>Azerbaijan=31</t>
  </si>
  <si>
    <t>Bahamas (the)=44</t>
  </si>
  <si>
    <t>Bahrain=48</t>
  </si>
  <si>
    <t>Bangladesh=50</t>
  </si>
  <si>
    <t>Barbados=52</t>
  </si>
  <si>
    <t>Belarus=112</t>
  </si>
  <si>
    <t>Belgium=56</t>
  </si>
  <si>
    <t>Belize=84</t>
  </si>
  <si>
    <t>Benin=204</t>
  </si>
  <si>
    <t>Bermuda=60</t>
  </si>
  <si>
    <t>Bhutan=64</t>
  </si>
  <si>
    <t>Bolivia (Plurinational State of)=68</t>
  </si>
  <si>
    <t>Bonaire, Sint Eustatius and Saba=535</t>
  </si>
  <si>
    <t>Bosnia and Herzegovina=70</t>
  </si>
  <si>
    <t>Botswana=72</t>
  </si>
  <si>
    <t>Bouvet Island=74</t>
  </si>
  <si>
    <t>Brazil=76</t>
  </si>
  <si>
    <t>British Indian Ocean Territory (the)=86</t>
  </si>
  <si>
    <t>Brunei Darussalam=96</t>
  </si>
  <si>
    <t>Bulgaria=100</t>
  </si>
  <si>
    <t>Burkina Faso=854</t>
  </si>
  <si>
    <t>Burundi=108</t>
  </si>
  <si>
    <t>Cabo Verde=132</t>
  </si>
  <si>
    <t>Cambodia=116</t>
  </si>
  <si>
    <t>Cameroon=120</t>
  </si>
  <si>
    <t>Canada=124</t>
  </si>
  <si>
    <t>Cayman Islands (the)=136</t>
  </si>
  <si>
    <t>Central African Republic (the)=140</t>
  </si>
  <si>
    <t>Chad=148</t>
  </si>
  <si>
    <t>Chile=152</t>
  </si>
  <si>
    <t>China=156</t>
  </si>
  <si>
    <t>Christmas Island=162</t>
  </si>
  <si>
    <t>Cocos (Keeling) Islands (the)=166</t>
  </si>
  <si>
    <t>Colombia=170</t>
  </si>
  <si>
    <t>Comoros (the)=174</t>
  </si>
  <si>
    <t>Congo (the Democratic Republic of the)=180</t>
  </si>
  <si>
    <t>Congo (the)=178</t>
  </si>
  <si>
    <t>Cook Islands (the)=184</t>
  </si>
  <si>
    <t>Costa Rica=188</t>
  </si>
  <si>
    <t>Croatia=191</t>
  </si>
  <si>
    <t>Cuba=192</t>
  </si>
  <si>
    <t>Curaçao=531</t>
  </si>
  <si>
    <t>Cyprus=196</t>
  </si>
  <si>
    <t>Czechia=203</t>
  </si>
  <si>
    <t>Côte d'Ivoire=384</t>
  </si>
  <si>
    <t>Denmark=208</t>
  </si>
  <si>
    <t>Djibouti=262</t>
  </si>
  <si>
    <t>Dominica=212</t>
  </si>
  <si>
    <t>Dominican Republic (the)=214</t>
  </si>
  <si>
    <t>Ecuador=218</t>
  </si>
  <si>
    <t>Egypt=818</t>
  </si>
  <si>
    <t>El Salvador=222</t>
  </si>
  <si>
    <t>Equatorial Guinea=226</t>
  </si>
  <si>
    <t>Eritrea=232</t>
  </si>
  <si>
    <t>Estonia=233</t>
  </si>
  <si>
    <t>Eswatini=748</t>
  </si>
  <si>
    <t>Ethiopia=231</t>
  </si>
  <si>
    <t>Falkland Islands (the) [Malvinas]=238</t>
  </si>
  <si>
    <t>Faroe Islands (the)=234</t>
  </si>
  <si>
    <t>Fiji=242</t>
  </si>
  <si>
    <t>Finland=246</t>
  </si>
  <si>
    <t>France=250</t>
  </si>
  <si>
    <t>French Guiana=254</t>
  </si>
  <si>
    <t>French Polynesia=258</t>
  </si>
  <si>
    <t>French Southern Territories (the)=260</t>
  </si>
  <si>
    <t>Gabon=266</t>
  </si>
  <si>
    <t>Gambia (the)=270</t>
  </si>
  <si>
    <t>Georgia=268</t>
  </si>
  <si>
    <t>Germany=276</t>
  </si>
  <si>
    <t>Ghana=288</t>
  </si>
  <si>
    <t>Gibraltar=292</t>
  </si>
  <si>
    <t>Greece=300</t>
  </si>
  <si>
    <t>Greenland=304</t>
  </si>
  <si>
    <t>Grenada=308</t>
  </si>
  <si>
    <t>Guadeloupe=312</t>
  </si>
  <si>
    <t>Guam=316</t>
  </si>
  <si>
    <t>Guatemala=320</t>
  </si>
  <si>
    <t>Guernsey=831</t>
  </si>
  <si>
    <t>Guinea=324</t>
  </si>
  <si>
    <t>Guinea-Bissau=624</t>
  </si>
  <si>
    <t>Guyana=328</t>
  </si>
  <si>
    <t>Haiti=332</t>
  </si>
  <si>
    <t>Heard Island and McDonald Islands=334</t>
  </si>
  <si>
    <t>Holy See (the)=336</t>
  </si>
  <si>
    <t>Honduras=340</t>
  </si>
  <si>
    <t>Hong Kong=344</t>
  </si>
  <si>
    <t>Hungary=348</t>
  </si>
  <si>
    <t>Iceland=352</t>
  </si>
  <si>
    <t>India=356</t>
  </si>
  <si>
    <t>Indonesia=360</t>
  </si>
  <si>
    <t>Iran (Islamic Republic of)=364</t>
  </si>
  <si>
    <t>Iraq=368</t>
  </si>
  <si>
    <t>Ireland=372</t>
  </si>
  <si>
    <t>Isle of Man=833</t>
  </si>
  <si>
    <t>Israel=376</t>
  </si>
  <si>
    <t>Italy=380</t>
  </si>
  <si>
    <t>Jamaica=388</t>
  </si>
  <si>
    <t>Japan=392</t>
  </si>
  <si>
    <t>Jersey=832</t>
  </si>
  <si>
    <t>Jordan=400</t>
  </si>
  <si>
    <t>Kazakhstan=398</t>
  </si>
  <si>
    <t>Kenya=404</t>
  </si>
  <si>
    <t>Kiribati=296</t>
  </si>
  <si>
    <t>Korea (the Democratic People's Republic of)=408</t>
  </si>
  <si>
    <t>Korea (the Republic of)=410</t>
  </si>
  <si>
    <t>Kuwait=414</t>
  </si>
  <si>
    <t>Kyrgyzstan=417</t>
  </si>
  <si>
    <t>Lao People's Democratic Republic (the)=418</t>
  </si>
  <si>
    <t>Latvia=428</t>
  </si>
  <si>
    <t>Lebanon=422</t>
  </si>
  <si>
    <t>Lesotho=426</t>
  </si>
  <si>
    <t>Liberia=430</t>
  </si>
  <si>
    <t>Libya=434</t>
  </si>
  <si>
    <t>Liechtenstein=438</t>
  </si>
  <si>
    <t>Lithuania=440</t>
  </si>
  <si>
    <t>Luxembourg=442</t>
  </si>
  <si>
    <t>Macao=446</t>
  </si>
  <si>
    <t>Madagascar=450</t>
  </si>
  <si>
    <t>Malawi=454</t>
  </si>
  <si>
    <t>Malaysia=458</t>
  </si>
  <si>
    <t>Maldives=462</t>
  </si>
  <si>
    <t>Mali=466</t>
  </si>
  <si>
    <t>Malta=470</t>
  </si>
  <si>
    <t>Marshall Islands (the)=584</t>
  </si>
  <si>
    <t>Martinique=474</t>
  </si>
  <si>
    <t>Mauritania=478</t>
  </si>
  <si>
    <t>Mauritius=480</t>
  </si>
  <si>
    <t>Mayotte=175</t>
  </si>
  <si>
    <t>Mexico=484</t>
  </si>
  <si>
    <t>Micronesia (Federated States of)=583</t>
  </si>
  <si>
    <t>Moldova (the Republic of)=498</t>
  </si>
  <si>
    <t>Monaco=492</t>
  </si>
  <si>
    <t>Mongolia=496</t>
  </si>
  <si>
    <t>Montenegro=499</t>
  </si>
  <si>
    <t>Montserrat=500</t>
  </si>
  <si>
    <t>Morocco=504</t>
  </si>
  <si>
    <t>Mozambique=508</t>
  </si>
  <si>
    <t>Myanmar=104</t>
  </si>
  <si>
    <t>Namibia=516</t>
  </si>
  <si>
    <t>Nauru=520</t>
  </si>
  <si>
    <t>Nepal=524</t>
  </si>
  <si>
    <t>Netherlands (the)=528</t>
  </si>
  <si>
    <t>New Caledonia=540</t>
  </si>
  <si>
    <t>New Zealand=554</t>
  </si>
  <si>
    <t>Nicaragua=558</t>
  </si>
  <si>
    <t>Niger (the)=562</t>
  </si>
  <si>
    <t>Nigeria=566</t>
  </si>
  <si>
    <t>Niue=570</t>
  </si>
  <si>
    <t>Norfolk Island=574</t>
  </si>
  <si>
    <t>North Macedonia=807</t>
  </si>
  <si>
    <t>Northern Mariana Islands (the)=580</t>
  </si>
  <si>
    <t>Norway=578</t>
  </si>
  <si>
    <t>Oman=512</t>
  </si>
  <si>
    <t>Pakistan=586</t>
  </si>
  <si>
    <t>Palau=585</t>
  </si>
  <si>
    <t>Palestine, State of=275</t>
  </si>
  <si>
    <t>Panama=591</t>
  </si>
  <si>
    <t>Papua New Guinea=598</t>
  </si>
  <si>
    <t>Paraguay=600</t>
  </si>
  <si>
    <t>Peru=604</t>
  </si>
  <si>
    <t>Philippines (the)=608</t>
  </si>
  <si>
    <t>Pitcairn=612</t>
  </si>
  <si>
    <t>Poland=616</t>
  </si>
  <si>
    <t>Portugal=620</t>
  </si>
  <si>
    <t>Puerto Rico=630</t>
  </si>
  <si>
    <t>Qatar=634</t>
  </si>
  <si>
    <t>Romania=642</t>
  </si>
  <si>
    <t>Russian Federation (the)=643</t>
  </si>
  <si>
    <t>Rwanda=646</t>
  </si>
  <si>
    <t>Réunion=638</t>
  </si>
  <si>
    <t>Saint Barthélemy=652</t>
  </si>
  <si>
    <t>Saint Helena, Ascension and Tristan da Cunha=654</t>
  </si>
  <si>
    <t>Saint Kitts and Nevis=659</t>
  </si>
  <si>
    <t>Saint Lucia=662</t>
  </si>
  <si>
    <t>Saint Martin (French part)=663</t>
  </si>
  <si>
    <t>Saint Pierre and Miquelon=666</t>
  </si>
  <si>
    <t>Saint Vincent and the Grenadines=670</t>
  </si>
  <si>
    <t>Samoa=882</t>
  </si>
  <si>
    <t>San Marino=674</t>
  </si>
  <si>
    <t>Sao Tome and Principe=678</t>
  </si>
  <si>
    <t>Saudi Arabia=682</t>
  </si>
  <si>
    <t>Senegal=686</t>
  </si>
  <si>
    <t>Serbia=688</t>
  </si>
  <si>
    <t>Seychelles=690</t>
  </si>
  <si>
    <t>Sierra Leone=694</t>
  </si>
  <si>
    <t>Singapore=702</t>
  </si>
  <si>
    <t>Sint Maarten (Dutch part)=534</t>
  </si>
  <si>
    <t>Slovakia=703</t>
  </si>
  <si>
    <t>Slovenia=705</t>
  </si>
  <si>
    <t>Solomon Islands=90</t>
  </si>
  <si>
    <t>Somalia=706</t>
  </si>
  <si>
    <t>South Africa=710</t>
  </si>
  <si>
    <t>South Georgia and the South Sandwich Islands=239</t>
  </si>
  <si>
    <t>South Sudan=728</t>
  </si>
  <si>
    <t>Spain=724</t>
  </si>
  <si>
    <t>Sri Lanka=144</t>
  </si>
  <si>
    <t>Sudan (the)=729</t>
  </si>
  <si>
    <t>Suriname=740</t>
  </si>
  <si>
    <t>Svalbard and Jan Mayen=744</t>
  </si>
  <si>
    <t>Sweden=752</t>
  </si>
  <si>
    <t>Switzerland=756</t>
  </si>
  <si>
    <t>Syrian Arab Republic (the)=760</t>
  </si>
  <si>
    <t>Taiwan (Province of China)=158</t>
  </si>
  <si>
    <t>Tajikistan=762</t>
  </si>
  <si>
    <t>Tanzania, the United Republic of=834</t>
  </si>
  <si>
    <t>Thailand=764</t>
  </si>
  <si>
    <t>Timor-Leste=626</t>
  </si>
  <si>
    <t>Togo=768</t>
  </si>
  <si>
    <t>Tokelau=772</t>
  </si>
  <si>
    <t>Tonga=776</t>
  </si>
  <si>
    <t>Trinidad and Tobago=780</t>
  </si>
  <si>
    <t>Tunisia=788</t>
  </si>
  <si>
    <t>Turkey=792</t>
  </si>
  <si>
    <t>Turkmenistan=795</t>
  </si>
  <si>
    <t>Turks and Caicos Islands (the)=796</t>
  </si>
  <si>
    <t>Tuvalu=798</t>
  </si>
  <si>
    <t>Uganda=800</t>
  </si>
  <si>
    <t>Ukraine=804</t>
  </si>
  <si>
    <t>United Arab Emirates (the)=784</t>
  </si>
  <si>
    <t>United Kingdom of Great Britain and Northern Ireland (the)=826</t>
  </si>
  <si>
    <t>United States Minor Outlying Islands (the)=581</t>
  </si>
  <si>
    <t>United States of America (the)=840</t>
  </si>
  <si>
    <t>Uruguay=858</t>
  </si>
  <si>
    <t>Uzbekistan=860</t>
  </si>
  <si>
    <t>Vanuatu=548</t>
  </si>
  <si>
    <t>Venezuela (Bolivarian Republic of)=862</t>
  </si>
  <si>
    <t>Viet Nam=704</t>
  </si>
  <si>
    <t>Virgin Islands (British)=92</t>
  </si>
  <si>
    <t>Virgin Islands (U.S.)=850</t>
  </si>
  <si>
    <t>Wallis and Futuna=876</t>
  </si>
  <si>
    <t>Western Sahara=732</t>
  </si>
  <si>
    <t>Yemen=887</t>
  </si>
  <si>
    <t>Zambia=894</t>
  </si>
  <si>
    <t>Zimbabwe=716</t>
  </si>
  <si>
    <t>Åland Islands=248</t>
  </si>
  <si>
    <t>Powerdown=0</t>
  </si>
  <si>
    <t>1.6 Hz=1</t>
  </si>
  <si>
    <t>12.5 Hz=2</t>
  </si>
  <si>
    <t>25 Hz=3</t>
  </si>
  <si>
    <t>50 Hz=4</t>
  </si>
  <si>
    <t>100 Hz=5</t>
  </si>
  <si>
    <t>200 Hz=6</t>
  </si>
  <si>
    <t>400 Hz=7</t>
  </si>
  <si>
    <t>800 Hz=8</t>
  </si>
  <si>
    <t>1600 Hz=9</t>
  </si>
  <si>
    <t>High performance + LN disabled=0x04</t>
  </si>
  <si>
    <t>Cont LP4 + LN disabled=0x03</t>
  </si>
  <si>
    <t>Cont LP3 + LN disabled=0x02</t>
  </si>
  <si>
    <t>Cont LP2 + LN disabled=0x01</t>
  </si>
  <si>
    <t>Cont LP1 + LN disabled (12-bit)=0x00</t>
  </si>
  <si>
    <t>Single LP4 + LN disabled=0x0b</t>
  </si>
  <si>
    <t>Single LP3 + LN disabled=0x0a</t>
  </si>
  <si>
    <t>Single LP2 + LN disabled=0x09</t>
  </si>
  <si>
    <t>Single LP1 + LN disabled (12-bit)=0x08</t>
  </si>
  <si>
    <t>High performance + LN Enabled=0x14</t>
  </si>
  <si>
    <t>Cont LP4 + LN Enabled=0x13</t>
  </si>
  <si>
    <t>Cont LP3 + LN Enabled=0x12</t>
  </si>
  <si>
    <t>Cont LP2 + LN Enabled=0x11</t>
  </si>
  <si>
    <t>Cont LP1 + LN Enabled-bit=0x10</t>
  </si>
  <si>
    <t>Single LP4 + LN Enabled=0x1B</t>
  </si>
  <si>
    <t>Single LP3 + LN Enabled=0x1A</t>
  </si>
  <si>
    <t>Single LP2 + LN Enabled=0x19</t>
  </si>
  <si>
    <t>Single LP1 + LN Enabled-bit=0x18</t>
  </si>
  <si>
    <t>ODR/2 (up to ODR 800 Hz, 400 Hz when ODR 1600 Hz)=0</t>
  </si>
  <si>
    <t>ODR/4 (HP/LP)=1</t>
  </si>
  <si>
    <t>ODR/10 (HP/LP)=2</t>
  </si>
  <si>
    <t>ODR/20 (HP/LP)=3</t>
  </si>
  <si>
    <t>2 g=0</t>
  </si>
  <si>
    <t>4 g=1</t>
  </si>
  <si>
    <t>8 g=2</t>
  </si>
  <si>
    <t>16 g=3</t>
  </si>
  <si>
    <t>Low pass filter path selected=0</t>
  </si>
  <si>
    <t>LIS2DW12_USER_OFFSET_ON_OUT=1</t>
  </si>
  <si>
    <t>High pass filter path selected=2</t>
  </si>
  <si>
    <t>80 degrees=0</t>
  </si>
  <si>
    <t>70 degrees=1</t>
  </si>
  <si>
    <t>60 degrees=2</t>
  </si>
  <si>
    <t>50 degrees=3</t>
  </si>
  <si>
    <t>X direction=1</t>
  </si>
  <si>
    <t>Y direction=2</t>
  </si>
  <si>
    <t>Z direction=3</t>
  </si>
  <si>
    <t>X&amp;Y direction=4</t>
  </si>
  <si>
    <t>Y&amp;Z direction=5</t>
  </si>
  <si>
    <t>Z&amp;X direction=6</t>
  </si>
  <si>
    <t>X&amp;Y&amp;Z direction=7</t>
  </si>
  <si>
    <t>X max Priority, Y mid priority, Z low priority=0</t>
  </si>
  <si>
    <t>Y max Priority, X mid priority, Z low priority=1</t>
  </si>
  <si>
    <t>X max Priority, Z mid priority, Y low priority=2</t>
  </si>
  <si>
    <t>Z max Priority, Y mid priority, X low priority=3</t>
  </si>
  <si>
    <t>Y max Priority, Z mid priority, X low priority=5</t>
  </si>
  <si>
    <t>Z max Priority, X mid priority, Y low priority=6</t>
  </si>
  <si>
    <t>LIS2DW12_FF_TSH_5LSb_FS2g=0</t>
  </si>
  <si>
    <t>LIS2DW12_FF_TSH_7LSb_FS2g=1</t>
  </si>
  <si>
    <t>LIS2DW12_FF_TSH_8LSb_FS2g=2</t>
  </si>
  <si>
    <t>LIS2DW12_FF_TSH_10LSb_FS2g=3</t>
  </si>
  <si>
    <t>LIS2DW12_FF_TSH_11LSb_FS2g=4</t>
  </si>
  <si>
    <t>LIS2DW12_FF_TSH_13LSb_FS2g=5</t>
  </si>
  <si>
    <t>LIS2DW12_FF_TSH_15LSb_FS2g=6</t>
  </si>
  <si>
    <t>LIS2DW12_FF_TSH_16LSb_FS2g=7</t>
  </si>
  <si>
    <t>CONT_MEASURMENT_MF_AVERAGE=0</t>
  </si>
  <si>
    <t>CONT_MEASURMENT_MF_NONE=1</t>
  </si>
  <si>
    <t>CONT_MEASURMENT_DP_AVERAGE=2</t>
  </si>
  <si>
    <t>CONT_MEASURMENT_DP_NONE=3</t>
  </si>
  <si>
    <t>TRIG_MEASUREMENT_MF_NONE=4</t>
  </si>
  <si>
    <t>TRIG_MEASUREMENT_DP_NONE=5</t>
  </si>
  <si>
    <t>ok=0</t>
  </si>
  <si>
    <t>ongoing=1</t>
  </si>
  <si>
    <t>failed=2</t>
  </si>
  <si>
    <t>LP=1</t>
  </si>
  <si>
    <t>ULP=2</t>
  </si>
  <si>
    <t>Cont=3</t>
  </si>
  <si>
    <t>Single only=0</t>
  </si>
  <si>
    <t>Both single and double=1</t>
  </si>
  <si>
    <t>Recognition disable=0</t>
  </si>
  <si>
    <t>Recognition enable=1</t>
  </si>
  <si>
    <t>20 lb vertical=1</t>
  </si>
  <si>
    <t>30 lb vertical=2</t>
  </si>
  <si>
    <t>40 lb vertical=3</t>
  </si>
  <si>
    <t>100 lb vertical=4</t>
  </si>
  <si>
    <t>120 gal vertical=5</t>
  </si>
  <si>
    <t>120 gal horizontal=6</t>
  </si>
  <si>
    <t>150 gal horizontal=7</t>
  </si>
  <si>
    <t>250 gal horizontal=8</t>
  </si>
  <si>
    <t>500 gal horizontal=9</t>
  </si>
  <si>
    <t>1000 gal horizontal=10</t>
  </si>
  <si>
    <t>Percent=0</t>
  </si>
  <si>
    <t>Centimeters=1</t>
  </si>
  <si>
    <t>Inches=2</t>
  </si>
  <si>
    <t>Unconfigured Rubicon CFX3=0x00</t>
  </si>
  <si>
    <t>Rubicon CFX3 Single Zone=0x01</t>
  </si>
  <si>
    <t>Rubicon CFX3 Single Zone with icemaker=0x02</t>
  </si>
  <si>
    <t>Rubicon CFX3 Dual Zone=0x03</t>
  </si>
  <si>
    <t>Dometic DICM Gateway=0x04</t>
  </si>
  <si>
    <t>Dometic Sensor=0x05</t>
  </si>
  <si>
    <t>Dometic Garnet=0x06</t>
  </si>
  <si>
    <t>Dometic Mopeka=0x07</t>
  </si>
  <si>
    <t>Dometic AreaLights=0x08</t>
  </si>
  <si>
    <t>Marine Gateway=0x10</t>
  </si>
  <si>
    <t>Marine Device=0x11</t>
  </si>
  <si>
    <t>Marine Reserved 0x12=0x12</t>
  </si>
  <si>
    <t>Marine Reserved 0x13=0x13</t>
  </si>
  <si>
    <t>Cloud update=1</t>
  </si>
  <si>
    <t>Restart=11223344</t>
  </si>
  <si>
    <t>Factory reset=19181716</t>
  </si>
  <si>
    <t>Test trigger=1953719668</t>
  </si>
  <si>
    <t>NoTest=0</t>
  </si>
  <si>
    <t>LinTest=1</t>
  </si>
  <si>
    <t>OK=0</t>
  </si>
  <si>
    <t>Error=1</t>
  </si>
  <si>
    <t>MOTION_IN_DETECT=1</t>
  </si>
  <si>
    <t>MOTION_OUT_DETECT=2</t>
  </si>
  <si>
    <t>Comfort=0</t>
  </si>
  <si>
    <t>Energy=2</t>
  </si>
  <si>
    <t>Quiet=3</t>
  </si>
  <si>
    <t>Humidity=4</t>
  </si>
  <si>
    <t>Storage=5</t>
  </si>
  <si>
    <t>RTC=1</t>
  </si>
  <si>
    <t>External=2</t>
  </si>
  <si>
    <t>Set=3</t>
  </si>
  <si>
    <t>NTP=4</t>
  </si>
  <si>
    <t>GNSS=5</t>
  </si>
  <si>
    <t>nrx0mode</t>
    <phoneticPr fontId="2" type="noConversion"/>
  </si>
  <si>
    <t>ECO mode=2</t>
    <phoneticPr fontId="2" type="noConversion"/>
  </si>
  <si>
    <t>nrx0level</t>
    <phoneticPr fontId="2" type="noConversion"/>
  </si>
  <si>
    <t>Level1=0</t>
    <phoneticPr fontId="2" type="noConversion"/>
  </si>
  <si>
    <t>Level2=1</t>
    <phoneticPr fontId="2" type="noConversion"/>
  </si>
  <si>
    <t>Level3=2</t>
    <phoneticPr fontId="2" type="noConversion"/>
  </si>
  <si>
    <t>Level4=3</t>
    <phoneticPr fontId="2" type="noConversion"/>
  </si>
  <si>
    <t>Level5=4</t>
    <phoneticPr fontId="2" type="noConversion"/>
  </si>
  <si>
    <t>nrx0errst</t>
    <phoneticPr fontId="2" type="noConversion"/>
  </si>
  <si>
    <t>No errors=0</t>
    <phoneticPr fontId="2" type="noConversion"/>
  </si>
  <si>
    <t>Battery voltage fault=0x01</t>
    <phoneticPr fontId="2" type="noConversion"/>
  </si>
  <si>
    <t>Fan overcurrent protection=0x02</t>
    <phoneticPr fontId="2" type="noConversion"/>
  </si>
  <si>
    <t>Compressor startup failure=0x04</t>
    <phoneticPr fontId="2" type="noConversion"/>
  </si>
  <si>
    <t>Compressor stall protection=0x08</t>
    <phoneticPr fontId="2" type="noConversion"/>
  </si>
  <si>
    <t>Controller Overheat Protection=0x10</t>
    <phoneticPr fontId="2" type="noConversion"/>
  </si>
  <si>
    <t>Open door timeout fault=0x20</t>
    <phoneticPr fontId="2" type="noConversion"/>
  </si>
  <si>
    <t>NTC1 sensor error=0x40</t>
    <phoneticPr fontId="2" type="noConversion"/>
  </si>
  <si>
    <t>OFF=0</t>
  </si>
  <si>
    <t>ON=1</t>
  </si>
  <si>
    <t>No warning=0</t>
  </si>
  <si>
    <t>Battery low=1</t>
  </si>
  <si>
    <t>Over Heating=2</t>
  </si>
  <si>
    <t>Over Voltage=3</t>
  </si>
  <si>
    <t>Over Current=4</t>
  </si>
  <si>
    <t>Solar power input=0</t>
  </si>
  <si>
    <t>12V car battery input=1</t>
  </si>
  <si>
    <t>Backup battery=2</t>
  </si>
  <si>
    <t>Air quality good=0</t>
  </si>
  <si>
    <t>Calibration Ongoing=3</t>
  </si>
  <si>
    <t>Air quality unknown=4</t>
  </si>
  <si>
    <t>Valid press level=0</t>
  </si>
  <si>
    <t>Over press=1</t>
  </si>
  <si>
    <t>Under press=2</t>
  </si>
  <si>
    <t>Press status unknown=3</t>
  </si>
  <si>
    <t>idle=0</t>
  </si>
  <si>
    <t>scan=1</t>
  </si>
  <si>
    <t>pair=2</t>
  </si>
  <si>
    <t>Standby=0</t>
  </si>
  <si>
    <t>Active=1</t>
  </si>
  <si>
    <t>Storage=2</t>
  </si>
  <si>
    <t>Open=1</t>
  </si>
  <si>
    <t>Close=2</t>
  </si>
  <si>
    <t>No_Rain_Detected=0</t>
  </si>
  <si>
    <t>Rain_Detected=1</t>
  </si>
  <si>
    <t>Sensor_Error=2</t>
  </si>
  <si>
    <t>Rain Sensor_Not_Installed=3</t>
  </si>
  <si>
    <t>Fan_Off=0</t>
  </si>
  <si>
    <t>Fan_Manual=1</t>
  </si>
  <si>
    <t>Fan_Auto=2</t>
  </si>
  <si>
    <t>No automatic dome control=0</t>
  </si>
  <si>
    <t>Automatic dome control=1</t>
  </si>
  <si>
    <t>Leave dome open on fan off=0</t>
  </si>
  <si>
    <t>Auto dome close on fan off=1</t>
  </si>
  <si>
    <t>Leave fan on on dome close=0</t>
  </si>
  <si>
    <t>Auto fan off on dome close=1</t>
  </si>
  <si>
    <t>Decrement fan speed=0</t>
  </si>
  <si>
    <t>Increment fan speed=1</t>
  </si>
  <si>
    <t>Air out=0</t>
  </si>
  <si>
    <t>Air in=1</t>
  </si>
  <si>
    <t>Forced on=1</t>
  </si>
  <si>
    <t>Manual=1</t>
  </si>
  <si>
    <t>Use rain sensor=0</t>
  </si>
  <si>
    <t>Ignore rain sensor=1</t>
  </si>
  <si>
    <t>Not detected=0</t>
  </si>
  <si>
    <t>Closed=1</t>
  </si>
  <si>
    <t>Open=2</t>
  </si>
  <si>
    <t>Enum</t>
  </si>
  <si>
    <t>Value (dec)</t>
  </si>
  <si>
    <t>Value (hex)</t>
  </si>
  <si>
    <t>Description</t>
  </si>
  <si>
    <t>GENERIC</t>
  </si>
  <si>
    <t>NO_ERRORS</t>
  </si>
  <si>
    <t>Indicates that there are no active errors.</t>
  </si>
  <si>
    <t>COMMUNICATION_ERROR</t>
  </si>
  <si>
    <t>Generic communication error (any interface)</t>
  </si>
  <si>
    <t>CI_BUS_COMMUNICATION_ERROR</t>
  </si>
  <si>
    <t>LIN-BUS/CI-BUS communication bus error</t>
  </si>
  <si>
    <t>RVC_BUS_COMMUNICATION_ERROR</t>
  </si>
  <si>
    <t>CAN/RVC communication bus error</t>
  </si>
  <si>
    <t>CI_BUS_SELFTEST_ERROR</t>
  </si>
  <si>
    <t>LIN-BUS/CI-BUS self test error</t>
  </si>
  <si>
    <t>DC_UNDER_VOLTAGE_ERROR</t>
  </si>
  <si>
    <t>DC input undervoltage detection error</t>
  </si>
  <si>
    <t>DC_OVER_VOLTAGE_ERROR</t>
  </si>
  <si>
    <t>DC input overvoltage detection error</t>
  </si>
  <si>
    <t>AC_UNDER_VOLTAGE_ERROR</t>
  </si>
  <si>
    <t>AC input undervoltage protection detection error</t>
  </si>
  <si>
    <t>AC_OVER_VOLTAGE_ERROR</t>
  </si>
  <si>
    <t>AC input overvoltage detection error</t>
  </si>
  <si>
    <t>AC_OVER_CURRENT_ERROR</t>
  </si>
  <si>
    <t>AC input over current detection error</t>
  </si>
  <si>
    <t>NTC_OPEN_CIRCUIT_ERROR</t>
  </si>
  <si>
    <t>NTC temperature sensor open circuit detection error</t>
  </si>
  <si>
    <t>NTC_SHORT_CIRCUIT_ERROR</t>
  </si>
  <si>
    <t>NTC temperature sensor short circuit detection error</t>
  </si>
  <si>
    <t>DOOR_OPENED_ERROR</t>
  </si>
  <si>
    <t>Door has been opened too long (Product dependent)</t>
  </si>
  <si>
    <t>CURRENT_SENSOR_ERROR</t>
  </si>
  <si>
    <t>Current sensor error. No current sensed by system</t>
  </si>
  <si>
    <t>EEPROM_ERROR</t>
  </si>
  <si>
    <t>Unable to read/use EEPROM</t>
  </si>
  <si>
    <t>AIRC</t>
  </si>
  <si>
    <t>ROOM_TEMP_SENSOR_ERROR</t>
  </si>
  <si>
    <t>Room temperature sensor fault detected</t>
  </si>
  <si>
    <t>OUTDOOR_TEMP_SENSOR_ERROR</t>
  </si>
  <si>
    <t>Outdoor ambient temperature sensor short circuit or open circuit fault detected</t>
  </si>
  <si>
    <t>EVAPORATOR_TEMP_SENSOR_ERROR</t>
  </si>
  <si>
    <t>Short circuit or open circuit of evaporator coil temperature sensor error detected</t>
  </si>
  <si>
    <t>CONDENSOR_TEMP_SENSOR_ERROR</t>
  </si>
  <si>
    <t>Short circuit or open circuit of condenser coil temperature sensor error detected</t>
  </si>
  <si>
    <t>COMPRESSOR_DISCHARGE_TEMP_SENSOR_ERROR</t>
  </si>
  <si>
    <t>Compressor discharge tube temperature sensor short circuit or open circuit error detected</t>
  </si>
  <si>
    <t>COMPRESSOR_DRV_IPM_ERROR</t>
  </si>
  <si>
    <t>Compressor driver or IPM module protection appears 6 times within 30 minutes</t>
  </si>
  <si>
    <t>COMPRESSOR_DISCHARGE_TEMP_SENSOR_PROTECTION_ERROR</t>
  </si>
  <si>
    <t>The temperature of the compressor discharge tube exceeds the protection value</t>
  </si>
  <si>
    <t>EVAPORATOR_TEMP_SENSOR_COOL_PROTECTION_ERROR</t>
  </si>
  <si>
    <t>Evaporator coil temperature is too low in cooling mode</t>
  </si>
  <si>
    <t>CONDENSOR_TEMP_SENSOR_PROTECTION_ERROR</t>
  </si>
  <si>
    <t>Condenser coil temperature is too high in cooling mode</t>
  </si>
  <si>
    <t>EVAPORATOR_TEMP_SENSOR_HEAT_PROTECTION_ERROR</t>
  </si>
  <si>
    <t>Evaporator coil temperature is too high in heating mode</t>
  </si>
  <si>
    <t>COMPRESSOR_DRV_NO_START_ERROR</t>
  </si>
  <si>
    <t>Compressor drive abnormal or compressor does not start</t>
  </si>
  <si>
    <t>COMPRESSOR_DRV_IPM_PROTECTION_ERROR</t>
  </si>
  <si>
    <t>IPM module itself over temperature or over current</t>
  </si>
  <si>
    <t>COMPRESSOR_FAN_OVER_CURRENT_ERROR</t>
  </si>
  <si>
    <t>COMPRESSOR_START_FAIL_ERROR</t>
  </si>
  <si>
    <t>COMPRESSOR_SPEED_LOW_ERROR</t>
  </si>
  <si>
    <t>COMPRESSOR_OVER_TEMPERATURE_ERROR</t>
  </si>
  <si>
    <t>COMPRESSOR_FAN_SPEED_LOW_ERROR</t>
  </si>
  <si>
    <t>TEMPERATURE_OUT_OF_RANGE_ERROR</t>
  </si>
  <si>
    <t>Temperature is out of range detection error</t>
  </si>
  <si>
    <t>HEAT</t>
  </si>
  <si>
    <t>FAN_SPEED_LOW_ERROR</t>
  </si>
  <si>
    <t>Heater fan speed too low detection</t>
  </si>
  <si>
    <t>LOW_CURRENT_ERROR</t>
  </si>
  <si>
    <t>Heater fault too low current detection</t>
  </si>
  <si>
    <t>OVER_CURRENT_ERROR</t>
  </si>
  <si>
    <t>Heater fault over current detection</t>
  </si>
  <si>
    <t>Appliance</t>
  </si>
  <si>
    <t>Model mapping</t>
  </si>
  <si>
    <t>Truma</t>
  </si>
  <si>
    <t>AC</t>
  </si>
  <si>
    <t>Aventa Comfort Plus</t>
  </si>
  <si>
    <t>0..1</t>
  </si>
  <si>
    <t>16..31</t>
  </si>
  <si>
    <t>Dometic</t>
  </si>
  <si>
    <t>Freshjet</t>
  </si>
  <si>
    <t>Model 4 and 6</t>
  </si>
  <si>
    <t>5..30</t>
  </si>
  <si>
    <t>Alde</t>
  </si>
  <si>
    <t>App enery selection menu</t>
  </si>
  <si>
    <t>HTR0GAS</t>
  </si>
  <si>
    <t>HTR0EL</t>
  </si>
  <si>
    <t>Gas</t>
  </si>
  <si>
    <t>Gas+1kW</t>
  </si>
  <si>
    <t>Gas+2kW</t>
  </si>
  <si>
    <t>Gas+3kW</t>
  </si>
  <si>
    <t>1kW</t>
  </si>
  <si>
    <t>2kW</t>
  </si>
  <si>
    <t>3kW</t>
  </si>
  <si>
    <t>Mopeka</t>
  </si>
  <si>
    <t>0x21</t>
  </si>
  <si>
    <t>LPG info1</t>
  </si>
  <si>
    <t>0x21 struct</t>
  </si>
  <si>
    <t>LPG info frame 1</t>
  </si>
  <si>
    <t>0x22</t>
  </si>
  <si>
    <t>LPG info2</t>
  </si>
  <si>
    <t>0x22 struct</t>
  </si>
  <si>
    <t>LPG info frame 2</t>
  </si>
  <si>
    <t>GAP specific</t>
  </si>
  <si>
    <t>0x40</t>
  </si>
  <si>
    <t>Tank levels</t>
  </si>
  <si>
    <t>Tank level status, 0-9 tanks</t>
  </si>
  <si>
    <t>0x41</t>
  </si>
  <si>
    <t>0x42</t>
  </si>
  <si>
    <t>0x44</t>
  </si>
  <si>
    <t>Tank levels 1</t>
  </si>
  <si>
    <t>tank 0-4</t>
  </si>
  <si>
    <t>0x45</t>
  </si>
  <si>
    <t>Tank levels 2</t>
  </si>
  <si>
    <t>tank 5-9</t>
  </si>
  <si>
    <t>GATT</t>
  </si>
  <si>
    <t>0x80</t>
  </si>
  <si>
    <t>tank 0-9</t>
  </si>
  <si>
    <t>Prefixes</t>
  </si>
  <si>
    <t>0xff</t>
  </si>
  <si>
    <t>SET prefix</t>
  </si>
  <si>
    <t>Node ID</t>
  </si>
  <si>
    <t>Node name</t>
  </si>
  <si>
    <t>Sensor IDs</t>
  </si>
  <si>
    <t>Sequencer Name</t>
  </si>
  <si>
    <t>0x00</t>
  </si>
  <si>
    <t>Climate</t>
  </si>
  <si>
    <t>0x03</t>
  </si>
  <si>
    <t>0x01</t>
  </si>
  <si>
    <t>Air Quality</t>
  </si>
  <si>
    <t>0x04</t>
  </si>
  <si>
    <t>0x02</t>
  </si>
  <si>
    <t>0x09</t>
  </si>
  <si>
    <t>Motion</t>
  </si>
  <si>
    <t>0x05</t>
  </si>
  <si>
    <t>Wire break and voltage</t>
  </si>
  <si>
    <t>0x06</t>
  </si>
  <si>
    <t>0x07</t>
  </si>
  <si>
    <t>Differential Pressure</t>
  </si>
  <si>
    <t>0x08</t>
  </si>
  <si>
    <t>Door Climate</t>
  </si>
  <si>
    <t>Sensor ID</t>
  </si>
  <si>
    <t>Sensor name</t>
  </si>
  <si>
    <t>Parameter ID</t>
  </si>
  <si>
    <t>Advertise</t>
  </si>
  <si>
    <t>Default</t>
  </si>
  <si>
    <t>Node</t>
  </si>
  <si>
    <t>Always present</t>
  </si>
  <si>
    <t>Physical device ID</t>
  </si>
  <si>
    <t>8 bytes</t>
  </si>
  <si>
    <t>"DS_XXXXXX"</t>
  </si>
  <si>
    <t>4000=250ms</t>
  </si>
  <si>
    <t>1=0.625ms</t>
  </si>
  <si>
    <t>0x0a</t>
  </si>
  <si>
    <t># of missable connection events</t>
  </si>
  <si>
    <t>0x0b</t>
  </si>
  <si>
    <t>20 bytes</t>
  </si>
  <si>
    <t>0x0c</t>
  </si>
  <si>
    <t>Config blob</t>
  </si>
  <si>
    <t>Configuration for all sensors in the same node</t>
  </si>
  <si>
    <t>0x0d</t>
  </si>
  <si>
    <t>0x0e</t>
  </si>
  <si>
    <t>0x0f</t>
  </si>
  <si>
    <t>0x10</t>
  </si>
  <si>
    <t>0x11</t>
  </si>
  <si>
    <t>0x12</t>
  </si>
  <si>
    <t>100 bytes</t>
  </si>
  <si>
    <t>0x13</t>
  </si>
  <si>
    <t>0x14</t>
  </si>
  <si>
    <t>0x15</t>
  </si>
  <si>
    <t>0x16</t>
  </si>
  <si>
    <t>Peer delete</t>
  </si>
  <si>
    <t>0x17</t>
  </si>
  <si>
    <t>0x18</t>
  </si>
  <si>
    <t>0x19</t>
  </si>
  <si>
    <t>0x1a</t>
  </si>
  <si>
    <t>0x1b</t>
  </si>
  <si>
    <t>0x1c</t>
  </si>
  <si>
    <t>0x1d</t>
  </si>
  <si>
    <t>0x1e</t>
  </si>
  <si>
    <t>0x1f</t>
  </si>
  <si>
    <t>0x20</t>
  </si>
  <si>
    <t>0x23</t>
  </si>
  <si>
    <t>LIS2DW12 status</t>
  </si>
  <si>
    <t>0 = Ok, Other value = Error</t>
  </si>
  <si>
    <t>Reset all sensor settings to factory defaults</t>
  </si>
  <si>
    <t>Value Accel X</t>
  </si>
  <si>
    <t>X axis acceleration</t>
  </si>
  <si>
    <t>Value Accel Y</t>
  </si>
  <si>
    <t>Y axis acceleration</t>
  </si>
  <si>
    <t>Value Accel Z</t>
  </si>
  <si>
    <t>Z axis acceleration</t>
  </si>
  <si>
    <t>Value Longitudinal Tilt Angle</t>
  </si>
  <si>
    <t>Longitudinal tilt angle (-90 °-- 90 °)</t>
  </si>
  <si>
    <t>Value Lateral Tilt Angle</t>
  </si>
  <si>
    <t>Lateral tilt angle (-90 °-- 90 °)</t>
  </si>
  <si>
    <t>Value Temp</t>
  </si>
  <si>
    <t>Value Whoami</t>
  </si>
  <si>
    <t>Accelerometer identification</t>
  </si>
  <si>
    <t>Event Accel</t>
  </si>
  <si>
    <t>Send Accel X</t>
  </si>
  <si>
    <t>Enable sending X accel value</t>
  </si>
  <si>
    <t>Send Accel Y</t>
  </si>
  <si>
    <t>Enable sending Y accel value</t>
  </si>
  <si>
    <t>Send Accel Z</t>
  </si>
  <si>
    <t>Enable sending Z accel value</t>
  </si>
  <si>
    <t>Send Tilt Angle</t>
  </si>
  <si>
    <t>Enable sending tilt angles' values</t>
  </si>
  <si>
    <t>Send Temp</t>
  </si>
  <si>
    <t>Enable sending temperature</t>
  </si>
  <si>
    <t>Sampling Period</t>
  </si>
  <si>
    <t>Sampling period for measured sensor values in milliseconds</t>
  </si>
  <si>
    <t>Cal Flat Done</t>
  </si>
  <si>
    <t>Flat calibration executed successfully</t>
  </si>
  <si>
    <t>Cal Flat Start</t>
  </si>
  <si>
    <t>Flat calibration start - user input</t>
  </si>
  <si>
    <t>Cal Tilt Done</t>
  </si>
  <si>
    <t>Tilt calibration executed successfully</t>
  </si>
  <si>
    <t>Cal Tilt Start</t>
  </si>
  <si>
    <t>Tilt calibration start - user input</t>
  </si>
  <si>
    <t>Cal Tilt Position</t>
  </si>
  <si>
    <t>Tilt position 0-lateral, 1- longitudinal</t>
  </si>
  <si>
    <t>Set Data Rate</t>
  </si>
  <si>
    <t>Set Power Mode</t>
  </si>
  <si>
    <t>Set Filter Bandwidth</t>
  </si>
  <si>
    <t>Set Full Scale</t>
  </si>
  <si>
    <t>Set Filter Path</t>
  </si>
  <si>
    <t>Set 6D Threshold</t>
  </si>
  <si>
    <t>Set Tap Thrhld X</t>
  </si>
  <si>
    <t>Tap threshold - X axis</t>
  </si>
  <si>
    <t>Set Tap Thrhld Y</t>
  </si>
  <si>
    <t>Tap threshold - Y axis</t>
  </si>
  <si>
    <t>Set Tap Thrhld Z</t>
  </si>
  <si>
    <t>Tap threshold - Z axis</t>
  </si>
  <si>
    <t>Set Tap Recg Axis</t>
  </si>
  <si>
    <t>Set Tap Axis Priority</t>
  </si>
  <si>
    <t>Set Ff Threshold</t>
  </si>
  <si>
    <t>Set Ff Duration</t>
  </si>
  <si>
    <t>Set Wkup Threshold</t>
  </si>
  <si>
    <t>0x24</t>
  </si>
  <si>
    <t>Set Wkup Duration</t>
  </si>
  <si>
    <t>0x25</t>
  </si>
  <si>
    <t>Set Dt Duration</t>
  </si>
  <si>
    <t>maximum time between two consecutive detected taps</t>
  </si>
  <si>
    <t>0x26</t>
  </si>
  <si>
    <t>Set Dt Quiet Time</t>
  </si>
  <si>
    <t>Time after the first tap in which there must not be any overthreshold</t>
  </si>
  <si>
    <t>0x27</t>
  </si>
  <si>
    <t>Set Dt Shock Duration</t>
  </si>
  <si>
    <t>Maximum duration of the overthreshold event</t>
  </si>
  <si>
    <t>0x28</t>
  </si>
  <si>
    <t>Set Tap Mode</t>
  </si>
  <si>
    <t>0x29</t>
  </si>
  <si>
    <t>Set Tap Recogn X</t>
  </si>
  <si>
    <t>0x2a</t>
  </si>
  <si>
    <t>Set Tap Recogn Y</t>
  </si>
  <si>
    <t>0x2b</t>
  </si>
  <si>
    <t>Set Tap Recogn Z</t>
  </si>
  <si>
    <t>0x2c</t>
  </si>
  <si>
    <t>Single Tap Enable</t>
  </si>
  <si>
    <t>Enable single tap detection</t>
  </si>
  <si>
    <t>0x2d</t>
  </si>
  <si>
    <t>Double Tap Enable</t>
  </si>
  <si>
    <t>Enable double tap detection</t>
  </si>
  <si>
    <t>0x2e</t>
  </si>
  <si>
    <t>Freefall Enable</t>
  </si>
  <si>
    <t>Enable free fall detection</t>
  </si>
  <si>
    <t>0x2f</t>
  </si>
  <si>
    <t>Tilt Enable</t>
  </si>
  <si>
    <t>Enable tilt detection</t>
  </si>
  <si>
    <t>0x30</t>
  </si>
  <si>
    <t>Wakeup Enable</t>
  </si>
  <si>
    <t>Enable wake-up detection</t>
  </si>
  <si>
    <t>TMAG5273 status</t>
  </si>
  <si>
    <t>BME280 status</t>
  </si>
  <si>
    <t>0 = Off, 1 = 1X, 2 = 2X. 3= 4X, 4 = 8X, 5 = 16X</t>
  </si>
  <si>
    <t>BME680 status</t>
  </si>
  <si>
    <t>Air quality estimate [0 - 500]</t>
  </si>
  <si>
    <t>See table "IAQ Index"</t>
  </si>
  <si>
    <t>IAQ</t>
  </si>
  <si>
    <t>Air quality estimate [Excellent - Extremely polluted]</t>
  </si>
  <si>
    <t>See table "Air Quality"</t>
  </si>
  <si>
    <t>CO2</t>
  </si>
  <si>
    <t>CO2 concentration estimate [ppm]</t>
  </si>
  <si>
    <t>VOC</t>
  </si>
  <si>
    <t>VOC concentration estimate [ppm]</t>
  </si>
  <si>
    <t>Send gas</t>
  </si>
  <si>
    <t>Send air quality</t>
  </si>
  <si>
    <t>Send IAQ</t>
  </si>
  <si>
    <t>Send Stabilization status</t>
  </si>
  <si>
    <t>Send Run-In status</t>
  </si>
  <si>
    <t>Sample rate gas</t>
  </si>
  <si>
    <t>IRA-S210ST01 status</t>
  </si>
  <si>
    <t>Sensor status</t>
  </si>
  <si>
    <t>Wire break status</t>
  </si>
  <si>
    <t>0 = Connected, 1 =  Broken</t>
  </si>
  <si>
    <t>Measured voltage on wire break pin</t>
  </si>
  <si>
    <t>Bilge, battery</t>
  </si>
  <si>
    <t>12V input voltage</t>
  </si>
  <si>
    <t>Sensor battery voltage</t>
  </si>
  <si>
    <t>Bilge sensor voltage</t>
  </si>
  <si>
    <t>Vout sense pin level</t>
  </si>
  <si>
    <t>Send ADC 12V</t>
  </si>
  <si>
    <t>Send Vout sense</t>
  </si>
  <si>
    <t>SDP32 status</t>
  </si>
  <si>
    <t>Value Magnetic Field X</t>
  </si>
  <si>
    <t>Value Magnetic Field Y</t>
  </si>
  <si>
    <t>Value Magnetic Field Z</t>
  </si>
  <si>
    <t>Send Mag Field X</t>
  </si>
  <si>
    <t>Send Mag Field Y</t>
  </si>
  <si>
    <t>Send Mag Field Z</t>
  </si>
  <si>
    <t>Parameter Id</t>
  </si>
  <si>
    <t>Byte 0</t>
  </si>
  <si>
    <t>Byte 1</t>
  </si>
  <si>
    <t>Byte 2</t>
  </si>
  <si>
    <t>Byte 3</t>
  </si>
  <si>
    <t>Byte 4</t>
  </si>
  <si>
    <t>Byte 5</t>
  </si>
  <si>
    <t>Byte 6</t>
  </si>
  <si>
    <t>Byte 7</t>
  </si>
  <si>
    <t>Byte 8</t>
  </si>
  <si>
    <t>Byte 9</t>
  </si>
  <si>
    <t>Temperature&amp;button</t>
  </si>
  <si>
    <t>Level&amp;quality[0]</t>
  </si>
  <si>
    <t>Level&amp;quality[1]</t>
  </si>
  <si>
    <t>Id[0]</t>
  </si>
  <si>
    <t>Id[1]</t>
  </si>
  <si>
    <t>Id[2]</t>
  </si>
  <si>
    <t>X accel</t>
  </si>
  <si>
    <t>Y accel</t>
  </si>
  <si>
    <t>Id_ext[0]</t>
  </si>
  <si>
    <t>Id_ext[1]</t>
  </si>
  <si>
    <t>Id_ext[2]</t>
  </si>
  <si>
    <t>Column</t>
  </si>
  <si>
    <t>Example</t>
  </si>
  <si>
    <t>Group is just a logical organization of device classes. It contributes the high byte of the 16-bit class ID.  Calculated by Renumber.</t>
  </si>
  <si>
    <t>Yellow=Do no edit!</t>
  </si>
  <si>
    <t>Human readable name of group. Is converted to the above.</t>
  </si>
  <si>
    <t>Device class contributes the lower byte of the 16-bit class ID. Calculated by Renumber.</t>
  </si>
  <si>
    <t>Human readable name of class. Name is used in the cloud and whenever the class needs to be human-readable. MUST BE UNIQUE!</t>
  </si>
  <si>
    <t>Device instance field. Only one instance is defined in the parameter list, but can be up to 254. Calculated by Renumber.</t>
  </si>
  <si>
    <t>Hidden=Do no edit!</t>
  </si>
  <si>
    <t>Device instance property field. A specific parameter on a device class. Calculated by Renumber.</t>
  </si>
  <si>
    <t>Human readable property name. Name is used in the cloud and whenever the class needs to be human-readable.</t>
  </si>
  <si>
    <t>Resulting numeric parameter ID; device class + instance + property. Calculated by Renumber.</t>
  </si>
  <si>
    <t>Resulting human readable parameter name; device class + instance + property. Calculated by Renumber.</t>
  </si>
  <si>
    <t>Incoming (to the parameter owner) data type. - for none.</t>
  </si>
  <si>
    <t>Incoming (to the parameter owner) value unit. - for none.</t>
  </si>
  <si>
    <t>Description of valid values to parameter, or a link to enum pair list. (optional)</t>
  </si>
  <si>
    <t>Outgoing (from the parameter owner) data type. - for none.</t>
  </si>
  <si>
    <t>Outgoing (from the parameter owner) value unit. - for none.</t>
  </si>
  <si>
    <t>Description of valid values from parameter, or a link to enum pair list. (optional)</t>
  </si>
  <si>
    <t>Cloud flag; parameter is allowed in the cloud.</t>
  </si>
  <si>
    <t>Human readable full name of parameter, or class.</t>
  </si>
  <si>
    <t>Any additional information not suited for other fields.  (optional)</t>
  </si>
  <si>
    <t>Renumber and reformat parameter list.</t>
  </si>
  <si>
    <t>Export parameter list. Choose an output directory. C source, C header, typescript and DDMP2_GUI files are generated.</t>
  </si>
  <si>
    <t>Note that you can only export on a Windows machine!</t>
  </si>
  <si>
    <t>Add link to enum definitions. 1) Renumber 2) Go to enum value column 3) Press button 4) Follow link and define values</t>
  </si>
  <si>
    <t>Parameter list organization</t>
  </si>
  <si>
    <t>Classes are separated by a Class name change.</t>
  </si>
  <si>
    <t>Classes must begin with the avl property.</t>
  </si>
  <si>
    <t>Both in and out types and units must be specified. Use - for no type or unit.</t>
  </si>
  <si>
    <t>Numerical magnitudes should use the standard int32_t type. Specify unit if applicable.</t>
  </si>
  <si>
    <t>Each unit has a specified factor. E.g. voltage is sent in volts, which has a factor 1000, meaning a value of 1000 means 1.000 V.</t>
  </si>
  <si>
    <t>An enum may use the same enumeration on both in and out. Different parameters may also share a single enum.</t>
  </si>
  <si>
    <t>If an enum is to be different between in and out, add _in and _out respectively to the enum names.</t>
  </si>
  <si>
    <t>Parameter names and and other strings can only consist of lowercase a-z and digits.</t>
  </si>
  <si>
    <t>Property name cannot begin with a digit.</t>
  </si>
  <si>
    <t>Class name cannot contain a digit.</t>
  </si>
  <si>
    <t>Only add types and units at the end, before the COUNT!</t>
  </si>
  <si>
    <t>Keep the master list valid so it can be exported!</t>
  </si>
  <si>
    <t>Pipes (|) are not allowed in names or enums.</t>
  </si>
  <si>
    <t>Groups must be separated by a blank line.</t>
  </si>
  <si>
    <t>Common parameter name abbreviations</t>
  </si>
  <si>
    <t>model</t>
  </si>
  <si>
    <t>voltage</t>
  </si>
  <si>
    <t>current</t>
  </si>
  <si>
    <t>version</t>
  </si>
  <si>
    <t>serial number</t>
  </si>
  <si>
    <t>manufacturing</t>
  </si>
  <si>
    <t>mfg</t>
  </si>
  <si>
    <t>manufacturer</t>
  </si>
  <si>
    <t>factory reset</t>
  </si>
  <si>
    <t>delete</t>
  </si>
  <si>
    <t>battery</t>
  </si>
  <si>
    <t>number</t>
  </si>
  <si>
    <t>no</t>
  </si>
  <si>
    <t>t</t>
  </si>
  <si>
    <t>source</t>
  </si>
  <si>
    <t>src</t>
  </si>
  <si>
    <t>policy</t>
  </si>
  <si>
    <t>level</t>
  </si>
  <si>
    <t>const SORTED_LIST Parameter_list_index_table =
{
	.pdata = (SORTED_LIST_ENTRY*)Parameter_list_index_table_data,
	.capacity = DDM2_CLASS_COUNT,
	.entry_count = DDM2_CLASS_COUNT,
};</t>
  </si>
  <si>
    <t>extern const int Miniddm_size_list[MINIDDM_TYPE_COUNT + 1];
extern const int Miniddm_factor_list[MINIDDM_TYPE_COUNT + 1];
extern const MINIDDM_SENSOR_NODE_LIST Miniddm_sensor_node_list[MINIDDM_SENSOR_NODE_LIST_SIZE];
extern const MINIDDM_SENSOR_LIST Miniddm_sensor_list[MINIDDM_SENSOR_LIST_SIZE];
extern const MINIDDM_PARAMETER_LIST Miniddm_parameter_list[MINIDDM_PARAMETER_LIST_SIZE];</t>
  </si>
  <si>
    <t>Internal Light Status</t>
  </si>
  <si>
    <t>update</t>
  </si>
  <si>
    <t>Update cloud</t>
  </si>
  <si>
    <t>Internal usage</t>
  </si>
  <si>
    <t>02070003</t>
  </si>
  <si>
    <t>mqtt0update</t>
  </si>
  <si>
    <t>1=Force update</t>
  </si>
  <si>
    <t>connurl</t>
  </si>
  <si>
    <t>00000022</t>
  </si>
  <si>
    <t>gw0connurl</t>
  </si>
  <si>
    <t>GW device connectivity URL</t>
  </si>
  <si>
    <t>Set by Application to select which connectivity host to connect to.</t>
  </si>
  <si>
    <t>Extended sensor=8</t>
  </si>
  <si>
    <t>Extended sensor</t>
  </si>
  <si>
    <t>sett</t>
  </si>
  <si>
    <t>0600000d</t>
  </si>
  <si>
    <t>iv0sett</t>
  </si>
  <si>
    <t>Inventilate Configuration</t>
  </si>
  <si>
    <t>setchrgcrnt</t>
  </si>
  <si>
    <t>0600000e</t>
  </si>
  <si>
    <t>iv0setchrgcrnt</t>
  </si>
  <si>
    <t>Inventilate battery charging configuration</t>
  </si>
  <si>
    <t>Configured by app/user, stored by DICM service</t>
  </si>
  <si>
    <t>Configured by app/user, stored by DICM service, ISO 3166-1</t>
  </si>
  <si>
    <t>Level of LPG remaining in tank in meters, calculated from raw tank level (0x21) + raw temperature (0x21)</t>
  </si>
  <si>
    <t>First half of 6-byte ID (0x22)</t>
  </si>
  <si>
    <t>Y component of sensor orientation (0x22)</t>
  </si>
  <si>
    <t>X component of sensor orientation (0x22)</t>
  </si>
  <si>
    <t>Second half of 6-byte ID (0x21)</t>
  </si>
  <si>
    <t>Quality of reading indicator (0x21)</t>
  </si>
  <si>
    <t>Raw LPG capacity reading from ultrasound sensor (0x21)</t>
  </si>
  <si>
    <t>Press state of SYNC button on the sensor (0x21)</t>
  </si>
  <si>
    <t>Sensor temperature, calculated from raw temperature (0x21)</t>
  </si>
  <si>
    <t>Sensor battery voltage (CR2032), calculated from raw voltage reading (0x21)</t>
  </si>
  <si>
    <t>gpior</t>
  </si>
  <si>
    <t>gpiow</t>
  </si>
  <si>
    <t>14080005</t>
  </si>
  <si>
    <t>svc0gpior</t>
  </si>
  <si>
    <t>14080006</t>
  </si>
  <si>
    <t>svc0gpiow</t>
  </si>
  <si>
    <t>GPIO read</t>
  </si>
  <si>
    <t>GPIO write</t>
  </si>
  <si>
    <t>GPIO number</t>
  </si>
  <si>
    <t>High=1</t>
  </si>
  <si>
    <t>advintvl</t>
  </si>
  <si>
    <t>GAP Advertising interval</t>
  </si>
  <si>
    <t>02030005</t>
  </si>
  <si>
    <t>bt0advintvl</t>
  </si>
  <si>
    <t>GPIO number (~n=0, n=1)</t>
  </si>
  <si>
    <t>0=Off, 1=On</t>
  </si>
  <si>
    <t>Schedule mode (On/Off)</t>
  </si>
  <si>
    <t>Output pin out of range=-2</t>
  </si>
  <si>
    <t>Input pin out of range=-1</t>
  </si>
  <si>
    <t>Pin needs to be configured as output for the returned value to be valid</t>
  </si>
  <si>
    <t>Pin needs to be configured as input for the returned value to be valid</t>
  </si>
  <si>
    <t>Management interface</t>
  </si>
  <si>
    <t>Acknowledged=0</t>
  </si>
  <si>
    <t>Performance mode=0</t>
  </si>
  <si>
    <t>Quiet mode=1</t>
  </si>
  <si>
    <t>Freezer mode=3</t>
  </si>
  <si>
    <t>Linked devices</t>
  </si>
  <si>
    <t>List of linked devices used by this climate control, See sd0list</t>
  </si>
  <si>
    <t>device paired=2</t>
  </si>
  <si>
    <t>pairing mode active=1</t>
  </si>
  <si>
    <t>pairing mode inactive=0</t>
  </si>
  <si>
    <t>pairing mode timeout=3</t>
  </si>
  <si>
    <t>Device connection RSSI</t>
  </si>
  <si>
    <t>0204000a</t>
  </si>
  <si>
    <t>btwl0rssi</t>
  </si>
  <si>
    <t>OUTDOOR_TEMP_ERROR</t>
  </si>
  <si>
    <t>EVAPORATOR_FAN_ERROR</t>
  </si>
  <si>
    <t>The outdoor ambient temperature is too high or too low, Outdoor ring temperature below 0℃ (refrigeration) or outdoor temperature above 32℃ (heating)</t>
  </si>
  <si>
    <t>The evaporator motor does not rotate or the fan speed is abnormal</t>
  </si>
  <si>
    <t>The condenser motor does not rotate or the fan speed is abnormal</t>
  </si>
  <si>
    <t>CONDENSER_FAN_ERROR</t>
  </si>
  <si>
    <t>01020021</t>
  </si>
  <si>
    <t>ac0ver</t>
  </si>
  <si>
    <t>Semver must be followed, x.y.z</t>
  </si>
  <si>
    <t>sup</t>
  </si>
  <si>
    <t>14090000</t>
  </si>
  <si>
    <t>sup0avl</t>
  </si>
  <si>
    <t>Supervision services</t>
  </si>
  <si>
    <t>14090001</t>
  </si>
  <si>
    <t>sup0act</t>
  </si>
  <si>
    <t>14090002</t>
  </si>
  <si>
    <t>sup0type</t>
  </si>
  <si>
    <t>Type of supervision</t>
  </si>
  <si>
    <t>Level=0</t>
  </si>
  <si>
    <t>State=1</t>
  </si>
  <si>
    <t>param</t>
  </si>
  <si>
    <t>14090003</t>
  </si>
  <si>
    <t>sup0param</t>
  </si>
  <si>
    <t>Parameter to get data from</t>
  </si>
  <si>
    <t>stype</t>
  </si>
  <si>
    <t>14090004</t>
  </si>
  <si>
    <t>sup0stype</t>
  </si>
  <si>
    <t>State supervision type</t>
  </si>
  <si>
    <t>S1=0</t>
  </si>
  <si>
    <t>S2=1</t>
  </si>
  <si>
    <t>Both=2</t>
  </si>
  <si>
    <t>s1</t>
  </si>
  <si>
    <t>14090005</t>
  </si>
  <si>
    <t>sup0s1</t>
  </si>
  <si>
    <t>State 1 value</t>
  </si>
  <si>
    <t>s2</t>
  </si>
  <si>
    <t>14090006</t>
  </si>
  <si>
    <t>sup0s2</t>
  </si>
  <si>
    <t>State 2 value</t>
  </si>
  <si>
    <t>s1alt</t>
  </si>
  <si>
    <t>14090007</t>
  </si>
  <si>
    <t>sup0s1alt</t>
  </si>
  <si>
    <t>State 1 timeout [s]</t>
  </si>
  <si>
    <t>s2alt</t>
  </si>
  <si>
    <t>14090008</t>
  </si>
  <si>
    <t>sup0s2alt</t>
  </si>
  <si>
    <t>State 2 timeout [s]</t>
  </si>
  <si>
    <t>salarm</t>
  </si>
  <si>
    <t>14090009</t>
  </si>
  <si>
    <t>sup0salarm</t>
  </si>
  <si>
    <t>State alarm status</t>
  </si>
  <si>
    <t>lhuplim</t>
  </si>
  <si>
    <t>1409000a</t>
  </si>
  <si>
    <t>sup0lhuplim</t>
  </si>
  <si>
    <t>Level high upper limit</t>
  </si>
  <si>
    <t>lhlolim</t>
  </si>
  <si>
    <t>1409000b</t>
  </si>
  <si>
    <t>sup0lhlolim</t>
  </si>
  <si>
    <t>Level high lower limit</t>
  </si>
  <si>
    <t>lluplim</t>
  </si>
  <si>
    <t>1409000c</t>
  </si>
  <si>
    <t>sup0lluplim</t>
  </si>
  <si>
    <t>Level low upper limit</t>
  </si>
  <si>
    <t>lllolim</t>
  </si>
  <si>
    <t>1409000d</t>
  </si>
  <si>
    <t>sup0lllolim</t>
  </si>
  <si>
    <t>Level low lower limit</t>
  </si>
  <si>
    <t>lhalt</t>
  </si>
  <si>
    <t>1409000e</t>
  </si>
  <si>
    <t>sup0lhalt</t>
  </si>
  <si>
    <t>Level High timeout [s]</t>
  </si>
  <si>
    <t>laltini</t>
  </si>
  <si>
    <t>14090010</t>
  </si>
  <si>
    <t>sup0laltini</t>
  </si>
  <si>
    <t>Level Initial timeout [s]</t>
  </si>
  <si>
    <t>If started outside limits</t>
  </si>
  <si>
    <t>lalarm</t>
  </si>
  <si>
    <t>14090011</t>
  </si>
  <si>
    <t>sup0lalarm</t>
  </si>
  <si>
    <t>Level alarm status</t>
  </si>
  <si>
    <t>rule0name</t>
  </si>
  <si>
    <t>Can put a debug name for the instance</t>
  </si>
  <si>
    <t>llalt</t>
  </si>
  <si>
    <t>1409000f</t>
  </si>
  <si>
    <t>sup0llalt</t>
  </si>
  <si>
    <t>Level Low timeout [s]</t>
  </si>
  <si>
    <t>stg</t>
  </si>
  <si>
    <t>stgt</t>
  </si>
  <si>
    <t>Select storage time</t>
  </si>
  <si>
    <t>0600000f</t>
  </si>
  <si>
    <t>iv0stgt</t>
  </si>
  <si>
    <t>Idle 21hrs=0</t>
  </si>
  <si>
    <t>Run 3hrs=1</t>
  </si>
  <si>
    <t>Storage mode timing is 21hrs (Idle) or 3hrs(Run)</t>
  </si>
  <si>
    <r>
      <t xml:space="preserve">Indicates the error occurred in the inventilate device (bitfield, defined in </t>
    </r>
    <r>
      <rPr>
        <b/>
        <sz val="11"/>
        <color theme="1"/>
        <rFont val="Calibri"/>
        <family val="2"/>
        <scheme val="minor"/>
      </rPr>
      <t>Inventilate_Error_Concept_V6_0.xlsx</t>
    </r>
    <r>
      <rPr>
        <sz val="11"/>
        <color theme="1"/>
        <rFont val="Calibri"/>
        <family val="2"/>
        <scheme val="minor"/>
      </rPr>
      <t>)</t>
    </r>
  </si>
  <si>
    <t>ptype</t>
    <phoneticPr fontId="2" type="noConversion"/>
  </si>
  <si>
    <t>PRODUCT_TYPE</t>
    <phoneticPr fontId="2" type="noConversion"/>
  </si>
  <si>
    <t>19000000</t>
  </si>
  <si>
    <t>19000001</t>
  </si>
  <si>
    <t>cc0ptype</t>
  </si>
  <si>
    <t>Unconfigured Rubicon CFX3=0x00</t>
    <phoneticPr fontId="2" type="noConversion"/>
  </si>
  <si>
    <t>cc0phpos</t>
  </si>
  <si>
    <t>ACTIVE_COMPARTMENT</t>
  </si>
  <si>
    <t>Compartment being cooled</t>
  </si>
  <si>
    <t>15030000</t>
  </si>
  <si>
    <t>15030001</t>
  </si>
  <si>
    <t>15030002</t>
  </si>
  <si>
    <t>15030003</t>
  </si>
  <si>
    <t>15030004</t>
  </si>
  <si>
    <t>15030005</t>
  </si>
  <si>
    <t>15030006</t>
  </si>
  <si>
    <t>15030007</t>
  </si>
  <si>
    <t>15030008</t>
  </si>
  <si>
    <t>15030009</t>
  </si>
  <si>
    <t>1503000a</t>
  </si>
  <si>
    <t>1503000b</t>
  </si>
  <si>
    <t>1503000c</t>
  </si>
  <si>
    <t>1503000d</t>
  </si>
  <si>
    <t>1503000e</t>
  </si>
  <si>
    <t>1503000f</t>
  </si>
  <si>
    <t>16000003</t>
  </si>
  <si>
    <t>16000004</t>
  </si>
  <si>
    <t>16010002</t>
  </si>
  <si>
    <t>16010003</t>
  </si>
  <si>
    <t>16010004</t>
  </si>
  <si>
    <t>16010005</t>
  </si>
  <si>
    <t>16010006</t>
  </si>
  <si>
    <t>16010007</t>
  </si>
  <si>
    <t>16010008</t>
  </si>
  <si>
    <t>16010009</t>
  </si>
  <si>
    <t>17020000</t>
  </si>
  <si>
    <t>17020001</t>
  </si>
  <si>
    <t>17020002</t>
  </si>
  <si>
    <t>17020003</t>
  </si>
  <si>
    <t>18000002</t>
  </si>
  <si>
    <t>18000003</t>
  </si>
  <si>
    <t>18010000</t>
  </si>
  <si>
    <t>18010001</t>
  </si>
  <si>
    <t>18010002</t>
  </si>
  <si>
    <t>18010003</t>
  </si>
  <si>
    <t>18010004</t>
  </si>
  <si>
    <t>18010005</t>
  </si>
  <si>
    <t>1a000000</t>
  </si>
  <si>
    <t>1a000001</t>
  </si>
  <si>
    <t>1a000002</t>
  </si>
  <si>
    <t>1a000003</t>
  </si>
  <si>
    <t>power</t>
  </si>
  <si>
    <t>pow</t>
  </si>
  <si>
    <t>compartment</t>
  </si>
  <si>
    <t>cpt</t>
  </si>
  <si>
    <t>acpt</t>
  </si>
  <si>
    <t>1a000004</t>
  </si>
  <si>
    <t>1a000005</t>
  </si>
  <si>
    <t>1a000006</t>
  </si>
  <si>
    <t>1a000007</t>
  </si>
  <si>
    <t>1a000008</t>
  </si>
  <si>
    <t>1a000009</t>
  </si>
  <si>
    <t>1a00000a</t>
  </si>
  <si>
    <t>cc0acpt</t>
  </si>
  <si>
    <t>1a00000b</t>
  </si>
  <si>
    <t>1a00000c</t>
  </si>
  <si>
    <t>range</t>
  </si>
  <si>
    <t>rng</t>
  </si>
  <si>
    <t>offset</t>
  </si>
  <si>
    <t>1a00000d</t>
  </si>
  <si>
    <t>1a00000e</t>
  </si>
  <si>
    <t>1a00000f</t>
  </si>
  <si>
    <t>1a000010</t>
  </si>
  <si>
    <t>1a000011</t>
  </si>
  <si>
    <t>1a000012</t>
  </si>
  <si>
    <t>COOLER_POWER</t>
    <phoneticPr fontId="2" type="noConversion"/>
  </si>
  <si>
    <t>Cooler box power</t>
  </si>
  <si>
    <t>BATTERY_VOLTAGE_LEVEL</t>
  </si>
  <si>
    <t>BATTERY_PROTECTION_LEVEL</t>
  </si>
  <si>
    <t>Battery protection level</t>
  </si>
  <si>
    <t>COMPRESSOR_POWER</t>
  </si>
  <si>
    <t>Compressor power status</t>
  </si>
  <si>
    <t>DC_CURRENT_LEVEL</t>
    <phoneticPr fontId="16" type="noConversion"/>
  </si>
  <si>
    <t>Current consumed by fridge*100 mA (DC mode)</t>
  </si>
  <si>
    <t>POWER_SOURCE</t>
  </si>
  <si>
    <t>Active power source</t>
  </si>
  <si>
    <t>ICEMAKER_POWER</t>
    <phoneticPr fontId="2" type="noConversion"/>
  </si>
  <si>
    <t>Icemaker turned on/off</t>
  </si>
  <si>
    <t>coolerpow</t>
  </si>
  <si>
    <t>batprotlvl</t>
  </si>
  <si>
    <t>compressor</t>
  </si>
  <si>
    <t>comp</t>
  </si>
  <si>
    <t>comppow</t>
  </si>
  <si>
    <t>powsrc</t>
  </si>
  <si>
    <t>icepow</t>
  </si>
  <si>
    <t>1a000013</t>
  </si>
  <si>
    <t>1a000014</t>
  </si>
  <si>
    <t>1a000015</t>
  </si>
  <si>
    <t>cc0batprotlvl</t>
  </si>
  <si>
    <t>cc0powsrc</t>
  </si>
  <si>
    <t>Low=0</t>
    <phoneticPr fontId="2" type="noConversion"/>
  </si>
  <si>
    <t>High=2</t>
    <phoneticPr fontId="2" type="noConversion"/>
  </si>
  <si>
    <t>Medium=1</t>
  </si>
  <si>
    <t>Right=0</t>
  </si>
  <si>
    <t>Left=1</t>
  </si>
  <si>
    <t>Inactive=0</t>
  </si>
  <si>
    <t>C0=1</t>
  </si>
  <si>
    <t>C1=2</t>
  </si>
  <si>
    <t>Measured temperature</t>
  </si>
  <si>
    <t>AC=0</t>
    <phoneticPr fontId="2" type="noConversion"/>
  </si>
  <si>
    <t>DC=1</t>
    <phoneticPr fontId="2" type="noConversion"/>
  </si>
  <si>
    <t>speed</t>
  </si>
  <si>
    <t>CC_SERIAL_NUMBER</t>
  </si>
  <si>
    <t>CC_FIRMWARE_VERSION</t>
  </si>
  <si>
    <t>firmware</t>
  </si>
  <si>
    <t>fw</t>
  </si>
  <si>
    <t>cc0tempunit</t>
  </si>
  <si>
    <t>C=0</t>
    <phoneticPr fontId="2" type="noConversion"/>
  </si>
  <si>
    <t>F=1</t>
    <phoneticPr fontId="2" type="noConversion"/>
  </si>
  <si>
    <t>recommended</t>
  </si>
  <si>
    <t>recd</t>
  </si>
  <si>
    <t>tempunit</t>
  </si>
  <si>
    <t>Air quality fair=1</t>
  </si>
  <si>
    <t>Air quality bad=2</t>
  </si>
  <si>
    <t>typedef struct MINIDDM_SENSOR_NODE_LIST
{
	int sensor_count;
	uint8_t *sensor_list;
} MINIDDM_SENSOR_NODE_LIST;</t>
  </si>
  <si>
    <t>typedef struct MINIDDM_SENSOR_LIST
{
	int parameter_count;
	int parameter_start;
} MINIDDM_SENSOR_LIST;</t>
  </si>
  <si>
    <t>typedef struct MINIDDM_PARAMETER_LIST
{
	int parameter_id;
	MINIDDM_TYPE_ENUM type;
} MINIDDM_PARAMETER_LIST;</t>
  </si>
  <si>
    <t>rule0num</t>
  </si>
  <si>
    <t>19000002</t>
  </si>
  <si>
    <t>Number of rules</t>
  </si>
  <si>
    <t>__rvc_dgn</t>
  </si>
  <si>
    <t>rvcmgnt</t>
  </si>
  <si>
    <t>RVC DGN Management</t>
  </si>
  <si>
    <t>1b000000</t>
  </si>
  <si>
    <t>rvcmgnt0avl</t>
  </si>
  <si>
    <t>DGN request</t>
  </si>
  <si>
    <t>1b000001</t>
  </si>
  <si>
    <t>rvcmgnt0req</t>
  </si>
  <si>
    <t>Source address after address claim</t>
  </si>
  <si>
    <t>Bit: 31 indicates, whether address claimed has completed or not. 1 means completed.</t>
  </si>
  <si>
    <t>1b000002</t>
  </si>
  <si>
    <t>rvcmgnt0addr</t>
  </si>
  <si>
    <t>raw</t>
  </si>
  <si>
    <t>Send a raw DGN frame. Data format is a struct.</t>
  </si>
  <si>
    <t>rawrx</t>
  </si>
  <si>
    <t>rvcpim</t>
  </si>
  <si>
    <t>rvcpim0avl</t>
  </si>
  <si>
    <t>RVC DGN PIM (65259)</t>
  </si>
  <si>
    <t>1b000003</t>
  </si>
  <si>
    <t>rvcmgnt0raw</t>
  </si>
  <si>
    <t>1b000004</t>
  </si>
  <si>
    <t>rvcmgnt0rawrx</t>
  </si>
  <si>
    <t>1b010000</t>
  </si>
  <si>
    <t>sync</t>
  </si>
  <si>
    <t>1=Sync</t>
  </si>
  <si>
    <t>1=Synced</t>
  </si>
  <si>
    <t>DGN class sync command</t>
  </si>
  <si>
    <t>1b010001</t>
  </si>
  <si>
    <t>rvcpim0sync</t>
  </si>
  <si>
    <t>make</t>
  </si>
  <si>
    <t>Make</t>
  </si>
  <si>
    <t>Unit</t>
  </si>
  <si>
    <t>rvctime</t>
  </si>
  <si>
    <t>RVC DGN Date Time (131071/131070) (status/command)</t>
  </si>
  <si>
    <t>1b010002</t>
  </si>
  <si>
    <t>rvcpim0make</t>
  </si>
  <si>
    <t>1b010003</t>
  </si>
  <si>
    <t>rvcpim0mdl</t>
  </si>
  <si>
    <t>1b010004</t>
  </si>
  <si>
    <t>rvcpim0snr</t>
  </si>
  <si>
    <t>1b010005</t>
  </si>
  <si>
    <t>rvcpim0unit</t>
  </si>
  <si>
    <t>1b020000</t>
  </si>
  <si>
    <t>rvctime0avl</t>
  </si>
  <si>
    <t>year</t>
  </si>
  <si>
    <t>month</t>
  </si>
  <si>
    <t>hour</t>
  </si>
  <si>
    <t>sec</t>
  </si>
  <si>
    <t>tz</t>
  </si>
  <si>
    <t>dayofweek</t>
  </si>
  <si>
    <t>Year</t>
  </si>
  <si>
    <t>Month</t>
  </si>
  <si>
    <t>Hour</t>
  </si>
  <si>
    <t>Minute</t>
  </si>
  <si>
    <t>Second</t>
  </si>
  <si>
    <t>Day of the week</t>
  </si>
  <si>
    <t>1b020001</t>
  </si>
  <si>
    <t>rvctime0sync</t>
  </si>
  <si>
    <t>1b020002</t>
  </si>
  <si>
    <t>rvctime0year</t>
  </si>
  <si>
    <t>1b020003</t>
  </si>
  <si>
    <t>rvctime0month</t>
  </si>
  <si>
    <t>1b020004</t>
  </si>
  <si>
    <t>rvctime0day</t>
  </si>
  <si>
    <t>1b020005</t>
  </si>
  <si>
    <t>rvctime0hour</t>
  </si>
  <si>
    <t>1b020006</t>
  </si>
  <si>
    <t>rvctime0min</t>
  </si>
  <si>
    <t>1b020007</t>
  </si>
  <si>
    <t>rvctime0sec</t>
  </si>
  <si>
    <t>1b020008</t>
  </si>
  <si>
    <t>rvctime0tz</t>
  </si>
  <si>
    <t>1b020009</t>
  </si>
  <si>
    <t>rvctime0dayofweek</t>
  </si>
  <si>
    <t>rvcfurnace</t>
  </si>
  <si>
    <t>RVC DGN Furnace (131044/131043) (status/command)</t>
  </si>
  <si>
    <t>1b030000</t>
  </si>
  <si>
    <t>rvcfurnace0avl</t>
  </si>
  <si>
    <t>inst</t>
  </si>
  <si>
    <t>hsrc</t>
  </si>
  <si>
    <t>dband</t>
  </si>
  <si>
    <t>sdband</t>
  </si>
  <si>
    <t>ocstat</t>
  </si>
  <si>
    <t>ucstat</t>
  </si>
  <si>
    <t>istat</t>
  </si>
  <si>
    <t>Instance (zone)</t>
  </si>
  <si>
    <t>0=Auto;1=Manual</t>
  </si>
  <si>
    <t>Operating mode (manual=ignore thermostat commands)</t>
  </si>
  <si>
    <t>rvcfurnace0hsrc</t>
  </si>
  <si>
    <t>Heat source</t>
  </si>
  <si>
    <t>Circulation fan speed</t>
  </si>
  <si>
    <t>Heat ouput level</t>
  </si>
  <si>
    <t>0…25</t>
  </si>
  <si>
    <t>Dead band (0-25 degrees)</t>
  </si>
  <si>
    <t>Secondary stage Dead band (0-25 degrees)</t>
  </si>
  <si>
    <t>1=Overcurrent detected</t>
  </si>
  <si>
    <t>Zone over current status</t>
  </si>
  <si>
    <t>1=Undercurrent detected</t>
  </si>
  <si>
    <t>Zone under current status</t>
  </si>
  <si>
    <t>1=Temperature warning</t>
  </si>
  <si>
    <t>Zone temperature status</t>
  </si>
  <si>
    <t>Zone analog input status</t>
  </si>
  <si>
    <t>1b030001</t>
  </si>
  <si>
    <t>rvcfurnace0sync</t>
  </si>
  <si>
    <t>1b030002</t>
  </si>
  <si>
    <t>rvcfurnace0inst</t>
  </si>
  <si>
    <t>1b030003</t>
  </si>
  <si>
    <t>rvcfurnace0mode</t>
  </si>
  <si>
    <t>1b030004</t>
  </si>
  <si>
    <t>1b030005</t>
  </si>
  <si>
    <t>rvcfurnace0fspd</t>
  </si>
  <si>
    <t>1b030006</t>
  </si>
  <si>
    <t>rvcfurnace0hlvl</t>
  </si>
  <si>
    <t>1b030007</t>
  </si>
  <si>
    <t>rvcfurnace0dband</t>
  </si>
  <si>
    <t>1b030008</t>
  </si>
  <si>
    <t>rvcfurnace0sdband</t>
  </si>
  <si>
    <t>1b030009</t>
  </si>
  <si>
    <t>rvcfurnace0ocstat</t>
  </si>
  <si>
    <t>1b03000a</t>
  </si>
  <si>
    <t>rvcfurnace0ucstat</t>
  </si>
  <si>
    <t>1b03000b</t>
  </si>
  <si>
    <t>rvcfurnace0tstat</t>
  </si>
  <si>
    <t>1b03000c</t>
  </si>
  <si>
    <t>rvcfurnace0istat</t>
  </si>
  <si>
    <t>Combustion=0</t>
  </si>
  <si>
    <t>AC power prim=1</t>
  </si>
  <si>
    <t>AC power sec=2</t>
  </si>
  <si>
    <t>rvcth</t>
  </si>
  <si>
    <t>RVC DGN Thermostat 1 (131042/130809) (status/command)</t>
  </si>
  <si>
    <t>rvcth0fmode</t>
  </si>
  <si>
    <t>Normally a boolean</t>
  </si>
  <si>
    <t>rvcth0smode</t>
  </si>
  <si>
    <t>Schedule mode</t>
  </si>
  <si>
    <t>If enabled, the set point will change according to a programmed schedule.</t>
  </si>
  <si>
    <t>value of 0 indicates that the fan speed shall be set automatically according to the demand for cooling. A non-zero value indicates that the speed shall be manually overridden</t>
  </si>
  <si>
    <t>Setpoint temp - heat</t>
  </si>
  <si>
    <t>Setpoint temp - cool</t>
  </si>
  <si>
    <t>DGN data</t>
  </si>
  <si>
    <t>1b040000</t>
  </si>
  <si>
    <t>rvcth0avl</t>
  </si>
  <si>
    <t>1b040001</t>
  </si>
  <si>
    <t>rvcth0sync</t>
  </si>
  <si>
    <t>1b040002</t>
  </si>
  <si>
    <t>rvcth0inst</t>
  </si>
  <si>
    <t>1b040003</t>
  </si>
  <si>
    <t>rvcth0mode</t>
  </si>
  <si>
    <t>1b040004</t>
  </si>
  <si>
    <t>1b040005</t>
  </si>
  <si>
    <t>1b040006</t>
  </si>
  <si>
    <t>rvcth0fspd</t>
  </si>
  <si>
    <t>1b040007</t>
  </si>
  <si>
    <t>rvcth0hset</t>
  </si>
  <si>
    <t>1b040008</t>
  </si>
  <si>
    <t>rvcth0cset</t>
  </si>
  <si>
    <t>1b040009</t>
  </si>
  <si>
    <t>rvcth0status</t>
  </si>
  <si>
    <t>1b04000a</t>
  </si>
  <si>
    <t>rvcth0command</t>
  </si>
  <si>
    <t>Fan only=4</t>
  </si>
  <si>
    <t>UNAVAILABLE=15</t>
  </si>
  <si>
    <t>UNAVAILABLE=3</t>
  </si>
  <si>
    <t>Enabled=1</t>
  </si>
  <si>
    <t>csinst</t>
  </si>
  <si>
    <t>nsinst</t>
  </si>
  <si>
    <t>noise</t>
  </si>
  <si>
    <t>RVC DGN Thermostat 2 (130810/130808) (status/command)</t>
  </si>
  <si>
    <t>Current schedule instance</t>
  </si>
  <si>
    <t>Number of schedule instances</t>
  </si>
  <si>
    <t>rvc2th0noise</t>
  </si>
  <si>
    <t>Reduced noise mode</t>
  </si>
  <si>
    <t>1b050000</t>
  </si>
  <si>
    <t>1b050001</t>
  </si>
  <si>
    <t>1b050002</t>
  </si>
  <si>
    <t>1b050003</t>
  </si>
  <si>
    <t>1b050004</t>
  </si>
  <si>
    <t>1b050005</t>
  </si>
  <si>
    <t>rvcthsched</t>
  </si>
  <si>
    <t>sinst</t>
  </si>
  <si>
    <t>RVC DGN Thermostat Schedule 1 (130807/130805) (status/command)</t>
  </si>
  <si>
    <t>Mandatory to use</t>
  </si>
  <si>
    <t>Schedule mode instance</t>
  </si>
  <si>
    <t>0…23</t>
  </si>
  <si>
    <t>Start Hour, precision 1 hour</t>
  </si>
  <si>
    <t>In localtime</t>
  </si>
  <si>
    <t>0…59</t>
  </si>
  <si>
    <t>Start minute, precision 1 m</t>
  </si>
  <si>
    <t>1b060000</t>
  </si>
  <si>
    <t>rvcthsched0avl</t>
  </si>
  <si>
    <t>1b060001</t>
  </si>
  <si>
    <t>rvcthsched0sync</t>
  </si>
  <si>
    <t>1b060002</t>
  </si>
  <si>
    <t>rvcthsched0inst</t>
  </si>
  <si>
    <t>1b060003</t>
  </si>
  <si>
    <t>rvcthsched0sinst</t>
  </si>
  <si>
    <t>1b060004</t>
  </si>
  <si>
    <t>rvcthsched0hour</t>
  </si>
  <si>
    <t>1b060005</t>
  </si>
  <si>
    <t>rvcthsched0min</t>
  </si>
  <si>
    <t>1b060006</t>
  </si>
  <si>
    <t>rvcthsched0hset</t>
  </si>
  <si>
    <t>1b060007</t>
  </si>
  <si>
    <t>rvcthsched0cset</t>
  </si>
  <si>
    <t>sun</t>
  </si>
  <si>
    <t>mon</t>
  </si>
  <si>
    <t>tue</t>
  </si>
  <si>
    <t>wed</t>
  </si>
  <si>
    <t>thu</t>
  </si>
  <si>
    <t>fri</t>
  </si>
  <si>
    <t>sat</t>
  </si>
  <si>
    <t>RVC DGN Thermostat Schedule 2 (130806/130804) (status/command)</t>
  </si>
  <si>
    <t>rvc2thsched0day</t>
  </si>
  <si>
    <t>0-schedule does not apply for this day, 1-schedule applies for this day</t>
  </si>
  <si>
    <t>1b070000</t>
  </si>
  <si>
    <t>1b070001</t>
  </si>
  <si>
    <t>1b070002</t>
  </si>
  <si>
    <t>1b070003</t>
  </si>
  <si>
    <t>1b070004</t>
  </si>
  <si>
    <t>1b070005</t>
  </si>
  <si>
    <t>1b070006</t>
  </si>
  <si>
    <t>1b070007</t>
  </si>
  <si>
    <t>1b070008</t>
  </si>
  <si>
    <t>1b070009</t>
  </si>
  <si>
    <t>1b07000a</t>
  </si>
  <si>
    <t>Not scheduled=0</t>
  </si>
  <si>
    <t>Scheduled=1</t>
  </si>
  <si>
    <t>rvcthastat</t>
  </si>
  <si>
    <t>mfspd</t>
  </si>
  <si>
    <t>molvl</t>
  </si>
  <si>
    <t>olvl</t>
  </si>
  <si>
    <t>RVC DGN Thermostat Ambient status (130972)</t>
  </si>
  <si>
    <t>Ambient temperature</t>
  </si>
  <si>
    <t>rvcac</t>
  </si>
  <si>
    <t>RVC DGN Air Conditioner (131041/131040) (status/command)</t>
  </si>
  <si>
    <t>Max fan speed</t>
  </si>
  <si>
    <t>Max air conditioning output level</t>
  </si>
  <si>
    <t>Used to control the compressor output for power-sharing and to maintain intervals between when loads are added to the AC line.
This value can typically be set by a thermostat using the corresponding value in AC_CONDITIONING_COMMAND, by an AC load manager using the AC_LOAD_COMMAND, or it may be generated internally due to a built-in delay. All of these mechanisms may be implemented at one time, with the greatest constraint being reported.</t>
  </si>
  <si>
    <t>Air conditioner output level</t>
  </si>
  <si>
    <t>1b080000</t>
  </si>
  <si>
    <t>rvcthastat0avl</t>
  </si>
  <si>
    <t>1b080001</t>
  </si>
  <si>
    <t>rvcthastat0sync</t>
  </si>
  <si>
    <t>1b080002</t>
  </si>
  <si>
    <t>rvcthastat0inst</t>
  </si>
  <si>
    <t>1b080003</t>
  </si>
  <si>
    <t>rvcthastat0temp</t>
  </si>
  <si>
    <t>1b090000</t>
  </si>
  <si>
    <t>rvcac0avl</t>
  </si>
  <si>
    <t>1b090001</t>
  </si>
  <si>
    <t>rvcac0sync</t>
  </si>
  <si>
    <t>1b090002</t>
  </si>
  <si>
    <t>rvcac0inst</t>
  </si>
  <si>
    <t>1b090003</t>
  </si>
  <si>
    <t>rvcac0mode</t>
  </si>
  <si>
    <t>1b090004</t>
  </si>
  <si>
    <t>rvcac0mfspd</t>
  </si>
  <si>
    <t>1b090005</t>
  </si>
  <si>
    <t>rvcac0molvl</t>
  </si>
  <si>
    <t>1b090006</t>
  </si>
  <si>
    <t>rvcac0fspd</t>
  </si>
  <si>
    <t>1b090007</t>
  </si>
  <si>
    <t>rvcac0olvl</t>
  </si>
  <si>
    <t>1b090008</t>
  </si>
  <si>
    <t>rvcac0dband</t>
  </si>
  <si>
    <t>1b090009</t>
  </si>
  <si>
    <t>rvcac0sdband</t>
  </si>
  <si>
    <t>exttemp</t>
  </si>
  <si>
    <t>coiltemp</t>
  </si>
  <si>
    <t>coiltemperr</t>
  </si>
  <si>
    <t>coilfreeze</t>
  </si>
  <si>
    <t>exttemperr</t>
  </si>
  <si>
    <t>defrost</t>
  </si>
  <si>
    <t>RVC DGN Air Conditioner 2 status (130505)</t>
  </si>
  <si>
    <t>rvc2ac0compstat</t>
  </si>
  <si>
    <t>0=Disabled;1=Enabled</t>
  </si>
  <si>
    <t>Exterior temperature</t>
  </si>
  <si>
    <t>Coil temperature</t>
  </si>
  <si>
    <t>0=Reading valid;1=Reading invalid</t>
  </si>
  <si>
    <t>Coil temp error</t>
  </si>
  <si>
    <t>Note: An invalid reading means the sensor is disconnected or damaged</t>
  </si>
  <si>
    <t>0=Not detected;1=Detected</t>
  </si>
  <si>
    <t>Coil freeze detected</t>
  </si>
  <si>
    <t>Note: Coil freeze occurs when the coil temperature drops too low while cooling.</t>
  </si>
  <si>
    <t>Exterior temperature error</t>
  </si>
  <si>
    <t>0=Not active;1=Active</t>
  </si>
  <si>
    <t>Defrost cycle active</t>
  </si>
  <si>
    <t>1b0a0000</t>
  </si>
  <si>
    <t>1b0a0001</t>
  </si>
  <si>
    <t>1b0a0002</t>
  </si>
  <si>
    <t>1b0a0003</t>
  </si>
  <si>
    <t>1b0a0004</t>
  </si>
  <si>
    <t>1b0a0005</t>
  </si>
  <si>
    <t>1b0a0006</t>
  </si>
  <si>
    <t>1b0a0007</t>
  </si>
  <si>
    <t>1b0a0008</t>
  </si>
  <si>
    <t>1b0a0009</t>
  </si>
  <si>
    <t>1b0a000a</t>
  </si>
  <si>
    <t>Intends to start=1</t>
  </si>
  <si>
    <t>Is starting=2</t>
  </si>
  <si>
    <t>Is running=3</t>
  </si>
  <si>
    <t>rvchpump</t>
  </si>
  <si>
    <t>RVC DGN Heat Pump (130971/130970) (status/command)</t>
  </si>
  <si>
    <t>Heat max output level</t>
  </si>
  <si>
    <t>Heat output level</t>
  </si>
  <si>
    <t>rvcdim</t>
  </si>
  <si>
    <t>mstbs</t>
  </si>
  <si>
    <t>rbs</t>
  </si>
  <si>
    <t>gbs</t>
  </si>
  <si>
    <t>bbs</t>
  </si>
  <si>
    <t>wbs</t>
  </si>
  <si>
    <t>off</t>
  </si>
  <si>
    <t>RVC DGN DC Dimmer 1 (131003/131001) (status/command)</t>
  </si>
  <si>
    <t>Master brightness</t>
  </si>
  <si>
    <t>Red brightness</t>
  </si>
  <si>
    <t>Green brightness</t>
  </si>
  <si>
    <t>Blue brightness</t>
  </si>
  <si>
    <t>White brightness</t>
  </si>
  <si>
    <t>On duration (seconds) 0-14, 0 means always on</t>
  </si>
  <si>
    <t>Off duration (seconds) 0-14, 0 means one-shot and then stay off</t>
  </si>
  <si>
    <t>mcurr</t>
  </si>
  <si>
    <t>rcurr</t>
  </si>
  <si>
    <t>gcurr</t>
  </si>
  <si>
    <t>bcurr</t>
  </si>
  <si>
    <t>wcurr</t>
  </si>
  <si>
    <t>mfault</t>
  </si>
  <si>
    <t>rfault</t>
  </si>
  <si>
    <t>gfault</t>
  </si>
  <si>
    <t>bfault</t>
  </si>
  <si>
    <t>wfault</t>
  </si>
  <si>
    <t>group</t>
  </si>
  <si>
    <t>lvlbs</t>
  </si>
  <si>
    <t>del_dur</t>
  </si>
  <si>
    <t>ilock</t>
  </si>
  <si>
    <t>rtime</t>
  </si>
  <si>
    <t>RVC DGN DC Dimmer 2 (131002/130779) (status/command)</t>
  </si>
  <si>
    <t>Master current (A)</t>
  </si>
  <si>
    <t>Red current (A)</t>
  </si>
  <si>
    <t>Green current (A)</t>
  </si>
  <si>
    <t>Blue current (A)</t>
  </si>
  <si>
    <t>White current (A)</t>
  </si>
  <si>
    <t>1=under current;2=over current</t>
  </si>
  <si>
    <t>Master fault</t>
  </si>
  <si>
    <t>Red fault</t>
  </si>
  <si>
    <t>Green fault</t>
  </si>
  <si>
    <t>Blue fault</t>
  </si>
  <si>
    <t>White fault</t>
  </si>
  <si>
    <t>Group (command)</t>
  </si>
  <si>
    <t>Desired level brightness (command)</t>
  </si>
  <si>
    <t>rvc2dim0cmd</t>
  </si>
  <si>
    <t>Command (command)</t>
  </si>
  <si>
    <t>Delay/duration (command)</t>
  </si>
  <si>
    <t>Interlock (command)</t>
  </si>
  <si>
    <t>Ramp time (command)</t>
  </si>
  <si>
    <t>1b0b0000</t>
  </si>
  <si>
    <t>rvchpump0avl</t>
  </si>
  <si>
    <t>1b0b0001</t>
  </si>
  <si>
    <t>rvchpump0sync</t>
  </si>
  <si>
    <t>1b0b0002</t>
  </si>
  <si>
    <t>rvchpump0inst</t>
  </si>
  <si>
    <t>1b0b0003</t>
  </si>
  <si>
    <t>rvchpump0mode</t>
  </si>
  <si>
    <t>1b0b0004</t>
  </si>
  <si>
    <t>rvchpump0molvl</t>
  </si>
  <si>
    <t>1b0b0005</t>
  </si>
  <si>
    <t>rvchpump0olvl</t>
  </si>
  <si>
    <t>1b0b0006</t>
  </si>
  <si>
    <t>rvchpump0dband</t>
  </si>
  <si>
    <t>1b0b0007</t>
  </si>
  <si>
    <t>rvchpump0sdband</t>
  </si>
  <si>
    <t>1b0c0000</t>
  </si>
  <si>
    <t>rvcdim0avl</t>
  </si>
  <si>
    <t>1b0c0001</t>
  </si>
  <si>
    <t>rvcdim0sync</t>
  </si>
  <si>
    <t>1b0c0002</t>
  </si>
  <si>
    <t>rvcdim0inst</t>
  </si>
  <si>
    <t>1b0c0003</t>
  </si>
  <si>
    <t>rvcdim0mstbs</t>
  </si>
  <si>
    <t>1b0c0004</t>
  </si>
  <si>
    <t>rvcdim0rbs</t>
  </si>
  <si>
    <t>1b0c0005</t>
  </si>
  <si>
    <t>rvcdim0gbs</t>
  </si>
  <si>
    <t>1b0c0006</t>
  </si>
  <si>
    <t>rvcdim0bbs</t>
  </si>
  <si>
    <t>1b0c0007</t>
  </si>
  <si>
    <t>rvcdim0wbs</t>
  </si>
  <si>
    <t>1b0c0008</t>
  </si>
  <si>
    <t>rvcdim0on</t>
  </si>
  <si>
    <t>1b0c0009</t>
  </si>
  <si>
    <t>rvcdim0off</t>
  </si>
  <si>
    <t>1b0d0000</t>
  </si>
  <si>
    <t>1b0d0001</t>
  </si>
  <si>
    <t>1b0d0002</t>
  </si>
  <si>
    <t>1b0d0003</t>
  </si>
  <si>
    <t>1b0d0004</t>
  </si>
  <si>
    <t>1b0d0005</t>
  </si>
  <si>
    <t>1b0d0006</t>
  </si>
  <si>
    <t>1b0d0007</t>
  </si>
  <si>
    <t>1b0d0008</t>
  </si>
  <si>
    <t>1b0d0009</t>
  </si>
  <si>
    <t>1b0d000a</t>
  </si>
  <si>
    <t>1b0d000b</t>
  </si>
  <si>
    <t>1b0d000c</t>
  </si>
  <si>
    <t>1b0d000d</t>
  </si>
  <si>
    <t>1b0d000e</t>
  </si>
  <si>
    <t>1b0d000f</t>
  </si>
  <si>
    <t>1b0d0010</t>
  </si>
  <si>
    <t>1b0d0011</t>
  </si>
  <si>
    <t>1b0d0012</t>
  </si>
  <si>
    <t>Set_Level_delay=0</t>
  </si>
  <si>
    <t>On_duration=1</t>
  </si>
  <si>
    <t>On_delay=2</t>
  </si>
  <si>
    <t>Off_delay=3</t>
  </si>
  <si>
    <t>Save scene=7</t>
  </si>
  <si>
    <t>Ramp up_down=21</t>
  </si>
  <si>
    <t>Ramp up_down toggle=22</t>
  </si>
  <si>
    <t>Lock=33</t>
  </si>
  <si>
    <t>Unlock=34</t>
  </si>
  <si>
    <t>RVC DGN DC Dimmer 3 status (130778)</t>
  </si>
  <si>
    <t>lock</t>
  </si>
  <si>
    <t>ocurr</t>
  </si>
  <si>
    <t>oride</t>
  </si>
  <si>
    <t>lcmd</t>
  </si>
  <si>
    <t>load</t>
  </si>
  <si>
    <t>ucurr</t>
  </si>
  <si>
    <t>mem</t>
  </si>
  <si>
    <t>Operating brightness</t>
  </si>
  <si>
    <t>0=Unlocked;1=Locked;3=Not supported</t>
  </si>
  <si>
    <t>Lock status</t>
  </si>
  <si>
    <t>0=NotOvercurrent;1=Overcurrent;3=Not supported</t>
  </si>
  <si>
    <t>Overcurrent status</t>
  </si>
  <si>
    <t>0=Inactive;1=Active;3=Not supported</t>
  </si>
  <si>
    <t>Override status</t>
  </si>
  <si>
    <t>0=Enabled;1=Disabled;3=Not supported</t>
  </si>
  <si>
    <t>Enable status</t>
  </si>
  <si>
    <t>Delay/duration</t>
  </si>
  <si>
    <t>Last command</t>
  </si>
  <si>
    <t>0=NotActive;1=Active;3=NotSupported</t>
  </si>
  <si>
    <t>Interlock status</t>
  </si>
  <si>
    <t>0=Zero;1=Non-zero/flashing</t>
  </si>
  <si>
    <t>0=NotActive;1=Active;2=Timeout(error);3=NotSupported</t>
  </si>
  <si>
    <t>Undercurrent status</t>
  </si>
  <si>
    <t>Last memory value</t>
  </si>
  <si>
    <t>1b0e0000</t>
  </si>
  <si>
    <t>1b0e0001</t>
  </si>
  <si>
    <t>1b0e0002</t>
  </si>
  <si>
    <t>1b0e0003</t>
  </si>
  <si>
    <t>1b0e0004</t>
  </si>
  <si>
    <t>1b0e0005</t>
  </si>
  <si>
    <t>1b0e0006</t>
  </si>
  <si>
    <t>1b0e0007</t>
  </si>
  <si>
    <t>1b0e0008</t>
  </si>
  <si>
    <t>1b0e0009</t>
  </si>
  <si>
    <t>1b0e000a</t>
  </si>
  <si>
    <t>1b0e000b</t>
  </si>
  <si>
    <t>1b0e000c</t>
  </si>
  <si>
    <t>1b0e000d</t>
  </si>
  <si>
    <t>1b0e000e</t>
  </si>
  <si>
    <t>rvcrfan</t>
  </si>
  <si>
    <t>fset</t>
  </si>
  <si>
    <t>dpos</t>
  </si>
  <si>
    <t>RVC DGN Roof Fan (130727/130726) (status/command)</t>
  </si>
  <si>
    <t>0=Off;1=On</t>
  </si>
  <si>
    <t>System status</t>
  </si>
  <si>
    <t>0=Auto;1=Forced on</t>
  </si>
  <si>
    <t>Speed mode</t>
  </si>
  <si>
    <t>Fan speed setting</t>
  </si>
  <si>
    <t>0=Air Out;1=Air In</t>
  </si>
  <si>
    <t>Wind direction switch</t>
  </si>
  <si>
    <t>Dome position switch (deprecated)</t>
  </si>
  <si>
    <t>Set point</t>
  </si>
  <si>
    <t>dmode</t>
  </si>
  <si>
    <t>rainsnsov</t>
  </si>
  <si>
    <t>dstate</t>
  </si>
  <si>
    <t>dcfoff</t>
  </si>
  <si>
    <t>foffdc</t>
  </si>
  <si>
    <t>fspdst</t>
  </si>
  <si>
    <t>fspdstset</t>
  </si>
  <si>
    <t>RVC DGN Roof Fan 2 (130531/130530) (status/command)</t>
  </si>
  <si>
    <t>0=Stop;1=Open;2=Close</t>
  </si>
  <si>
    <t>0=Stopped;1=Opening;2=Closing</t>
  </si>
  <si>
    <t>Dome mode</t>
  </si>
  <si>
    <t xml:space="preserve">Dome position </t>
  </si>
  <si>
    <t>rvc2rfan0rainsns</t>
  </si>
  <si>
    <t>Rain sensor</t>
  </si>
  <si>
    <t>0=Use sensor;1=Override</t>
  </si>
  <si>
    <t>0=Sensor used;1=Sensor overridden</t>
  </si>
  <si>
    <t>Rain sensor override</t>
  </si>
  <si>
    <t>1 - Override Rain Sensor (dome will not automatically close due to rain or can be raised despite the rain)</t>
  </si>
  <si>
    <t>0=Don't auto control;1=Auto control</t>
  </si>
  <si>
    <t>0=Not auto controlled;1=Auto controlled</t>
  </si>
  <si>
    <t>Setpoint Controlled Dome State</t>
  </si>
  <si>
    <t>0=Leave open;1=Auto close</t>
  </si>
  <si>
    <t>0=Stay open;1=Auto close</t>
  </si>
  <si>
    <t>Auto Close Dome on Fan Off</t>
  </si>
  <si>
    <t>0=Leave fan on;1=Auto shut fan off</t>
  </si>
  <si>
    <t>0=No shut off;1=Auto shut off</t>
  </si>
  <si>
    <t>Auto Fan Off on Dome Close</t>
  </si>
  <si>
    <t>Fan Steps (Speeds) Supported</t>
  </si>
  <si>
    <t>0 - 200 step resolution (0.5%)
1 - 1 step resolution (0%/100% only)
2-50 - Number of steps/speeds supported by fan
63 - Fan Speed Increment/Decrement not supported
Note: Fans supporting the Fan Speed
Increment/Decrement command must populate this field with data as it indicates how many steps/speeds are supported by the fan</t>
  </si>
  <si>
    <t>Fan Speed Increment/Decrement Step</t>
  </si>
  <si>
    <t>0- Directly to 0%/100%
1 - One step
2-50 - Number of steps for increment/decrement command
63 - One step
Note: This would typically be used on fans that support a broad range of possible speeds.
When adjusting fixed speed fans this value would typically be set to 63 (111111b)</t>
  </si>
  <si>
    <t>1b0f0000</t>
  </si>
  <si>
    <t>rvcrfan0avl</t>
  </si>
  <si>
    <t>1b0f0001</t>
  </si>
  <si>
    <t>rvcrfan0sync</t>
  </si>
  <si>
    <t>1b0f0002</t>
  </si>
  <si>
    <t>rvcrfan0inst</t>
  </si>
  <si>
    <t>1b0f0003</t>
  </si>
  <si>
    <t>rvcrfan0syst</t>
  </si>
  <si>
    <t>1b0f0004</t>
  </si>
  <si>
    <t>rvcrfan0fmode</t>
  </si>
  <si>
    <t>1b0f0005</t>
  </si>
  <si>
    <t>rvcrfan0smode</t>
  </si>
  <si>
    <t>1b0f0006</t>
  </si>
  <si>
    <t>rvcrfan0lgt</t>
  </si>
  <si>
    <t>1b0f0007</t>
  </si>
  <si>
    <t>rvcrfan0fset</t>
  </si>
  <si>
    <t>1b0f0008</t>
  </si>
  <si>
    <t>rvcrfan0wdir</t>
  </si>
  <si>
    <t>1b0f0009</t>
  </si>
  <si>
    <t>rvcrfan0dpos</t>
  </si>
  <si>
    <t>1b0f000a</t>
  </si>
  <si>
    <t>rvcrfan0temp</t>
  </si>
  <si>
    <t>1b0f000b</t>
  </si>
  <si>
    <t>rvcrfan0settemp</t>
  </si>
  <si>
    <t>1b100000</t>
  </si>
  <si>
    <t>1b100001</t>
  </si>
  <si>
    <t>1b100002</t>
  </si>
  <si>
    <t>1b100003</t>
  </si>
  <si>
    <t>1b100004</t>
  </si>
  <si>
    <t>1b100005</t>
  </si>
  <si>
    <t>1b100006</t>
  </si>
  <si>
    <t>1b100007</t>
  </si>
  <si>
    <t>1b100008</t>
  </si>
  <si>
    <t>1b100009</t>
  </si>
  <si>
    <t>1b10000a</t>
  </si>
  <si>
    <t>1b10000b</t>
  </si>
  <si>
    <t>No rain detected=0</t>
  </si>
  <si>
    <t>Rain detected=1</t>
  </si>
  <si>
    <t>Sensor error=2</t>
  </si>
  <si>
    <t>Rain sensor not installed=3</t>
  </si>
  <si>
    <t>rvchtr</t>
  </si>
  <si>
    <t>esrc</t>
  </si>
  <si>
    <t>air</t>
  </si>
  <si>
    <t>wtr</t>
  </si>
  <si>
    <t>amode</t>
  </si>
  <si>
    <t>wtrmode</t>
  </si>
  <si>
    <t>silfmax</t>
  </si>
  <si>
    <t>vfmin</t>
  </si>
  <si>
    <t>uvthres</t>
  </si>
  <si>
    <t>RVC DGN Heater operation(130559/130558) (status/command)</t>
  </si>
  <si>
    <t>Proprietary DGN</t>
  </si>
  <si>
    <t>Heater instance</t>
  </si>
  <si>
    <t>rvchtr0esrc</t>
  </si>
  <si>
    <t>Energy source</t>
  </si>
  <si>
    <t>0=Off;1=On;3=Ignore</t>
  </si>
  <si>
    <t>Air heater command</t>
  </si>
  <si>
    <t>Water heater command</t>
  </si>
  <si>
    <t>0=Auto;1=Silent;2=Ventilation;15=Ignore</t>
  </si>
  <si>
    <t>Air heater mode</t>
  </si>
  <si>
    <t>0=Eco;1=Hot;2=Boost;15=Ignore</t>
  </si>
  <si>
    <t>Water heater mode</t>
  </si>
  <si>
    <t>(-50)-150</t>
  </si>
  <si>
    <t>Target room temperature</t>
  </si>
  <si>
    <t>0 – 7 = Fan speed selection 8-13 = Reserved speed selections 14 = Error 15 = Ignore</t>
  </si>
  <si>
    <t>0-25.5V</t>
  </si>
  <si>
    <t>0=Metric;1=Imperial</t>
  </si>
  <si>
    <t>1b110000</t>
  </si>
  <si>
    <t>rvchtr0avl</t>
  </si>
  <si>
    <t>1b110001</t>
  </si>
  <si>
    <t>rvchtr0sync</t>
  </si>
  <si>
    <t>1b110002</t>
  </si>
  <si>
    <t>rvchtr0inst</t>
  </si>
  <si>
    <t>1b110003</t>
  </si>
  <si>
    <t>1b110004</t>
  </si>
  <si>
    <t>rvchtr0air</t>
  </si>
  <si>
    <t>1b110005</t>
  </si>
  <si>
    <t>rvchtr0wtr</t>
  </si>
  <si>
    <t>1b110006</t>
  </si>
  <si>
    <t>rvchtr0amode</t>
  </si>
  <si>
    <t>1b110007</t>
  </si>
  <si>
    <t>rvchtr0wtrmode</t>
  </si>
  <si>
    <t>1b110008</t>
  </si>
  <si>
    <t>rvchtr0ttemp</t>
  </si>
  <si>
    <t>1b110009</t>
  </si>
  <si>
    <t>rvchtr0silfmax</t>
  </si>
  <si>
    <t>1b11000a</t>
  </si>
  <si>
    <t>rvchtr0vfmin</t>
  </si>
  <si>
    <t>1b11000b</t>
  </si>
  <si>
    <t>rvchtr0uvthres</t>
  </si>
  <si>
    <t>1b11000c</t>
  </si>
  <si>
    <t>rvchtr0sysu</t>
  </si>
  <si>
    <t>LPG only=0</t>
  </si>
  <si>
    <t>LPG + low electric power=1</t>
  </si>
  <si>
    <t>LPG + high electric power=2</t>
  </si>
  <si>
    <t>Low electric power only=3</t>
  </si>
  <si>
    <t>High electric power only=4</t>
  </si>
  <si>
    <t>Error=14</t>
  </si>
  <si>
    <t>Ignore=15</t>
  </si>
  <si>
    <t>rvchtrst</t>
  </si>
  <si>
    <t>rtemp</t>
  </si>
  <si>
    <t>wtemp</t>
  </si>
  <si>
    <t>gairst</t>
  </si>
  <si>
    <t>gwtrst</t>
  </si>
  <si>
    <t>acavl</t>
  </si>
  <si>
    <t>acairst</t>
  </si>
  <si>
    <t>acwtrst</t>
  </si>
  <si>
    <t>RVC DGN Heater status (130557)</t>
  </si>
  <si>
    <t>rvchtrst0wtemp</t>
  </si>
  <si>
    <t>rvchtrst0gairst</t>
  </si>
  <si>
    <t>Gas air heater state</t>
  </si>
  <si>
    <t>rvchtrst0gwtrst</t>
  </si>
  <si>
    <t>Gas water heater state</t>
  </si>
  <si>
    <t>0=No;1=Yes</t>
  </si>
  <si>
    <t>AC present</t>
  </si>
  <si>
    <t>rvchtrst0acairst</t>
  </si>
  <si>
    <t>AC air heater state</t>
  </si>
  <si>
    <t>rvchtrst0acwtrst</t>
  </si>
  <si>
    <t>AC water heater state</t>
  </si>
  <si>
    <t>1b120000</t>
  </si>
  <si>
    <t>rvchtrst0avl</t>
  </si>
  <si>
    <t>1b120001</t>
  </si>
  <si>
    <t>rvchtrst0sync</t>
  </si>
  <si>
    <t>1b120002</t>
  </si>
  <si>
    <t>rvchtrst0inst</t>
  </si>
  <si>
    <t>1b120003</t>
  </si>
  <si>
    <t>rvchtrst0rtemp</t>
  </si>
  <si>
    <t>1b120004</t>
  </si>
  <si>
    <t>1b120005</t>
  </si>
  <si>
    <t>1b120006</t>
  </si>
  <si>
    <t>1b120007</t>
  </si>
  <si>
    <t>rvchtrst0acavl</t>
  </si>
  <si>
    <t>1b120008</t>
  </si>
  <si>
    <t>1b120009</t>
  </si>
  <si>
    <t>Reserved_3=3</t>
  </si>
  <si>
    <t>Reserved_4=4</t>
  </si>
  <si>
    <t>Reserved_5=5</t>
  </si>
  <si>
    <t>Reserved_6=6</t>
  </si>
  <si>
    <t>Ignore=7</t>
  </si>
  <si>
    <t>Purge=1</t>
  </si>
  <si>
    <t>Ignite=2</t>
  </si>
  <si>
    <t>Low=3</t>
  </si>
  <si>
    <t>Med=4</t>
  </si>
  <si>
    <t>High=5</t>
  </si>
  <si>
    <t>On=3</t>
  </si>
  <si>
    <t>Med (not used)=2</t>
  </si>
  <si>
    <t>rvchmi</t>
  </si>
  <si>
    <t>com</t>
  </si>
  <si>
    <t>volt</t>
  </si>
  <si>
    <t>instst</t>
  </si>
  <si>
    <t>icirc</t>
  </si>
  <si>
    <t>favbtn</t>
  </si>
  <si>
    <t>menubtn</t>
  </si>
  <si>
    <t>homebtn</t>
  </si>
  <si>
    <t>RVC DGN HMI status (130556)</t>
  </si>
  <si>
    <t>HMI instance</t>
  </si>
  <si>
    <t>1=Normal;2=Error</t>
  </si>
  <si>
    <t>Heater communication</t>
  </si>
  <si>
    <t>0=Low;1=Normal;2=High</t>
  </si>
  <si>
    <t>Input voltage</t>
  </si>
  <si>
    <t>1=Normal;2=Duplicate</t>
  </si>
  <si>
    <t>HMI Instance status</t>
  </si>
  <si>
    <t>Internal circuitry</t>
  </si>
  <si>
    <t>0=Release;1=Press;2=Error</t>
  </si>
  <si>
    <t>0=Released;1=Pressed;2=Error</t>
  </si>
  <si>
    <t>Favorite button status</t>
  </si>
  <si>
    <t>Menu button status</t>
  </si>
  <si>
    <t>Home button status</t>
  </si>
  <si>
    <t>1b130000</t>
  </si>
  <si>
    <t>rvchmi0avl</t>
  </si>
  <si>
    <t>1b130001</t>
  </si>
  <si>
    <t>rvchmi0sync</t>
  </si>
  <si>
    <t>1b130002</t>
  </si>
  <si>
    <t>rvchmi0inst</t>
  </si>
  <si>
    <t>1b130003</t>
  </si>
  <si>
    <t>rvchmi0rtemp</t>
  </si>
  <si>
    <t>1b130004</t>
  </si>
  <si>
    <t>rvchmi0com</t>
  </si>
  <si>
    <t>1b130005</t>
  </si>
  <si>
    <t>rvchmi0volt</t>
  </si>
  <si>
    <t>1b130006</t>
  </si>
  <si>
    <t>rvchmi0instst</t>
  </si>
  <si>
    <t>1b130007</t>
  </si>
  <si>
    <t>rvchmi0icirc</t>
  </si>
  <si>
    <t>1b130008</t>
  </si>
  <si>
    <t>rvchmi0favbtn</t>
  </si>
  <si>
    <t>1b130009</t>
  </si>
  <si>
    <t>rvchmi0menubtn</t>
  </si>
  <si>
    <t>1b13000a</t>
  </si>
  <si>
    <t>rvchmi0homebtn</t>
  </si>
  <si>
    <t>rvchtrsched</t>
  </si>
  <si>
    <t>atoffst</t>
  </si>
  <si>
    <t>atoffh</t>
  </si>
  <si>
    <t>atoffm</t>
  </si>
  <si>
    <t>atonst</t>
  </si>
  <si>
    <t>atonh</t>
  </si>
  <si>
    <t>atonm</t>
  </si>
  <si>
    <t>wtonst</t>
  </si>
  <si>
    <t>wtonh</t>
  </si>
  <si>
    <t>wtonm</t>
  </si>
  <si>
    <t>wkeep</t>
  </si>
  <si>
    <t>RVC DGN Heater scheduling (130555/130554) (status/command)</t>
  </si>
  <si>
    <t>0=Inactive;1=Active</t>
  </si>
  <si>
    <t>Air heater timer off hour</t>
  </si>
  <si>
    <t>Air heater timer off minute</t>
  </si>
  <si>
    <t>Air heater timer on status</t>
  </si>
  <si>
    <t>Air heater timer on hour</t>
  </si>
  <si>
    <t>Air heater timer on minute</t>
  </si>
  <si>
    <t>Water heater timer on status</t>
  </si>
  <si>
    <t>Water heater timer on hour</t>
  </si>
  <si>
    <t>Water heater timer on minute</t>
  </si>
  <si>
    <t>Water heater keep on time</t>
  </si>
  <si>
    <t>0 = Infinite 1-96 = 15 – 1440 mins
255 = Ignore</t>
  </si>
  <si>
    <t>1b140000</t>
  </si>
  <si>
    <t>rvchtrsched0avl</t>
  </si>
  <si>
    <t>1b140001</t>
  </si>
  <si>
    <t>rvchtrsched0sync</t>
  </si>
  <si>
    <t>1b140002</t>
  </si>
  <si>
    <t>rvchtrsched0inst</t>
  </si>
  <si>
    <t>1b140003</t>
  </si>
  <si>
    <t>rvchtrsched0atoffst</t>
  </si>
  <si>
    <t>1b140004</t>
  </si>
  <si>
    <t>rvchtrsched0atoffh</t>
  </si>
  <si>
    <t>1b140005</t>
  </si>
  <si>
    <t>rvchtrsched0atoffm</t>
  </si>
  <si>
    <t>1b140006</t>
  </si>
  <si>
    <t>rvchtrsched0atonst</t>
  </si>
  <si>
    <t>1b140007</t>
  </si>
  <si>
    <t>rvchtrsched0atonh</t>
  </si>
  <si>
    <t>1b140008</t>
  </si>
  <si>
    <t>rvchtrsched0atonm</t>
  </si>
  <si>
    <t>1b140009</t>
  </si>
  <si>
    <t>rvchtrsched0wtonst</t>
  </si>
  <si>
    <t>1b14000a</t>
  </si>
  <si>
    <t>rvchtrsched0wtonh</t>
  </si>
  <si>
    <t>1b14000b</t>
  </si>
  <si>
    <t>rvchtrsched0wtonm</t>
  </si>
  <si>
    <t>1b14000c</t>
  </si>
  <si>
    <t>rvchtrsched0wkeep</t>
  </si>
  <si>
    <t>rvchtrfault</t>
  </si>
  <si>
    <t>crit</t>
  </si>
  <si>
    <t>one</t>
  </si>
  <si>
    <t>two</t>
  </si>
  <si>
    <t>three</t>
  </si>
  <si>
    <t>four</t>
  </si>
  <si>
    <t>RVC DGN Heater active faults codes (130553)</t>
  </si>
  <si>
    <t>Warning fault active</t>
  </si>
  <si>
    <t>Critical fault active</t>
  </si>
  <si>
    <t>rvchtrfault0</t>
  </si>
  <si>
    <t>Active fault code 1</t>
  </si>
  <si>
    <t>0-1021</t>
  </si>
  <si>
    <t>Active fault code 2</t>
  </si>
  <si>
    <t>Active fault code 3</t>
  </si>
  <si>
    <t>Active fault code 4</t>
  </si>
  <si>
    <t>1b150000</t>
  </si>
  <si>
    <t>rvchtrfault0avl</t>
  </si>
  <si>
    <t>1b150001</t>
  </si>
  <si>
    <t>rvchtrfault0sync</t>
  </si>
  <si>
    <t>1b150002</t>
  </si>
  <si>
    <t>rvchtrfault0inst</t>
  </si>
  <si>
    <t>1b150003</t>
  </si>
  <si>
    <t>rvchtrfault0warn</t>
  </si>
  <si>
    <t>1b150004</t>
  </si>
  <si>
    <t>rvchtrfault0crit</t>
  </si>
  <si>
    <t>1b150005</t>
  </si>
  <si>
    <t>rvchtrfault0one</t>
  </si>
  <si>
    <t>1b150006</t>
  </si>
  <si>
    <t>rvchtrfault0two</t>
  </si>
  <si>
    <t>1b150007</t>
  </si>
  <si>
    <t>rvchtrfault0three</t>
  </si>
  <si>
    <t>1b150008</t>
  </si>
  <si>
    <t>rvchtrfault0four</t>
  </si>
  <si>
    <t>Battery voltage low=2</t>
  </si>
  <si>
    <t>Battery voltage high=3</t>
  </si>
  <si>
    <t>Short circuit or over current (HMI)=4</t>
  </si>
  <si>
    <t>Fuse blown=5</t>
  </si>
  <si>
    <t>General system error=7</t>
  </si>
  <si>
    <t>Communication error (HMI)=8</t>
  </si>
  <si>
    <t>Service needed=16</t>
  </si>
  <si>
    <t>Over temperature (PCBA or combustion air)=18</t>
  </si>
  <si>
    <t>Air pressure sensor error=403</t>
  </si>
  <si>
    <t>Circulation air temperature sensor error=404</t>
  </si>
  <si>
    <t>Water temperature sensor 1 error=406</t>
  </si>
  <si>
    <t>Water temperature sensor 2 error=407</t>
  </si>
  <si>
    <t>Room temperature sensor error=408</t>
  </si>
  <si>
    <t>Air heater flame sensor error=409</t>
  </si>
  <si>
    <t>Water heater flame sensor error=410</t>
  </si>
  <si>
    <t>Combustion fan error=411</t>
  </si>
  <si>
    <t>Circulation blower error=412</t>
  </si>
  <si>
    <t>Air heater gas valve low error=413</t>
  </si>
  <si>
    <t>Air heater gas valve medium error=414</t>
  </si>
  <si>
    <t>Water heater gas valve error=415</t>
  </si>
  <si>
    <t>Master gas valve error=416</t>
  </si>
  <si>
    <t>Gas valve relay error=417</t>
  </si>
  <si>
    <t>Air heater start error=418</t>
  </si>
  <si>
    <t>Water heater start error=419</t>
  </si>
  <si>
    <t>Air heater flame out=420</t>
  </si>
  <si>
    <t>Water heater flame out=421</t>
  </si>
  <si>
    <t>Air heater overheat=422</t>
  </si>
  <si>
    <t>Water heater overheat=423</t>
  </si>
  <si>
    <t>Window opened=424</t>
  </si>
  <si>
    <t>Water frozen=425</t>
  </si>
  <si>
    <t>rvchtrver</t>
  </si>
  <si>
    <t>cmaj</t>
  </si>
  <si>
    <t>cmin</t>
  </si>
  <si>
    <t>bmaj</t>
  </si>
  <si>
    <t>bmin</t>
  </si>
  <si>
    <t>pmaj</t>
  </si>
  <si>
    <t>pmin</t>
  </si>
  <si>
    <t>RVC DGN Heater version numbers (130552)</t>
  </si>
  <si>
    <t>This message is sent only when ISO requested by the HMI via DGN 59904.</t>
  </si>
  <si>
    <t>Comfort MCU SW version major</t>
  </si>
  <si>
    <t>Comfort MCU SW version minor</t>
  </si>
  <si>
    <t>Burner MCU SW version major</t>
  </si>
  <si>
    <t>Burner MCU SW version minor</t>
  </si>
  <si>
    <t>Protocol version major</t>
  </si>
  <si>
    <t>Protocol version minor</t>
  </si>
  <si>
    <t>rvcprop</t>
  </si>
  <si>
    <t>oper</t>
  </si>
  <si>
    <t>RVC DGN Proprietary message (61184)</t>
  </si>
  <si>
    <t>1b160000</t>
  </si>
  <si>
    <t>rvchtrver0avl</t>
  </si>
  <si>
    <t>1b160001</t>
  </si>
  <si>
    <t>rvchtrver0sync</t>
  </si>
  <si>
    <t>1b160002</t>
  </si>
  <si>
    <t>rvchtrver0inst</t>
  </si>
  <si>
    <t>1b160003</t>
  </si>
  <si>
    <t>rvchtrver0cmaj</t>
  </si>
  <si>
    <t>1b160004</t>
  </si>
  <si>
    <t>rvchtrver0cmin</t>
  </si>
  <si>
    <t>1b160005</t>
  </si>
  <si>
    <t>rvchtrver0bmaj</t>
  </si>
  <si>
    <t>1b160006</t>
  </si>
  <si>
    <t>rvchtrver0bmin</t>
  </si>
  <si>
    <t>1b160007</t>
  </si>
  <si>
    <t>rvchtrver0pcba</t>
  </si>
  <si>
    <t>1b160008</t>
  </si>
  <si>
    <t>rvchtrver0pmaj</t>
  </si>
  <si>
    <t>1b160009</t>
  </si>
  <si>
    <t>rvchtrver0pmin</t>
  </si>
  <si>
    <t>1b170000</t>
  </si>
  <si>
    <t>rvcprop0avl</t>
  </si>
  <si>
    <t>1b170001</t>
  </si>
  <si>
    <t>rvcprop0sync</t>
  </si>
  <si>
    <t>1b170002</t>
  </si>
  <si>
    <t>1b170003</t>
  </si>
  <si>
    <t>rvcprop0data</t>
  </si>
  <si>
    <t>rvcdcsrc</t>
  </si>
  <si>
    <t>curr</t>
  </si>
  <si>
    <t>RVC DGN DC Source Status 1 (131069)</t>
  </si>
  <si>
    <t>DC instance</t>
  </si>
  <si>
    <t>Device priority</t>
  </si>
  <si>
    <t>0 – Invalid
1 - Main House Battery Bank
2 - Chassis Start Battery
3 - Secondary House Battery Bank
4 - Generator Starter Battery
5...250 - Other instances in the RV.</t>
  </si>
  <si>
    <t>stemp</t>
  </si>
  <si>
    <t>timerem</t>
  </si>
  <si>
    <t>timeremtype</t>
  </si>
  <si>
    <t>RVC DGN DC Source Status 2 (131068)</t>
  </si>
  <si>
    <t>See above</t>
  </si>
  <si>
    <t>Source temperature</t>
  </si>
  <si>
    <t>State of charge (SOC)</t>
  </si>
  <si>
    <t>rvc2dcsrc0timeremtype</t>
  </si>
  <si>
    <t>Time remaining interpretation</t>
  </si>
  <si>
    <t>1b180000</t>
  </si>
  <si>
    <t>rvcdcsrc0avl</t>
  </si>
  <si>
    <t>1b180001</t>
  </si>
  <si>
    <t>rvcdcsrc0sync</t>
  </si>
  <si>
    <t>1b180002</t>
  </si>
  <si>
    <t>rvcdcsrc0inst</t>
  </si>
  <si>
    <t>1b180003</t>
  </si>
  <si>
    <t>rvcdcsrc0prio</t>
  </si>
  <si>
    <t>1b180004</t>
  </si>
  <si>
    <t>rvcdcsrc0volt</t>
  </si>
  <si>
    <t>1b180005</t>
  </si>
  <si>
    <t>rvcdcsrc0curr</t>
  </si>
  <si>
    <t>1b190000</t>
  </si>
  <si>
    <t>1b190001</t>
  </si>
  <si>
    <t>1b190002</t>
  </si>
  <si>
    <t>1b190003</t>
  </si>
  <si>
    <t>1b190004</t>
  </si>
  <si>
    <t>1b190005</t>
  </si>
  <si>
    <t>1b190006</t>
  </si>
  <si>
    <t>1b190007</t>
  </si>
  <si>
    <t>Time To Empty=0</t>
  </si>
  <si>
    <t>Time To Full=1</t>
  </si>
  <si>
    <t>cap</t>
  </si>
  <si>
    <t>relcap</t>
  </si>
  <si>
    <t>ripple</t>
  </si>
  <si>
    <t>RVC DGN DC Source Status 3 (131067)</t>
  </si>
  <si>
    <t xml:space="preserve">State of health </t>
  </si>
  <si>
    <t>Capacity remaining (Ah)</t>
  </si>
  <si>
    <t>Relative capacity</t>
  </si>
  <si>
    <t>AC RMS ripple</t>
  </si>
  <si>
    <t>chgst</t>
  </si>
  <si>
    <t>RVC DGN DC Source Status 4 (130761)</t>
  </si>
  <si>
    <t>rvc4dcsrc0chgst</t>
  </si>
  <si>
    <t>Desired charge state</t>
  </si>
  <si>
    <t>Desired DC voltage</t>
  </si>
  <si>
    <t>Desired DC current</t>
  </si>
  <si>
    <t>rvc4dcsrc0type</t>
  </si>
  <si>
    <t>1b1a0000</t>
  </si>
  <si>
    <t>1b1a0001</t>
  </si>
  <si>
    <t>1b1a0002</t>
  </si>
  <si>
    <t>1b1a0003</t>
  </si>
  <si>
    <t>1b1a0004</t>
  </si>
  <si>
    <t>1b1a0005</t>
  </si>
  <si>
    <t>1b1a0006</t>
  </si>
  <si>
    <t>1b1a0007</t>
  </si>
  <si>
    <t>1b1b0000</t>
  </si>
  <si>
    <t>1b1b0001</t>
  </si>
  <si>
    <t>1b1b0002</t>
  </si>
  <si>
    <t>1b1b0003</t>
  </si>
  <si>
    <t>1b1b0004</t>
  </si>
  <si>
    <t>1b1b0005</t>
  </si>
  <si>
    <t>1b1b0006</t>
  </si>
  <si>
    <t>1b1b0007</t>
  </si>
  <si>
    <t>Undefined=0</t>
  </si>
  <si>
    <t>Do not charge=1</t>
  </si>
  <si>
    <t>Lithium-Iron-Phosphate=3</t>
  </si>
  <si>
    <t>RVC DGN DC Source Status 5 (130760)</t>
  </si>
  <si>
    <t>HP DC voltage</t>
  </si>
  <si>
    <t>DC Voltage Rate of Change (mV/s)</t>
  </si>
  <si>
    <t>hvlim</t>
  </si>
  <si>
    <t>hvdis</t>
  </si>
  <si>
    <t>lvlim</t>
  </si>
  <si>
    <t>lvdis</t>
  </si>
  <si>
    <t>lsoclim</t>
  </si>
  <si>
    <t>lsocdis</t>
  </si>
  <si>
    <t>ldctemplim</t>
  </si>
  <si>
    <t>ldctempdis</t>
  </si>
  <si>
    <t>hdctemplim</t>
  </si>
  <si>
    <t>hdctempdis</t>
  </si>
  <si>
    <t>RVC DGN DC Source Status 6 (130759)</t>
  </si>
  <si>
    <t>0=Not reached;1=Limit reached</t>
  </si>
  <si>
    <t>High voltage limit status</t>
  </si>
  <si>
    <t>0=Connected;1=Disconnected</t>
  </si>
  <si>
    <t>High voltage disconnect status</t>
  </si>
  <si>
    <t>Low voltage limit status</t>
  </si>
  <si>
    <t>Low voltage disconnect status</t>
  </si>
  <si>
    <t>Low state of charge limit status</t>
  </si>
  <si>
    <t>Low state of charge disconnect status</t>
  </si>
  <si>
    <t>Low DC source temperature limit status</t>
  </si>
  <si>
    <t>Low DC source temperature disconnect status</t>
  </si>
  <si>
    <t>High DC source temperature limit status</t>
  </si>
  <si>
    <t>High DC source temperature disconnect status</t>
  </si>
  <si>
    <t>input</t>
  </si>
  <si>
    <t>output</t>
  </si>
  <si>
    <t>RVC DGN DC Source Status 7 (130732)</t>
  </si>
  <si>
    <t>History</t>
  </si>
  <si>
    <t>Today's Input Ampere Hours</t>
  </si>
  <si>
    <t>Today's Output Ampere Hours</t>
  </si>
  <si>
    <t>RVC DGN DC Source Status 8 (130731)</t>
  </si>
  <si>
    <t>Yesterday's Input Ampere Hours</t>
  </si>
  <si>
    <t>Yesterday's Output Ampere Hours</t>
  </si>
  <si>
    <t>RVC DGN DC Source Status 9 (130730)</t>
  </si>
  <si>
    <t>Day Before Yesterday's Input Ampere Hours</t>
  </si>
  <si>
    <t>Day Before Yesterday's Output Ampere Hours</t>
  </si>
  <si>
    <t>RVC DGN DC Source Status 10 (130729)</t>
  </si>
  <si>
    <t>Last 7 days Input Ampere Hours</t>
  </si>
  <si>
    <t>Last 7 days Output Ampere Hours</t>
  </si>
  <si>
    <t>dischgst</t>
  </si>
  <si>
    <t>chgdet</t>
  </si>
  <si>
    <t>resst</t>
  </si>
  <si>
    <t>capacity</t>
  </si>
  <si>
    <t>RVC DGN DC Source Status 11 (130725)</t>
  </si>
  <si>
    <t>0=Disconnected;1=Connected</t>
  </si>
  <si>
    <t>Discharge On/Off status</t>
  </si>
  <si>
    <t>Charge On/Off status</t>
  </si>
  <si>
    <t>0=Disconnected;1=Charge deleted</t>
  </si>
  <si>
    <t>Charge detected</t>
  </si>
  <si>
    <t>0=Above level;1=At or below level</t>
  </si>
  <si>
    <t>Reserve status</t>
  </si>
  <si>
    <t>Full capacity</t>
  </si>
  <si>
    <t>DC power</t>
  </si>
  <si>
    <t>cycles</t>
  </si>
  <si>
    <t>deep</t>
  </si>
  <si>
    <t>average</t>
  </si>
  <si>
    <t>RVC DGN DC Source Status 12 (130552)</t>
  </si>
  <si>
    <t>Cycles</t>
  </si>
  <si>
    <t>Deepest discharge depth</t>
  </si>
  <si>
    <t>Average discharge depth</t>
  </si>
  <si>
    <t>lowvolt</t>
  </si>
  <si>
    <t>highvolt</t>
  </si>
  <si>
    <t>RVC DGN DC Source Status 13 (130535)</t>
  </si>
  <si>
    <t>Lowest DC source voltage</t>
  </si>
  <si>
    <t>Highest DC source voltage</t>
  </si>
  <si>
    <t>rvcdcsrccmd</t>
  </si>
  <si>
    <t>pwrst</t>
  </si>
  <si>
    <t>RVC DGN DC Source Command (130724)</t>
  </si>
  <si>
    <t>0=Disconnect main;1Connect main</t>
  </si>
  <si>
    <t>Desired Power On/Off status</t>
  </si>
  <si>
    <t>0=Disconnect charge;1Connect charge</t>
  </si>
  <si>
    <t>Desired Charge On/Off status</t>
  </si>
  <si>
    <t>rvcdcsrccfg</t>
  </si>
  <si>
    <t>exp</t>
  </si>
  <si>
    <t>coeff</t>
  </si>
  <si>
    <t>fact</t>
  </si>
  <si>
    <t>period</t>
  </si>
  <si>
    <t>tailcurr</t>
  </si>
  <si>
    <t>RVC DGN DC Source Configuration (Status/Command) (130551/130550)</t>
  </si>
  <si>
    <t>Peukert exponent</t>
  </si>
  <si>
    <t>Precision = 0.01, Value range = 0 - 2.53</t>
  </si>
  <si>
    <t>Temperature coefficient</t>
  </si>
  <si>
    <t>Percent capacity per degree Celsius; Precision = 0.1 %CAP/°C, Value range = 0 to 20 %CAP/°C</t>
  </si>
  <si>
    <t>Charge efficiency factor</t>
  </si>
  <si>
    <t>100 means no loss</t>
  </si>
  <si>
    <t>0..12</t>
  </si>
  <si>
    <t>Time remaining averaging period</t>
  </si>
  <si>
    <t>Nominal capacity of a fully charged battery</t>
  </si>
  <si>
    <t>Tail current</t>
  </si>
  <si>
    <t>Once the charge current has dropped to less than the tail current (expressed as a percentage of the battery capacity), the battery is considered to be fully charged</t>
  </si>
  <si>
    <t>clrhist</t>
  </si>
  <si>
    <t>setcap</t>
  </si>
  <si>
    <t>chgvolt</t>
  </si>
  <si>
    <t>shtvolt</t>
  </si>
  <si>
    <t>shtcurr</t>
  </si>
  <si>
    <t>RVC DGN DC Source Configuration 2 (Status/Command ) (130549/130548)</t>
  </si>
  <si>
    <t>0=No action;1=Clear history</t>
  </si>
  <si>
    <t>Clear history</t>
  </si>
  <si>
    <t>0=No action;1=Set 100%</t>
  </si>
  <si>
    <t>Set capacity to 100%</t>
  </si>
  <si>
    <t>When the battery or battery bank is known to be fully charged, this command is used to set the state of charge to 100%.</t>
  </si>
  <si>
    <t>Charged voltage</t>
  </si>
  <si>
    <t>Shunt voltage</t>
  </si>
  <si>
    <t>Shunt current</t>
  </si>
  <si>
    <t>dsa</t>
  </si>
  <si>
    <t>prim</t>
  </si>
  <si>
    <t>RVC DGN DC Source Connection Status (130512)</t>
  </si>
  <si>
    <t>Device instance</t>
  </si>
  <si>
    <t>Device DSA (Default Source Address)</t>
  </si>
  <si>
    <t>rvc2dcsrcconn0func</t>
  </si>
  <si>
    <t>Primary DC instance</t>
  </si>
  <si>
    <t>Secondary DC instance</t>
  </si>
  <si>
    <t>1b1c0000</t>
  </si>
  <si>
    <t>1b1c0001</t>
  </si>
  <si>
    <t>1b1c0002</t>
  </si>
  <si>
    <t>1b1c0003</t>
  </si>
  <si>
    <t>1b1c0004</t>
  </si>
  <si>
    <t>1b1d0000</t>
  </si>
  <si>
    <t>1b1d0001</t>
  </si>
  <si>
    <t>1b1d0002</t>
  </si>
  <si>
    <t>1b1d0003</t>
  </si>
  <si>
    <t>1b1d0004</t>
  </si>
  <si>
    <t>1b1d0005</t>
  </si>
  <si>
    <t>1b1d0006</t>
  </si>
  <si>
    <t>1b1d0007</t>
  </si>
  <si>
    <t>1b1d0008</t>
  </si>
  <si>
    <t>1b1d0009</t>
  </si>
  <si>
    <t>1b1d000a</t>
  </si>
  <si>
    <t>1b1d000b</t>
  </si>
  <si>
    <t>1b1d000c</t>
  </si>
  <si>
    <t>1b1d000d</t>
  </si>
  <si>
    <t>1b1d000e</t>
  </si>
  <si>
    <t>1b1d000f</t>
  </si>
  <si>
    <t>1b1e0000</t>
  </si>
  <si>
    <t>1b1e0001</t>
  </si>
  <si>
    <t>1b1e0002</t>
  </si>
  <si>
    <t>1b1e0003</t>
  </si>
  <si>
    <t>1b1e0004</t>
  </si>
  <si>
    <t>1b1e0005</t>
  </si>
  <si>
    <t>1b1f0000</t>
  </si>
  <si>
    <t>1b1f0001</t>
  </si>
  <si>
    <t>1b1f0002</t>
  </si>
  <si>
    <t>1b1f0003</t>
  </si>
  <si>
    <t>1b1f0004</t>
  </si>
  <si>
    <t>1b1f0005</t>
  </si>
  <si>
    <t>1b200000</t>
  </si>
  <si>
    <t>1b200001</t>
  </si>
  <si>
    <t>1b200002</t>
  </si>
  <si>
    <t>1b200003</t>
  </si>
  <si>
    <t>1b200004</t>
  </si>
  <si>
    <t>1b200005</t>
  </si>
  <si>
    <t>1b210000</t>
  </si>
  <si>
    <t>1b210001</t>
  </si>
  <si>
    <t>1b210002</t>
  </si>
  <si>
    <t>1b210003</t>
  </si>
  <si>
    <t>1b210004</t>
  </si>
  <si>
    <t>1b210005</t>
  </si>
  <si>
    <t>1b220000</t>
  </si>
  <si>
    <t>1b220001</t>
  </si>
  <si>
    <t>1b220002</t>
  </si>
  <si>
    <t>1b220003</t>
  </si>
  <si>
    <t>1b220004</t>
  </si>
  <si>
    <t>1b220005</t>
  </si>
  <si>
    <t>1b220006</t>
  </si>
  <si>
    <t>1b220007</t>
  </si>
  <si>
    <t>1b220008</t>
  </si>
  <si>
    <t>1b220009</t>
  </si>
  <si>
    <t>1b230000</t>
  </si>
  <si>
    <t>1b230001</t>
  </si>
  <si>
    <t>1b230002</t>
  </si>
  <si>
    <t>1b230003</t>
  </si>
  <si>
    <t>1b230004</t>
  </si>
  <si>
    <t>1b230005</t>
  </si>
  <si>
    <t>1b230006</t>
  </si>
  <si>
    <t>1b240000</t>
  </si>
  <si>
    <t>1b240001</t>
  </si>
  <si>
    <t>1b240002</t>
  </si>
  <si>
    <t>1b240003</t>
  </si>
  <si>
    <t>1b240004</t>
  </si>
  <si>
    <t>1b240005</t>
  </si>
  <si>
    <t>1b250000</t>
  </si>
  <si>
    <t>rvcdcsrccmd0avl</t>
  </si>
  <si>
    <t>1b250001</t>
  </si>
  <si>
    <t>rvcdcsrccmd0sync</t>
  </si>
  <si>
    <t>1b250002</t>
  </si>
  <si>
    <t>rvcdcsrccmd0inst</t>
  </si>
  <si>
    <t>1b250003</t>
  </si>
  <si>
    <t>rvcdcsrccmd0pwrst</t>
  </si>
  <si>
    <t>1b250004</t>
  </si>
  <si>
    <t>rvcdcsrccmd0chgst</t>
  </si>
  <si>
    <t>1b260000</t>
  </si>
  <si>
    <t>rvcdcsrccfg0avl</t>
  </si>
  <si>
    <t>1b260001</t>
  </si>
  <si>
    <t>rvcdcsrccfg0sync</t>
  </si>
  <si>
    <t>1b260002</t>
  </si>
  <si>
    <t>rvcdcsrccfg0inst</t>
  </si>
  <si>
    <t>1b260003</t>
  </si>
  <si>
    <t>rvcdcsrccfg0exp</t>
  </si>
  <si>
    <t>1b260004</t>
  </si>
  <si>
    <t>rvcdcsrccfg0coeff</t>
  </si>
  <si>
    <t>1b260005</t>
  </si>
  <si>
    <t>rvcdcsrccfg0fact</t>
  </si>
  <si>
    <t>1b260006</t>
  </si>
  <si>
    <t>rvcdcsrccfg0period</t>
  </si>
  <si>
    <t>1b260007</t>
  </si>
  <si>
    <t>rvcdcsrccfg0capacity</t>
  </si>
  <si>
    <t>1b260008</t>
  </si>
  <si>
    <t>rvcdcsrccfg0tailcurr</t>
  </si>
  <si>
    <t>1b270000</t>
  </si>
  <si>
    <t>1b270001</t>
  </si>
  <si>
    <t>1b270002</t>
  </si>
  <si>
    <t>1b270003</t>
  </si>
  <si>
    <t>1b270004</t>
  </si>
  <si>
    <t>1b270005</t>
  </si>
  <si>
    <t>1b270006</t>
  </si>
  <si>
    <t>1b270007</t>
  </si>
  <si>
    <t>1b280000</t>
  </si>
  <si>
    <t>1b280001</t>
  </si>
  <si>
    <t>1b280002</t>
  </si>
  <si>
    <t>1b280003</t>
  </si>
  <si>
    <t>1b280004</t>
  </si>
  <si>
    <t>1b280005</t>
  </si>
  <si>
    <t>1b280006</t>
  </si>
  <si>
    <t>Invalid=0</t>
  </si>
  <si>
    <t>Source connection=1</t>
  </si>
  <si>
    <t>Load connection=2</t>
  </si>
  <si>
    <t>Primary To Secondary Bridge=3</t>
  </si>
  <si>
    <t>Main battery contactor=4</t>
  </si>
  <si>
    <t>RVC DGN DC Source Configuration 3 Command (130526)</t>
  </si>
  <si>
    <t>0=Do not modify</t>
  </si>
  <si>
    <t>0=Do not modify, 255=not used</t>
  </si>
  <si>
    <t>1b290000</t>
  </si>
  <si>
    <t>1b290001</t>
  </si>
  <si>
    <t>1b290002</t>
  </si>
  <si>
    <t>1b2a0000</t>
  </si>
  <si>
    <t>1b2a0001</t>
  </si>
  <si>
    <t>1b2a0002</t>
  </si>
  <si>
    <t>1b2a0003</t>
  </si>
  <si>
    <t>rvcdcdisconn</t>
  </si>
  <si>
    <t>bypass</t>
  </si>
  <si>
    <t>RVC DGN DC Disconnection (Status/Command) (130768/130767)</t>
  </si>
  <si>
    <t>Circuit Status</t>
  </si>
  <si>
    <t>0=Disconnect;1=Connect</t>
  </si>
  <si>
    <t>Command/Last command</t>
  </si>
  <si>
    <t>0=Under System Control;1=Bypassed</t>
  </si>
  <si>
    <t>Bypass Detect</t>
  </si>
  <si>
    <t>DC switched voltage</t>
  </si>
  <si>
    <t>DC switched current</t>
  </si>
  <si>
    <t>dc</t>
  </si>
  <si>
    <t>RVC DGN Battery Status 1 (130709)</t>
  </si>
  <si>
    <t>Battery instance</t>
  </si>
  <si>
    <t>Associated DC Source instance</t>
  </si>
  <si>
    <t>1b2b0000</t>
  </si>
  <si>
    <t>rvcdcdisconn0avl</t>
  </si>
  <si>
    <t>1b2b0001</t>
  </si>
  <si>
    <t>rvcdcdisconn0sync</t>
  </si>
  <si>
    <t>1b2b0002</t>
  </si>
  <si>
    <t>rvcdcdisconn0inst</t>
  </si>
  <si>
    <t>1b2b0003</t>
  </si>
  <si>
    <t>rvcdcdisconn0sts</t>
  </si>
  <si>
    <t>1b2b0004</t>
  </si>
  <si>
    <t>rvcdcdisconn0cmd</t>
  </si>
  <si>
    <t>1b2b0005</t>
  </si>
  <si>
    <t>rvcdcdisconn0bypass</t>
  </si>
  <si>
    <t>rvcdcdisconn0volt</t>
  </si>
  <si>
    <t>rvcdcdisconn0curr</t>
  </si>
  <si>
    <t>1b2c0000</t>
  </si>
  <si>
    <t>1b2c0001</t>
  </si>
  <si>
    <t>1b2c0002</t>
  </si>
  <si>
    <t>1b2c0003</t>
  </si>
  <si>
    <t>1b2c0004</t>
  </si>
  <si>
    <t>1b2c0005</t>
  </si>
  <si>
    <t>timests</t>
  </si>
  <si>
    <t>RVC DGN Battery Status 2 (130708)</t>
  </si>
  <si>
    <t>0=Time to empty;1=Time to full</t>
  </si>
  <si>
    <t>1b2d0000</t>
  </si>
  <si>
    <t>1b2d0001</t>
  </si>
  <si>
    <t>1b2d0002</t>
  </si>
  <si>
    <t>1b2d0003</t>
  </si>
  <si>
    <t>1b2d0004</t>
  </si>
  <si>
    <t>1b2d0005</t>
  </si>
  <si>
    <t>1b2d0006</t>
  </si>
  <si>
    <t>1b2d0007</t>
  </si>
  <si>
    <t>1b290003</t>
  </si>
  <si>
    <t>1b290004</t>
  </si>
  <si>
    <t>1b290005</t>
  </si>
  <si>
    <t>1b290006</t>
  </si>
  <si>
    <t>1b2a0004</t>
  </si>
  <si>
    <t>1b2a0005</t>
  </si>
  <si>
    <t>1b2a0006</t>
  </si>
  <si>
    <t>1b2a0007</t>
  </si>
  <si>
    <t>1b2c0006</t>
  </si>
  <si>
    <t>1b2c0007</t>
  </si>
  <si>
    <t>caprel</t>
  </si>
  <si>
    <t>RVC DGN Battery Status 3 (130707)</t>
  </si>
  <si>
    <t>State of health</t>
  </si>
  <si>
    <t>Capacity remaining</t>
  </si>
  <si>
    <t>AC RMS Ripple</t>
  </si>
  <si>
    <t>RVC DGN Battery Status 4 (130706)</t>
  </si>
  <si>
    <t>Battery Type</t>
  </si>
  <si>
    <t>1b2e0000</t>
  </si>
  <si>
    <t>1b2e0001</t>
  </si>
  <si>
    <t>1b2e0002</t>
  </si>
  <si>
    <t>1b2e0003</t>
  </si>
  <si>
    <t>1b2e0004</t>
  </si>
  <si>
    <t>1b2e0005</t>
  </si>
  <si>
    <t>1b2e0006</t>
  </si>
  <si>
    <t>1b2e0007</t>
  </si>
  <si>
    <t>hcurrlim</t>
  </si>
  <si>
    <t>hcurrdis</t>
  </si>
  <si>
    <t>RVC DGN Battery Status 6 (130704)</t>
  </si>
  <si>
    <t>High Voltage Limit Status</t>
  </si>
  <si>
    <t>High Voltage Disconnect Status</t>
  </si>
  <si>
    <t>Low Voltage Limit Status</t>
  </si>
  <si>
    <t>Low Voltage Disconnect Status</t>
  </si>
  <si>
    <t>Low state of charge (SOC) limit</t>
  </si>
  <si>
    <t>High Current DC Source Limit</t>
  </si>
  <si>
    <t>High Current DC Source Disconnect</t>
  </si>
  <si>
    <t>RVC DGN Battery Status 7 (130703)</t>
  </si>
  <si>
    <t>Today's Input AmpereHours</t>
  </si>
  <si>
    <t>Today's Output AmpereHours</t>
  </si>
  <si>
    <t>RVC DGN Battery Status 8 (130702)</t>
  </si>
  <si>
    <t>Yesterday's Input AmpereHours</t>
  </si>
  <si>
    <t>Yesterday's Output AmpereHours</t>
  </si>
  <si>
    <t>RVC DGN Battery Status 9 (130701)</t>
  </si>
  <si>
    <t>Day Before Yesterday's Input AmpereHours</t>
  </si>
  <si>
    <t>Day Before Yesterday's Output AmpereHours</t>
  </si>
  <si>
    <t>RVC DGN Battery Status 10 (130700)</t>
  </si>
  <si>
    <t>Last 7 Days Input AmpereHours</t>
  </si>
  <si>
    <t>Last 7 Days Output AmpereHours</t>
  </si>
  <si>
    <t>RVC DGN Battery Status 11 (130699)</t>
  </si>
  <si>
    <t>0=No charge detected;1=Charge detected</t>
  </si>
  <si>
    <t>RVC DGN Battery Status 12 (130547)</t>
  </si>
  <si>
    <t>RVC DGN Battery Status 13 (130546)</t>
  </si>
  <si>
    <t>Lowest Battery voltage</t>
  </si>
  <si>
    <t>Highest Battery voltage</t>
  </si>
  <si>
    <t>loadst</t>
  </si>
  <si>
    <t>hist</t>
  </si>
  <si>
    <t>details</t>
  </si>
  <si>
    <t>RVC DGN Battery Command (130698)</t>
  </si>
  <si>
    <t>Set DC instance</t>
  </si>
  <si>
    <t>Associated DC Source instance
Set DC Instance this battery is associated with.
0 = unclaimed
1-250 DC_SOURCE_INSTANCE
255 = Do not modify associated DC_Instance</t>
  </si>
  <si>
    <t>Desired Load On/Off status</t>
  </si>
  <si>
    <t>Clear History</t>
  </si>
  <si>
    <t>Return module’s Cell details</t>
  </si>
  <si>
    <t>0=report all modules within battery via Cell details DGN, 1-250=individual module</t>
  </si>
  <si>
    <t>series</t>
  </si>
  <si>
    <t>modcnt</t>
  </si>
  <si>
    <t>cells</t>
  </si>
  <si>
    <t>voltsts</t>
  </si>
  <si>
    <t>tempsts</t>
  </si>
  <si>
    <t>RVC DGN Battery Summary (130545)</t>
  </si>
  <si>
    <t>Series string</t>
  </si>
  <si>
    <t>Module count</t>
  </si>
  <si>
    <t>Cells per module</t>
  </si>
  <si>
    <t>rvcbattsum0voltsts</t>
  </si>
  <si>
    <t>Voltage Status</t>
  </si>
  <si>
    <t>rvcbattsum0tempsts</t>
  </si>
  <si>
    <t>Temperature Status</t>
  </si>
  <si>
    <t>1b2f0000</t>
  </si>
  <si>
    <t>1b2f0001</t>
  </si>
  <si>
    <t>1b2f0002</t>
  </si>
  <si>
    <t>1b2f0003</t>
  </si>
  <si>
    <t>1b2f0004</t>
  </si>
  <si>
    <t>1b2f0005</t>
  </si>
  <si>
    <t>1b2f0006</t>
  </si>
  <si>
    <t>1b2f0007</t>
  </si>
  <si>
    <t>1b2f0008</t>
  </si>
  <si>
    <t>1b2f0009</t>
  </si>
  <si>
    <t>1b2f000a</t>
  </si>
  <si>
    <t>1b2f000b</t>
  </si>
  <si>
    <t>1b2f000c</t>
  </si>
  <si>
    <t>1b2f000d</t>
  </si>
  <si>
    <t>1b2f000e</t>
  </si>
  <si>
    <t>1b2f000f</t>
  </si>
  <si>
    <t>1b300000</t>
  </si>
  <si>
    <t>1b300001</t>
  </si>
  <si>
    <t>1b300002</t>
  </si>
  <si>
    <t>1b300003</t>
  </si>
  <si>
    <t>1b300004</t>
  </si>
  <si>
    <t>1b300005</t>
  </si>
  <si>
    <t>1b310000</t>
  </si>
  <si>
    <t>1b310001</t>
  </si>
  <si>
    <t>1b310002</t>
  </si>
  <si>
    <t>1b310003</t>
  </si>
  <si>
    <t>1b310004</t>
  </si>
  <si>
    <t>1b310005</t>
  </si>
  <si>
    <t>1b320000</t>
  </si>
  <si>
    <t>1b320001</t>
  </si>
  <si>
    <t>1b320002</t>
  </si>
  <si>
    <t>1b320003</t>
  </si>
  <si>
    <t>1b320004</t>
  </si>
  <si>
    <t>1b320005</t>
  </si>
  <si>
    <t>1b330000</t>
  </si>
  <si>
    <t>1b330001</t>
  </si>
  <si>
    <t>1b330002</t>
  </si>
  <si>
    <t>1b330003</t>
  </si>
  <si>
    <t>1b330004</t>
  </si>
  <si>
    <t>1b330005</t>
  </si>
  <si>
    <t>1b340000</t>
  </si>
  <si>
    <t>1b340001</t>
  </si>
  <si>
    <t>1b340002</t>
  </si>
  <si>
    <t>1b340003</t>
  </si>
  <si>
    <t>1b340004</t>
  </si>
  <si>
    <t>1b340005</t>
  </si>
  <si>
    <t>1b340006</t>
  </si>
  <si>
    <t>1b340007</t>
  </si>
  <si>
    <t>1b340008</t>
  </si>
  <si>
    <t>1b340009</t>
  </si>
  <si>
    <t>1b350000</t>
  </si>
  <si>
    <t>1b350001</t>
  </si>
  <si>
    <t>1b350002</t>
  </si>
  <si>
    <t>1b350003</t>
  </si>
  <si>
    <t>1b350004</t>
  </si>
  <si>
    <t>1b350005</t>
  </si>
  <si>
    <t>1b350006</t>
  </si>
  <si>
    <t>1b360000</t>
  </si>
  <si>
    <t>1b360001</t>
  </si>
  <si>
    <t>1b360002</t>
  </si>
  <si>
    <t>1b360003</t>
  </si>
  <si>
    <t>1b360004</t>
  </si>
  <si>
    <t>1b360005</t>
  </si>
  <si>
    <t>1b370000</t>
  </si>
  <si>
    <t>1b370001</t>
  </si>
  <si>
    <t>1b370002</t>
  </si>
  <si>
    <t>1b370003</t>
  </si>
  <si>
    <t>1b370004</t>
  </si>
  <si>
    <t>1b370005</t>
  </si>
  <si>
    <t>1b370006</t>
  </si>
  <si>
    <t>1b370007</t>
  </si>
  <si>
    <t>1b380000</t>
  </si>
  <si>
    <t>1b380001</t>
  </si>
  <si>
    <t>1b380002</t>
  </si>
  <si>
    <t>1b380003</t>
  </si>
  <si>
    <t>1b380004</t>
  </si>
  <si>
    <t>1b380005</t>
  </si>
  <si>
    <t>1b380006</t>
  </si>
  <si>
    <t>1b380007</t>
  </si>
  <si>
    <t>1b380008</t>
  </si>
  <si>
    <t>Extreme Under Voltage=1</t>
  </si>
  <si>
    <t>Under Voltage=2</t>
  </si>
  <si>
    <t>Extreme Over Voltage=4</t>
  </si>
  <si>
    <t>Extreme Under Temperature=1</t>
  </si>
  <si>
    <t>Under Temperature=2</t>
  </si>
  <si>
    <t>Over Temperature=3</t>
  </si>
  <si>
    <t>Extreme Over Temperature=4</t>
  </si>
  <si>
    <t>mod</t>
  </si>
  <si>
    <t>cell</t>
  </si>
  <si>
    <t>bal</t>
  </si>
  <si>
    <t>RVC DGN Cell Details (130525)</t>
  </si>
  <si>
    <t>Module instance</t>
  </si>
  <si>
    <t>Cell instance</t>
  </si>
  <si>
    <t>rvcbattcell0voltsts</t>
  </si>
  <si>
    <t>Voltage status</t>
  </si>
  <si>
    <t>rvcbattcell0tempsts</t>
  </si>
  <si>
    <t>Balancing</t>
  </si>
  <si>
    <t>Is the Cell being balanced at the moment?</t>
  </si>
  <si>
    <t>1b390000</t>
  </si>
  <si>
    <t>1b390001</t>
  </si>
  <si>
    <t>1b390002</t>
  </si>
  <si>
    <t>1b390003</t>
  </si>
  <si>
    <t>1b390004</t>
  </si>
  <si>
    <t>1b390005</t>
  </si>
  <si>
    <t>1b390006</t>
  </si>
  <si>
    <t>1b390007</t>
  </si>
  <si>
    <t>1b390008</t>
  </si>
  <si>
    <t>1b390009</t>
  </si>
  <si>
    <t>Normal=1</t>
  </si>
  <si>
    <t>Over Voltage=2</t>
  </si>
  <si>
    <t>Under Voltage=3</t>
  </si>
  <si>
    <t>Over Temperature=2</t>
  </si>
  <si>
    <t>Under Temperature=3</t>
  </si>
  <si>
    <t>rvcsolar</t>
  </si>
  <si>
    <t>currperc</t>
  </si>
  <si>
    <t>powup</t>
  </si>
  <si>
    <t>force</t>
  </si>
  <si>
    <t>RVC DGN Solar Controller (Status/Command) (130739/130737)</t>
  </si>
  <si>
    <t>Solar controller instance</t>
  </si>
  <si>
    <t>Desired charge control voltage</t>
  </si>
  <si>
    <t>Desired charge control current</t>
  </si>
  <si>
    <t>rvcsolar0oper</t>
  </si>
  <si>
    <t>0=Disable;1=Enable</t>
  </si>
  <si>
    <t>Power-up state</t>
  </si>
  <si>
    <t>0=Do nothing;1=Clear</t>
  </si>
  <si>
    <t>0=Not cleared;1=Cleared</t>
  </si>
  <si>
    <t>rvcsolar0force</t>
  </si>
  <si>
    <t>1b3a0000</t>
  </si>
  <si>
    <t>rvcsolar0avl</t>
  </si>
  <si>
    <t>1b3a0001</t>
  </si>
  <si>
    <t>rvcsolar0sync</t>
  </si>
  <si>
    <t>1b3a0002</t>
  </si>
  <si>
    <t>rvcsolar0inst</t>
  </si>
  <si>
    <t>1b3a0003</t>
  </si>
  <si>
    <t>rvcsolar0volt</t>
  </si>
  <si>
    <t>1b3a0004</t>
  </si>
  <si>
    <t>rvcsolar0curr</t>
  </si>
  <si>
    <t>1b3a0005</t>
  </si>
  <si>
    <t>rvcsolar0currperc</t>
  </si>
  <si>
    <t>1b3a0006</t>
  </si>
  <si>
    <t>1b3a0007</t>
  </si>
  <si>
    <t>rvcsolar0powup</t>
  </si>
  <si>
    <t>1b3a0008</t>
  </si>
  <si>
    <t>rvcsolar0clrhist</t>
  </si>
  <si>
    <t>1b3a0009</t>
  </si>
  <si>
    <t>Enable=1</t>
  </si>
  <si>
    <t>Top up battery=3</t>
  </si>
  <si>
    <t>NOT forced=0</t>
  </si>
  <si>
    <t>RVC DGN Solar Controller 2 Status (130693)</t>
  </si>
  <si>
    <t>Rated battery voltage</t>
  </si>
  <si>
    <t>Maximum battery voltage the solar charge controller can handle on its battery terminals</t>
  </si>
  <si>
    <t>Rated charging current</t>
  </si>
  <si>
    <t>Maximum current that the solar charge controller is capable of outputting to the battery</t>
  </si>
  <si>
    <t>opow</t>
  </si>
  <si>
    <t>RVC DGN Solar Controller 3 Status (130692)</t>
  </si>
  <si>
    <t>Rated solar input voltage</t>
  </si>
  <si>
    <t>Maximum voltage the solar charge controller can accept on the solar input terminals.</t>
  </si>
  <si>
    <t>Rated solar input current</t>
  </si>
  <si>
    <t>Maximum current the solar charge controller can accept into the solar input</t>
  </si>
  <si>
    <t>Rated solar over-power</t>
  </si>
  <si>
    <t>How much the solar array can be oversized without causing damage to the solar charge controller</t>
  </si>
  <si>
    <t>today</t>
  </si>
  <si>
    <t>yesterday</t>
  </si>
  <si>
    <t>yesterday2</t>
  </si>
  <si>
    <t>RVC DGN Solar Controller 4 Status (130691)</t>
  </si>
  <si>
    <t>Today's amp-hours to battery</t>
  </si>
  <si>
    <t>Total number of Ah that have gone out to the battery today</t>
  </si>
  <si>
    <t>Yesterday's amp-hours to battery</t>
  </si>
  <si>
    <t>Total number of Ah that have gone out to the battery yesterday</t>
  </si>
  <si>
    <t>Day before yesterday's amphours to battery</t>
  </si>
  <si>
    <t>Total number of Ah that have gone out to the battery the day before yesterday</t>
  </si>
  <si>
    <t>days7</t>
  </si>
  <si>
    <t>RVC DGN Solar Controller 5 Status (130690)</t>
  </si>
  <si>
    <t>Last 7 days amp-hours to battery</t>
  </si>
  <si>
    <t>Total number of Ah that have gone out to the battery in the last 7 days</t>
  </si>
  <si>
    <t>Cumulative power generation</t>
  </si>
  <si>
    <t>Total amount of kWh generated by the solar charge controller since the last time the history</t>
  </si>
  <si>
    <t>days</t>
  </si>
  <si>
    <t>RVC DGN Solar Controller 6 Status (130689)</t>
  </si>
  <si>
    <t>Total number of operating days</t>
  </si>
  <si>
    <t>Total number of days the solar charge controller has been operating since the last time the history was cleared</t>
  </si>
  <si>
    <t>Solar charge controller measured temperature</t>
  </si>
  <si>
    <t>Internal temperature of the solar charge controller</t>
  </si>
  <si>
    <t>RVC DGN Solar Charge Controller Battery Status (130688)</t>
  </si>
  <si>
    <t>DC Source Instance</t>
  </si>
  <si>
    <t>DC Source solar charge controller is associated with</t>
  </si>
  <si>
    <t>Charger Priority</t>
  </si>
  <si>
    <t>Priority of charger</t>
  </si>
  <si>
    <t>Measured voltage</t>
  </si>
  <si>
    <t>Measured voltage at the solar charge controller's battery output</t>
  </si>
  <si>
    <t>Measured current</t>
  </si>
  <si>
    <t>Measured current currently going out the solar charge controller's battery output</t>
  </si>
  <si>
    <t>rvcsolararr</t>
  </si>
  <si>
    <t>RVC DGN Solar Charge Controller Solar Array Status (130559)</t>
  </si>
  <si>
    <t>Solar array measured voltage</t>
  </si>
  <si>
    <t>Measured voltage on the solar array input</t>
  </si>
  <si>
    <t>Solar array measured input current</t>
  </si>
  <si>
    <t>Measured current coming in from the solar array</t>
  </si>
  <si>
    <t>rvcsolarcfg</t>
  </si>
  <si>
    <t>algo</t>
  </si>
  <si>
    <t>sensor</t>
  </si>
  <si>
    <t>link</t>
  </si>
  <si>
    <t>maxcurr</t>
  </si>
  <si>
    <t>RVC DGN Solar Controller Configuration (Status/Command) (130738/130736)</t>
  </si>
  <si>
    <t>rvcsolarcfg0algo</t>
  </si>
  <si>
    <t>Charging algorithm</t>
  </si>
  <si>
    <t>rvcsolarcfg0mode</t>
  </si>
  <si>
    <t>Controller mode</t>
  </si>
  <si>
    <t>No batt sensor=0;Batt sensor=1</t>
  </si>
  <si>
    <t>Battery sensor present</t>
  </si>
  <si>
    <t>Indepenant=0;Linked=1</t>
  </si>
  <si>
    <t>Linkage mode</t>
  </si>
  <si>
    <t>Indicates that operation is linked to a DC source which reports through the DC_SOURCE_STATUS DGNs</t>
  </si>
  <si>
    <t>Battery bank size</t>
  </si>
  <si>
    <t>Maximum charging current</t>
  </si>
  <si>
    <t>1b3b0000</t>
  </si>
  <si>
    <t>1b3b0001</t>
  </si>
  <si>
    <t>1b3b0002</t>
  </si>
  <si>
    <t>1b3b0003</t>
  </si>
  <si>
    <t>1b3b0004</t>
  </si>
  <si>
    <t>1b3c0000</t>
  </si>
  <si>
    <t>1b3c0001</t>
  </si>
  <si>
    <t>1b3c0002</t>
  </si>
  <si>
    <t>1b3c0003</t>
  </si>
  <si>
    <t>1b3c0004</t>
  </si>
  <si>
    <t>1b3c0005</t>
  </si>
  <si>
    <t>1b3d0000</t>
  </si>
  <si>
    <t>1b3d0001</t>
  </si>
  <si>
    <t>1b3d0002</t>
  </si>
  <si>
    <t>1b3d0003</t>
  </si>
  <si>
    <t>1b3d0004</t>
  </si>
  <si>
    <t>1b3d0005</t>
  </si>
  <si>
    <t>1b3e0000</t>
  </si>
  <si>
    <t>1b3e0001</t>
  </si>
  <si>
    <t>1b3e0002</t>
  </si>
  <si>
    <t>1b3e0003</t>
  </si>
  <si>
    <t>1b3e0004</t>
  </si>
  <si>
    <t>1b3f0000</t>
  </si>
  <si>
    <t>1b3f0001</t>
  </si>
  <si>
    <t>1b3f0002</t>
  </si>
  <si>
    <t>1b3f0003</t>
  </si>
  <si>
    <t>1b3f0004</t>
  </si>
  <si>
    <t>1b400000</t>
  </si>
  <si>
    <t>1b400001</t>
  </si>
  <si>
    <t>1b400002</t>
  </si>
  <si>
    <t>1b400003</t>
  </si>
  <si>
    <t>1b400004</t>
  </si>
  <si>
    <t>1b400005</t>
  </si>
  <si>
    <t>1b400006</t>
  </si>
  <si>
    <t>1b400007</t>
  </si>
  <si>
    <t>1b410000</t>
  </si>
  <si>
    <t>rvcsolararr0avl</t>
  </si>
  <si>
    <t>1b410001</t>
  </si>
  <si>
    <t>rvcsolararr0sync</t>
  </si>
  <si>
    <t>1b410002</t>
  </si>
  <si>
    <t>rvcsolararr0inst</t>
  </si>
  <si>
    <t>1b410003</t>
  </si>
  <si>
    <t>rvcsolararr0volt</t>
  </si>
  <si>
    <t>1b410004</t>
  </si>
  <si>
    <t>rvcsolararr0curr</t>
  </si>
  <si>
    <t>1b420000</t>
  </si>
  <si>
    <t>rvcsolarcfg0avl</t>
  </si>
  <si>
    <t>1b420001</t>
  </si>
  <si>
    <t>rvcsolarcfg0sync</t>
  </si>
  <si>
    <t>1b420002</t>
  </si>
  <si>
    <t>rvcsolarcfg0inst</t>
  </si>
  <si>
    <t>1b420003</t>
  </si>
  <si>
    <t>1b420004</t>
  </si>
  <si>
    <t>1b420005</t>
  </si>
  <si>
    <t>rvcsolarcfg0sensor</t>
  </si>
  <si>
    <t>1b420006</t>
  </si>
  <si>
    <t>rvcsolarcfg0link</t>
  </si>
  <si>
    <t>1b420007</t>
  </si>
  <si>
    <t>rvcsolarcfg0type</t>
  </si>
  <si>
    <t>1b420008</t>
  </si>
  <si>
    <t>rvcsolarcfg0size</t>
  </si>
  <si>
    <t>1b420009</t>
  </si>
  <si>
    <t>rvcsolarcfg0maxcurr</t>
  </si>
  <si>
    <t>Constant current=1</t>
  </si>
  <si>
    <t>3-stage=2</t>
  </si>
  <si>
    <t>2-stage=3</t>
  </si>
  <si>
    <t>Trickle=4</t>
  </si>
  <si>
    <t>Custom2=249</t>
  </si>
  <si>
    <t>Custom1=250</t>
  </si>
  <si>
    <t>Stand-alone=0</t>
  </si>
  <si>
    <t>Primary=1</t>
  </si>
  <si>
    <t>Secondary=2</t>
  </si>
  <si>
    <t>Linked to DC Source=3</t>
  </si>
  <si>
    <t>bvolt</t>
  </si>
  <si>
    <t>fvolt</t>
  </si>
  <si>
    <t>cvolt</t>
  </si>
  <si>
    <t>RVC DGN Solar Controller Configuration 2 (Status/Command) (130558/130557)</t>
  </si>
  <si>
    <t>Bulk-absorption voltage</t>
  </si>
  <si>
    <t>The battery voltage at which the solar charge controller transitions from the bulk to absorption stage</t>
  </si>
  <si>
    <t>Float voltage</t>
  </si>
  <si>
    <t>The voltage to apply to the battery during the float stage</t>
  </si>
  <si>
    <t>Charge return voltage</t>
  </si>
  <si>
    <t>When the battery voltage drops below this voltage the solar charge controller will start a new charge cycle to prevent self-discharge of the battery</t>
  </si>
  <si>
    <t>uvwlim</t>
  </si>
  <si>
    <t>RVC DGN Solar Controller Configuration 3 (Status/Command) (130556/130555)</t>
  </si>
  <si>
    <t>Under-voltage warning voltage</t>
  </si>
  <si>
    <t>The voltage at which the solar charge controller will trigger the low voltage warning fault</t>
  </si>
  <si>
    <t>Battery high voltage limit voltage</t>
  </si>
  <si>
    <t>The voltage at which the solar charge controller considers the battery over-charged and triggers the high voltage limit fault</t>
  </si>
  <si>
    <t>Battery low voltage limit voltage</t>
  </si>
  <si>
    <t>The voltage at which the solar charge controller considers the battery over-discharged and triggers the low voltage limit fault</t>
  </si>
  <si>
    <t>hvlimr</t>
  </si>
  <si>
    <t>lvlimr</t>
  </si>
  <si>
    <t>lvlimd</t>
  </si>
  <si>
    <t>dur</t>
  </si>
  <si>
    <t>RVC DGN Solar Controller Configuration 4 (Status/Command) (130554/130553)</t>
  </si>
  <si>
    <t>Battery high voltage limit return voltage</t>
  </si>
  <si>
    <t>The voltage below which the solar charge controller will clear the battery high voltage limit fault</t>
  </si>
  <si>
    <t>Battery low voltage limit return voltage</t>
  </si>
  <si>
    <t>The voltage over which the solar charge controller will clear the battery low voltage limit fault</t>
  </si>
  <si>
    <t>Battery low voltage limit time delay</t>
  </si>
  <si>
    <t>The amount of time the solar charge controller will wait when the battery voltage is below the low voltage limit voltage before triggering the battery low voltage limit fault</t>
  </si>
  <si>
    <t>Absorption duration</t>
  </si>
  <si>
    <t>The amount of time that the bulk-absoption voltage is applied to the battery before moving to the float stage</t>
  </si>
  <si>
    <t>Temperature compensation factor</t>
  </si>
  <si>
    <t>Used to adjust the charge voltage according to the measured temperature of the battery to ensure there is no damage to the battery</t>
  </si>
  <si>
    <t>etemphlim</t>
  </si>
  <si>
    <t>etempllim</t>
  </si>
  <si>
    <t>RVC DGN Solar Controller Configuration 5 (Status/Command) (130511/130510)</t>
  </si>
  <si>
    <t>External temperature sensor high temperature limit</t>
  </si>
  <si>
    <t>External temperature sensor low temperature limit</t>
  </si>
  <si>
    <t>rvcsolareq</t>
  </si>
  <si>
    <t>rem</t>
  </si>
  <si>
    <t>prechg</t>
  </si>
  <si>
    <t>last</t>
  </si>
  <si>
    <t>RVC DGN Solar Equalization Status (130735)</t>
  </si>
  <si>
    <t>0=Not in process;1=Preparing for eq.</t>
  </si>
  <si>
    <t>Pre-charging status</t>
  </si>
  <si>
    <t>Time since last equalization</t>
  </si>
  <si>
    <t>The number of days since the last equalization cycled was applied to the battery</t>
  </si>
  <si>
    <t>rvcsolareqcfg</t>
  </si>
  <si>
    <t>RVC DGN Solar Equalization Configuration (Status/Command) (130734/130733)</t>
  </si>
  <si>
    <t>The voltage used during an equalization maintenance cycle</t>
  </si>
  <si>
    <t>Equalization time</t>
  </si>
  <si>
    <t>The amount of time the equalization voltage will be applied to the battery</t>
  </si>
  <si>
    <t>Equalization interval (days)</t>
  </si>
  <si>
    <t>The frequency at which an equalizing charge will be applied to maintain the battery</t>
  </si>
  <si>
    <t>1b430000</t>
  </si>
  <si>
    <t>1b430001</t>
  </si>
  <si>
    <t>1b430002</t>
  </si>
  <si>
    <t>1b430003</t>
  </si>
  <si>
    <t>1b430004</t>
  </si>
  <si>
    <t>1b430005</t>
  </si>
  <si>
    <t>1b440000</t>
  </si>
  <si>
    <t>1b440001</t>
  </si>
  <si>
    <t>1b440002</t>
  </si>
  <si>
    <t>1b440003</t>
  </si>
  <si>
    <t>1b440004</t>
  </si>
  <si>
    <t>1b440005</t>
  </si>
  <si>
    <t>1b450000</t>
  </si>
  <si>
    <t>1b450001</t>
  </si>
  <si>
    <t>1b450002</t>
  </si>
  <si>
    <t>1b450003</t>
  </si>
  <si>
    <t>1b450004</t>
  </si>
  <si>
    <t>1b450005</t>
  </si>
  <si>
    <t>1b450006</t>
  </si>
  <si>
    <t>1b450007</t>
  </si>
  <si>
    <t>1b460000</t>
  </si>
  <si>
    <t>1b460001</t>
  </si>
  <si>
    <t>1b460002</t>
  </si>
  <si>
    <t>1b460003</t>
  </si>
  <si>
    <t>1b460004</t>
  </si>
  <si>
    <t>1b460005</t>
  </si>
  <si>
    <t>1b470000</t>
  </si>
  <si>
    <t>rvcsolareq0avl</t>
  </si>
  <si>
    <t>1b470001</t>
  </si>
  <si>
    <t>rvcsolareq0sync</t>
  </si>
  <si>
    <t>1b470002</t>
  </si>
  <si>
    <t>rvcsolareq0inst</t>
  </si>
  <si>
    <t>1b470003</t>
  </si>
  <si>
    <t>rvcsolareq0rem</t>
  </si>
  <si>
    <t>1b470004</t>
  </si>
  <si>
    <t>rvcsolareq0prechg</t>
  </si>
  <si>
    <t>1b470005</t>
  </si>
  <si>
    <t>rvcsolareq0last</t>
  </si>
  <si>
    <t>1b480000</t>
  </si>
  <si>
    <t>rvcsolareqcfg0avl</t>
  </si>
  <si>
    <t>1b480001</t>
  </si>
  <si>
    <t>rvcsolareqcfg0sync</t>
  </si>
  <si>
    <t>1b480002</t>
  </si>
  <si>
    <t>rvcsolareqcfg0inst</t>
  </si>
  <si>
    <t>1b480003</t>
  </si>
  <si>
    <t>rvcsolareqcfg0volt</t>
  </si>
  <si>
    <t>1b480004</t>
  </si>
  <si>
    <t>rvcsolareqcfg0time</t>
  </si>
  <si>
    <t>1b480005</t>
  </si>
  <si>
    <t>rvcsolareqcfg0int</t>
  </si>
  <si>
    <t>bt0clients</t>
  </si>
  <si>
    <t>clients</t>
  </si>
  <si>
    <t>Active BLE peripheral clients</t>
  </si>
  <si>
    <t>02030006</t>
  </si>
  <si>
    <t>rvcthtwo</t>
  </si>
  <si>
    <t>rvcthschedtwo</t>
  </si>
  <si>
    <t>rvcactwo</t>
  </si>
  <si>
    <t>rvcdimtwo</t>
  </si>
  <si>
    <t>rvcdimthr</t>
  </si>
  <si>
    <t>rvcrfantwo</t>
  </si>
  <si>
    <t>rvcdcsrctwo</t>
  </si>
  <si>
    <t>rvcdcsrcthr</t>
  </si>
  <si>
    <t>rvcdcsrcfour</t>
  </si>
  <si>
    <t>rvcdcsrcfive</t>
  </si>
  <si>
    <t>rvcdcsrcsix</t>
  </si>
  <si>
    <t>rvcdcsrcsev</t>
  </si>
  <si>
    <t>rvcdcsrceig</t>
  </si>
  <si>
    <t>rvcdcsrcnine</t>
  </si>
  <si>
    <t>rvcdcsrcten</t>
  </si>
  <si>
    <t>rvcdcsrcele</t>
  </si>
  <si>
    <t>rvcdcsrctwe</t>
  </si>
  <si>
    <t>rvcdcsrcthi</t>
  </si>
  <si>
    <t>rvcdcsrccfgtwo</t>
  </si>
  <si>
    <t>rvcdcsrccfgthr</t>
  </si>
  <si>
    <t>rvcbat</t>
  </si>
  <si>
    <t>rvcbattwo</t>
  </si>
  <si>
    <t>rvcbatthr</t>
  </si>
  <si>
    <t>rvcbatfour</t>
  </si>
  <si>
    <t>rvcbatsix</t>
  </si>
  <si>
    <t>rvcbatsev</t>
  </si>
  <si>
    <t>rvcbateig</t>
  </si>
  <si>
    <t>rvcbatnine</t>
  </si>
  <si>
    <t>rvcbatten</t>
  </si>
  <si>
    <t>rvcbatele</t>
  </si>
  <si>
    <t>rvcbattwe</t>
  </si>
  <si>
    <t>rvcbatthi</t>
  </si>
  <si>
    <t>rvcbatcmd</t>
  </si>
  <si>
    <t>rvcbatsum</t>
  </si>
  <si>
    <t>rvcbatcell</t>
  </si>
  <si>
    <t>rvcsolartwo</t>
  </si>
  <si>
    <t>rvcsolarthr</t>
  </si>
  <si>
    <t>rvcsolarfour</t>
  </si>
  <si>
    <t>rvcsolarfive</t>
  </si>
  <si>
    <t>rvcsolarsix</t>
  </si>
  <si>
    <t>rvcsolarbat</t>
  </si>
  <si>
    <t>rvcsolarcfgtwo</t>
  </si>
  <si>
    <t>rvcsolarcfgthr</t>
  </si>
  <si>
    <t>rvcsolarcfgfour</t>
  </si>
  <si>
    <t>rvcsolarcfgfive</t>
  </si>
  <si>
    <t>rvcthtwo0avl</t>
  </si>
  <si>
    <t>rvcthtwo0sync</t>
  </si>
  <si>
    <t>rvcthtwo0inst</t>
  </si>
  <si>
    <t>rvcthtwo0csinst</t>
  </si>
  <si>
    <t>rvcthtwo0nsinst</t>
  </si>
  <si>
    <t>rvcthtwo0noise</t>
  </si>
  <si>
    <t>rvcthschedtwo0avl</t>
  </si>
  <si>
    <t>rvcthschedtwo0sync</t>
  </si>
  <si>
    <t>rvcthschedtwo0inst</t>
  </si>
  <si>
    <t>rvcthschedtwo0sinst</t>
  </si>
  <si>
    <t>rvcthschedtwo0sun</t>
  </si>
  <si>
    <t>rvcthschedtwo0mon</t>
  </si>
  <si>
    <t>rvcthschedtwo0tue</t>
  </si>
  <si>
    <t>rvcthschedtwo0wed</t>
  </si>
  <si>
    <t>rvcthschedtwo0thu</t>
  </si>
  <si>
    <t>rvcthschedtwo0fri</t>
  </si>
  <si>
    <t>rvcthschedtwo0sat</t>
  </si>
  <si>
    <t>rvcactwo0avl</t>
  </si>
  <si>
    <t>rvcactwo0sync</t>
  </si>
  <si>
    <t>rvcactwo0inst</t>
  </si>
  <si>
    <t>rvcactwo0compstat</t>
  </si>
  <si>
    <t>rvcactwo0noise</t>
  </si>
  <si>
    <t>rvcactwo0exttemp</t>
  </si>
  <si>
    <t>rvcactwo0coiltemp</t>
  </si>
  <si>
    <t>rvcactwo0coiltemperr</t>
  </si>
  <si>
    <t>rvcactwo0coilfreeze</t>
  </si>
  <si>
    <t>rvcactwo0exttemperr</t>
  </si>
  <si>
    <t>rvcactwo0defrost</t>
  </si>
  <si>
    <t>rvcdimtwo0avl</t>
  </si>
  <si>
    <t>rvcdimtwo0sync</t>
  </si>
  <si>
    <t>rvcdimtwo0inst</t>
  </si>
  <si>
    <t>rvcdimtwo0mcurr</t>
  </si>
  <si>
    <t>rvcdimtwo0rcurr</t>
  </si>
  <si>
    <t>rvcdimtwo0gcurr</t>
  </si>
  <si>
    <t>rvcdimtwo0bcurr</t>
  </si>
  <si>
    <t>rvcdimtwo0wcurr</t>
  </si>
  <si>
    <t>rvcdimtwo0mfault</t>
  </si>
  <si>
    <t>rvcdimtwo0rfault</t>
  </si>
  <si>
    <t>rvcdimtwo0gfault</t>
  </si>
  <si>
    <t>rvcdimtwo0bfault</t>
  </si>
  <si>
    <t>rvcdimtwo0wfault</t>
  </si>
  <si>
    <t>rvcdimtwo0group</t>
  </si>
  <si>
    <t>rvcdimtwo0lvlbs</t>
  </si>
  <si>
    <t>rvcdimtwo0cmd</t>
  </si>
  <si>
    <t>rvcdimtwo0del_dur</t>
  </si>
  <si>
    <t>rvcdimtwo0ilock</t>
  </si>
  <si>
    <t>rvcdimtwo0rtime</t>
  </si>
  <si>
    <t>rvcdimthr0avl</t>
  </si>
  <si>
    <t>rvcdimthr0sync</t>
  </si>
  <si>
    <t>rvcdimthr0inst</t>
  </si>
  <si>
    <t>rvcdimthr0group</t>
  </si>
  <si>
    <t>rvcdimthr0lvlbs</t>
  </si>
  <si>
    <t>rvcdimthr0lock</t>
  </si>
  <si>
    <t>rvcdimthr0ocurr</t>
  </si>
  <si>
    <t>rvcdimthr0oride</t>
  </si>
  <si>
    <t>rvcdimthr0en</t>
  </si>
  <si>
    <t>rvcdimthr0del_dur</t>
  </si>
  <si>
    <t>rvcdimthr0lcmd</t>
  </si>
  <si>
    <t>rvcdimthr0ilock</t>
  </si>
  <si>
    <t>rvcdimthr0load</t>
  </si>
  <si>
    <t>rvcdimthr0ucurr</t>
  </si>
  <si>
    <t>rvcdimthr0mem</t>
  </si>
  <si>
    <t>rvcrfantwo0avl</t>
  </si>
  <si>
    <t>rvcrfantwo0sync</t>
  </si>
  <si>
    <t>rvcrfantwo0inst</t>
  </si>
  <si>
    <t>rvcrfantwo0dmode</t>
  </si>
  <si>
    <t>rvcrfantwo0dpos</t>
  </si>
  <si>
    <t>rvcrfantwo0rainsns</t>
  </si>
  <si>
    <t>rvcrfantwo0rainsnsov</t>
  </si>
  <si>
    <t>rvcrfantwo0dstate</t>
  </si>
  <si>
    <t>rvcrfantwo0dcfoff</t>
  </si>
  <si>
    <t>rvcrfantwo0foffdc</t>
  </si>
  <si>
    <t>rvcrfantwo0fspdst</t>
  </si>
  <si>
    <t>rvcrfantwo0fspdstset</t>
  </si>
  <si>
    <t>rvcdcsrctwo0avl</t>
  </si>
  <si>
    <t>rvcdcsrctwo0sync</t>
  </si>
  <si>
    <t>rvcdcsrctwo0inst</t>
  </si>
  <si>
    <t>rvcdcsrctwo0prio</t>
  </si>
  <si>
    <t>rvcdcsrctwo0stemp</t>
  </si>
  <si>
    <t>rvcdcsrctwo0soc</t>
  </si>
  <si>
    <t>rvcdcsrctwo0timerem</t>
  </si>
  <si>
    <t>rvcdcsrctwo0timeremtype</t>
  </si>
  <si>
    <t>rvcdcsrcthr0avl</t>
  </si>
  <si>
    <t>rvcdcsrcthr0sync</t>
  </si>
  <si>
    <t>rvcdcsrcthr0inst</t>
  </si>
  <si>
    <t>rvcdcsrcthr0prio</t>
  </si>
  <si>
    <t>rvcdcsrcthr0soh</t>
  </si>
  <si>
    <t>rvcdcsrcthr0cap</t>
  </si>
  <si>
    <t>rvcdcsrcthr0relcap</t>
  </si>
  <si>
    <t>rvcdcsrcthr0ripple</t>
  </si>
  <si>
    <t>rvcdcsrcfour0avl</t>
  </si>
  <si>
    <t>rvcdcsrcfour0sync</t>
  </si>
  <si>
    <t>rvcdcsrcfour0inst</t>
  </si>
  <si>
    <t>rvcdcsrcfour0prio</t>
  </si>
  <si>
    <t>rvcdcsrcfour0chgst</t>
  </si>
  <si>
    <t>rvcdcsrcfour0volt</t>
  </si>
  <si>
    <t>rvcdcsrcfour0curr</t>
  </si>
  <si>
    <t>rvcdcsrcfour0type</t>
  </si>
  <si>
    <t>rvcdcsrcfive0avl</t>
  </si>
  <si>
    <t>rvcdcsrcfive0sync</t>
  </si>
  <si>
    <t>rvcdcsrcfive0inst</t>
  </si>
  <si>
    <t>rvcdcsrcfive0prio</t>
  </si>
  <si>
    <t>rvcdcsrcfive0volt</t>
  </si>
  <si>
    <t>rvcdcsrcsix0avl</t>
  </si>
  <si>
    <t>rvcdcsrcsix0sync</t>
  </si>
  <si>
    <t>rvcdcsrcsix0inst</t>
  </si>
  <si>
    <t>rvcdcsrcsix0prio</t>
  </si>
  <si>
    <t>rvcdcsrcsix0hvlim</t>
  </si>
  <si>
    <t>rvcdcsrcsix0hvdis</t>
  </si>
  <si>
    <t>rvcdcsrcsix0lvlim</t>
  </si>
  <si>
    <t>rvcdcsrcsix0lvdis</t>
  </si>
  <si>
    <t>rvcdcsrcsix0lsoclim</t>
  </si>
  <si>
    <t>rvcdcsrcsix0lsocdis</t>
  </si>
  <si>
    <t>rvcdcsrcsix0ldctemplim</t>
  </si>
  <si>
    <t>rvcdcsrcsix0ldctempdis</t>
  </si>
  <si>
    <t>rvcdcsrcsix0hdctemplim</t>
  </si>
  <si>
    <t>rvcdcsrcsix0hdctempdis</t>
  </si>
  <si>
    <t>rvcdcsrcsev0avl</t>
  </si>
  <si>
    <t>rvcdcsrcsev0sync</t>
  </si>
  <si>
    <t>rvcdcsrcsev0inst</t>
  </si>
  <si>
    <t>rvcdcsrcsev0prio</t>
  </si>
  <si>
    <t>rvcdcsrcsev0input</t>
  </si>
  <si>
    <t>rvcdcsrcsev0output</t>
  </si>
  <si>
    <t>rvcdcsrceig0avl</t>
  </si>
  <si>
    <t>rvcdcsrceig0sync</t>
  </si>
  <si>
    <t>rvcdcsrceig0inst</t>
  </si>
  <si>
    <t>rvcdcsrceig0prio</t>
  </si>
  <si>
    <t>rvcdcsrceig0input</t>
  </si>
  <si>
    <t>rvcdcsrceig0output</t>
  </si>
  <si>
    <t>rvcdcsrcnine0avl</t>
  </si>
  <si>
    <t>rvcdcsrcnine0sync</t>
  </si>
  <si>
    <t>rvcdcsrcnine0inst</t>
  </si>
  <si>
    <t>rvcdcsrcnine0prio</t>
  </si>
  <si>
    <t>rvcdcsrcnine0input</t>
  </si>
  <si>
    <t>rvcdcsrcnine0output</t>
  </si>
  <si>
    <t>rvcdcsrcten0avl</t>
  </si>
  <si>
    <t>rvcdcsrcten0sync</t>
  </si>
  <si>
    <t>rvcdcsrcten0inst</t>
  </si>
  <si>
    <t>rvcdcsrcten0prio</t>
  </si>
  <si>
    <t>rvcdcsrcten0input</t>
  </si>
  <si>
    <t>rvcdcsrcten0output</t>
  </si>
  <si>
    <t>rvcdcsrcele0avl</t>
  </si>
  <si>
    <t>rvcdcsrcele0sync</t>
  </si>
  <si>
    <t>rvcdcsrcele0inst</t>
  </si>
  <si>
    <t>rvcdcsrcele0prio</t>
  </si>
  <si>
    <t>rvcdcsrcele0dischgst</t>
  </si>
  <si>
    <t>rvcdcsrcele0chgst</t>
  </si>
  <si>
    <t>rvcdcsrcele0chgdet</t>
  </si>
  <si>
    <t>rvcdcsrcele0resst</t>
  </si>
  <si>
    <t>rvcdcsrcele0capacity</t>
  </si>
  <si>
    <t>rvcdcsrcele0power</t>
  </si>
  <si>
    <t>rvcdcsrctwe0avl</t>
  </si>
  <si>
    <t>rvcdcsrctwe0sync</t>
  </si>
  <si>
    <t>rvcdcsrctwe0inst</t>
  </si>
  <si>
    <t>rvcdcsrctwe0prio</t>
  </si>
  <si>
    <t>rvcdcsrctwe0cycles</t>
  </si>
  <si>
    <t>rvcdcsrctwe0deep</t>
  </si>
  <si>
    <t>rvcdcsrctwe0average</t>
  </si>
  <si>
    <t>rvcdcsrcthi0avl</t>
  </si>
  <si>
    <t>rvcdcsrcthi0sync</t>
  </si>
  <si>
    <t>rvcdcsrcthi0inst</t>
  </si>
  <si>
    <t>rvcdcsrcthi0prio</t>
  </si>
  <si>
    <t>rvcdcsrcthi0lowvolt</t>
  </si>
  <si>
    <t>rvcdcsrcthi0highvolt</t>
  </si>
  <si>
    <t>rvcdcsrccfgtwo0avl</t>
  </si>
  <si>
    <t>rvcdcsrccfgtwo0sync</t>
  </si>
  <si>
    <t>rvcdcsrccfgtwo0inst</t>
  </si>
  <si>
    <t>rvcdcsrccfgtwo0clrhist</t>
  </si>
  <si>
    <t>rvcdcsrccfgtwo0setcap</t>
  </si>
  <si>
    <t>rvcdcsrccfgtwo0chgvolt</t>
  </si>
  <si>
    <t>rvcdcsrccfgtwo0shtvolt</t>
  </si>
  <si>
    <t>rvcdcsrccfgtwo0shtcurr</t>
  </si>
  <si>
    <t>rvcdcsrccfgthr0avl</t>
  </si>
  <si>
    <t>rvcdcsrccfgthr0sync</t>
  </si>
  <si>
    <t>rvcdcsrccfgthr0inst</t>
  </si>
  <si>
    <t>rvcdcsrccfgthr0dsa</t>
  </si>
  <si>
    <t>rvcdcsrccfgthr0func</t>
  </si>
  <si>
    <t>rvcdcsrccfgthr0prim</t>
  </si>
  <si>
    <t>rvcdcsrccfgthr0sec</t>
  </si>
  <si>
    <t>rvcbat0avl</t>
  </si>
  <si>
    <t>rvcbat0sync</t>
  </si>
  <si>
    <t>rvcbat0inst</t>
  </si>
  <si>
    <t>rvcbat0dc</t>
  </si>
  <si>
    <t>rvcbat0volt</t>
  </si>
  <si>
    <t>rvcbat0curr</t>
  </si>
  <si>
    <t>rvcbattwo0avl</t>
  </si>
  <si>
    <t>rvcbattwo0sync</t>
  </si>
  <si>
    <t>rvcbattwo0inst</t>
  </si>
  <si>
    <t>rvcbattwo0dc</t>
  </si>
  <si>
    <t>rvcbattwo0temp</t>
  </si>
  <si>
    <t>rvcbattwo0soc</t>
  </si>
  <si>
    <t>rvcbattwo0time</t>
  </si>
  <si>
    <t>rvcbattwo0timests</t>
  </si>
  <si>
    <t>rvcbatthr0avl</t>
  </si>
  <si>
    <t>rvcbatthr0sync</t>
  </si>
  <si>
    <t>rvcbatthr0inst</t>
  </si>
  <si>
    <t>rvcbatthr0dc</t>
  </si>
  <si>
    <t>rvcbatthr0soh</t>
  </si>
  <si>
    <t>rvcbatthr0cap</t>
  </si>
  <si>
    <t>rvcbatthr0caprel</t>
  </si>
  <si>
    <t>rvcbatthr0ripple</t>
  </si>
  <si>
    <t>rvcbatfour0avl</t>
  </si>
  <si>
    <t>rvcbatfour0sync</t>
  </si>
  <si>
    <t>rvcbatfour0inst</t>
  </si>
  <si>
    <t>rvcbatfour0dc</t>
  </si>
  <si>
    <t>rvcbatfour0chgst</t>
  </si>
  <si>
    <t>rvcbatfour0volt</t>
  </si>
  <si>
    <t>rvcbatfour0curr</t>
  </si>
  <si>
    <t>rvcbatfour0type</t>
  </si>
  <si>
    <t>rvcbatsix0avl</t>
  </si>
  <si>
    <t>rvcbatsix0sync</t>
  </si>
  <si>
    <t>rvcbatsix0inst</t>
  </si>
  <si>
    <t>rvcbatsix0dc</t>
  </si>
  <si>
    <t>rvcbatsix0hvlim</t>
  </si>
  <si>
    <t>rvcbatsix0hvdis</t>
  </si>
  <si>
    <t>rvcbatsix0lvlim</t>
  </si>
  <si>
    <t>rvcbatsix0lvdis</t>
  </si>
  <si>
    <t>rvcbatsix0lsoclim</t>
  </si>
  <si>
    <t>rvcbatsix0lsocdis</t>
  </si>
  <si>
    <t>rvcbatsix0ldctemplim</t>
  </si>
  <si>
    <t>rvcbatsix0ldctempdis</t>
  </si>
  <si>
    <t>rvcbatsix0hdctemplim</t>
  </si>
  <si>
    <t>rvcbatsix0hdctempdis</t>
  </si>
  <si>
    <t>rvcbatsix0hcurrlim</t>
  </si>
  <si>
    <t>rvcbatsix0hcurrdis</t>
  </si>
  <si>
    <t>rvcbatsev0avl</t>
  </si>
  <si>
    <t>rvcbatsev0sync</t>
  </si>
  <si>
    <t>rvcbatsev0inst</t>
  </si>
  <si>
    <t>rvcbatsev0dc</t>
  </si>
  <si>
    <t>rvcbatsev0input</t>
  </si>
  <si>
    <t>rvcbatsev0output</t>
  </si>
  <si>
    <t>rvcbateig0avl</t>
  </si>
  <si>
    <t>rvcbateig0sync</t>
  </si>
  <si>
    <t>rvcbateig0inst</t>
  </si>
  <si>
    <t>rvcbateig0dc</t>
  </si>
  <si>
    <t>rvcbateig0input</t>
  </si>
  <si>
    <t>rvcbateig0output</t>
  </si>
  <si>
    <t>rvcbatnine0avl</t>
  </si>
  <si>
    <t>rvcbatnine0sync</t>
  </si>
  <si>
    <t>rvcbatnine0inst</t>
  </si>
  <si>
    <t>rvcbatnine0dc</t>
  </si>
  <si>
    <t>rvcbatnine0input</t>
  </si>
  <si>
    <t>rvcbatnine0output</t>
  </si>
  <si>
    <t>rvcbatten0avl</t>
  </si>
  <si>
    <t>rvcbatten0sync</t>
  </si>
  <si>
    <t>rvcbatten0inst</t>
  </si>
  <si>
    <t>rvcbatten0dc</t>
  </si>
  <si>
    <t>rvcbatten0input</t>
  </si>
  <si>
    <t>rvcbatten0output</t>
  </si>
  <si>
    <t>rvcbatele0avl</t>
  </si>
  <si>
    <t>rvcbatele0sync</t>
  </si>
  <si>
    <t>rvcbatele0inst</t>
  </si>
  <si>
    <t>rvcbatele0dc</t>
  </si>
  <si>
    <t>rvcbatele0dischgst</t>
  </si>
  <si>
    <t>rvcbatele0chgst</t>
  </si>
  <si>
    <t>rvcbatele0chgdet</t>
  </si>
  <si>
    <t>rvcbatele0resst</t>
  </si>
  <si>
    <t>rvcbatele0capacity</t>
  </si>
  <si>
    <t>rvcbatele0power</t>
  </si>
  <si>
    <t>rvcbattwe0avl</t>
  </si>
  <si>
    <t>rvcbattwe0sync</t>
  </si>
  <si>
    <t>rvcbattwe0inst</t>
  </si>
  <si>
    <t>rvcbattwe0dc</t>
  </si>
  <si>
    <t>rvcbattwe0cycles</t>
  </si>
  <si>
    <t>rvcbattwe0deep</t>
  </si>
  <si>
    <t>rvcbattwe0average</t>
  </si>
  <si>
    <t>rvcbatthi0avl</t>
  </si>
  <si>
    <t>rvcbatthi0sync</t>
  </si>
  <si>
    <t>rvcbatthi0inst</t>
  </si>
  <si>
    <t>rvcbatthi0dc</t>
  </si>
  <si>
    <t>rvcbatthi0lowvolt</t>
  </si>
  <si>
    <t>rvcbatthi0highvolt</t>
  </si>
  <si>
    <t>rvcbatcmd0avl</t>
  </si>
  <si>
    <t>rvcbatcmd0sync</t>
  </si>
  <si>
    <t>rvcbatcmd0inst</t>
  </si>
  <si>
    <t>rvcbatcmd0dc</t>
  </si>
  <si>
    <t>rvcbatcmd0loadst</t>
  </si>
  <si>
    <t>rvcbatcmd0chgst</t>
  </si>
  <si>
    <t>rvcbatcmd0hist</t>
  </si>
  <si>
    <t>rvcbatcmd0details</t>
  </si>
  <si>
    <t>rvcbatsum0avl</t>
  </si>
  <si>
    <t>rvcbatsum0sync</t>
  </si>
  <si>
    <t>rvcbatsum0inst</t>
  </si>
  <si>
    <t>rvcbatsum0dc</t>
  </si>
  <si>
    <t>rvcbatsum0series</t>
  </si>
  <si>
    <t>rvcbatsum0modcnt</t>
  </si>
  <si>
    <t>rvcbatsum0cells</t>
  </si>
  <si>
    <t>rvcbatsum0voltsts</t>
  </si>
  <si>
    <t>rvcbatsum0tempsts</t>
  </si>
  <si>
    <t>rvcbatcell0avl</t>
  </si>
  <si>
    <t>rvcbatcell0sync</t>
  </si>
  <si>
    <t>rvcbatcell0inst</t>
  </si>
  <si>
    <t>rvcbatcell0mod</t>
  </si>
  <si>
    <t>rvcbatcell0cell</t>
  </si>
  <si>
    <t>rvcbatcell0voltsts</t>
  </si>
  <si>
    <t>rvcbatcell0tempsts</t>
  </si>
  <si>
    <t>rvcbatcell0bal</t>
  </si>
  <si>
    <t>rvcbatcell0volt</t>
  </si>
  <si>
    <t>rvcbatcell0temp</t>
  </si>
  <si>
    <t>rvcsolartwo0avl</t>
  </si>
  <si>
    <t>rvcsolartwo0sync</t>
  </si>
  <si>
    <t>rvcsolartwo0inst</t>
  </si>
  <si>
    <t>rvcsolartwo0volt</t>
  </si>
  <si>
    <t>rvcsolartwo0curr</t>
  </si>
  <si>
    <t>rvcsolarthr0avl</t>
  </si>
  <si>
    <t>rvcsolarthr0sync</t>
  </si>
  <si>
    <t>rvcsolarthr0inst</t>
  </si>
  <si>
    <t>rvcsolarthr0volt</t>
  </si>
  <si>
    <t>rvcsolarthr0curr</t>
  </si>
  <si>
    <t>rvcsolarthr0opow</t>
  </si>
  <si>
    <t>rvcsolarfour0avl</t>
  </si>
  <si>
    <t>rvcsolarfour0sync</t>
  </si>
  <si>
    <t>rvcsolarfour0inst</t>
  </si>
  <si>
    <t>rvcsolarfour0today</t>
  </si>
  <si>
    <t>rvcsolarfour0yesterday</t>
  </si>
  <si>
    <t>rvcsolarfour0yesterday2</t>
  </si>
  <si>
    <t>rvcsolarfive0avl</t>
  </si>
  <si>
    <t>rvcsolarfive0sync</t>
  </si>
  <si>
    <t>rvcsolarfive0inst</t>
  </si>
  <si>
    <t>rvcsolarfive0days7</t>
  </si>
  <si>
    <t>rvcsolarfive0power</t>
  </si>
  <si>
    <t>rvcsolarsix0avl</t>
  </si>
  <si>
    <t>rvcsolarsix0sync</t>
  </si>
  <si>
    <t>rvcsolarsix0inst</t>
  </si>
  <si>
    <t>rvcsolarsix0days</t>
  </si>
  <si>
    <t>rvcsolarsix0temp</t>
  </si>
  <si>
    <t>rvcsolarbat0avl</t>
  </si>
  <si>
    <t>rvcsolarbat0sync</t>
  </si>
  <si>
    <t>rvcsolarbat0inst</t>
  </si>
  <si>
    <t>rvcsolarbat0dc</t>
  </si>
  <si>
    <t>rvcsolarbat0prio</t>
  </si>
  <si>
    <t>rvcsolarbat0volt</t>
  </si>
  <si>
    <t>rvcsolarbat0curr</t>
  </si>
  <si>
    <t>rvcsolarbat0temp</t>
  </si>
  <si>
    <t>rvcsolarcfgtwo0avl</t>
  </si>
  <si>
    <t>rvcsolarcfgtwo0sync</t>
  </si>
  <si>
    <t>rvcsolarcfgtwo0inst</t>
  </si>
  <si>
    <t>rvcsolarcfgtwo0bvolt</t>
  </si>
  <si>
    <t>rvcsolarcfgtwo0fvolt</t>
  </si>
  <si>
    <t>rvcsolarcfgtwo0cvolt</t>
  </si>
  <si>
    <t>rvcsolarcfgthr0avl</t>
  </si>
  <si>
    <t>rvcsolarcfgthr0sync</t>
  </si>
  <si>
    <t>rvcsolarcfgthr0inst</t>
  </si>
  <si>
    <t>rvcsolarcfgthr0uvwlim</t>
  </si>
  <si>
    <t>rvcsolarcfgthr0hvlim</t>
  </si>
  <si>
    <t>rvcsolarcfgthr0lvlim</t>
  </si>
  <si>
    <t>rvcsolarcfgfour0avl</t>
  </si>
  <si>
    <t>rvcsolarcfgfour0sync</t>
  </si>
  <si>
    <t>rvcsolarcfgfour0inst</t>
  </si>
  <si>
    <t>rvcsolarcfgfour0hvlimr</t>
  </si>
  <si>
    <t>rvcsolarcfgfour0lvlimr</t>
  </si>
  <si>
    <t>rvcsolarcfgfour0lvlimd</t>
  </si>
  <si>
    <t>rvcsolarcfgfour0dur</t>
  </si>
  <si>
    <t>rvcsolarcfgfour0factor</t>
  </si>
  <si>
    <t>rvcsolarcfgfive0avl</t>
  </si>
  <si>
    <t>rvcsolarcfgfive0sync</t>
  </si>
  <si>
    <t>rvcsolarcfgfive0inst</t>
  </si>
  <si>
    <t>rvcsolarcfgfive0prio</t>
  </si>
  <si>
    <t>rvcsolarcfgfive0etemphlim</t>
  </si>
  <si>
    <t>rvcsolarcfgfive0etempllim</t>
  </si>
  <si>
    <t>fspdstsup</t>
  </si>
  <si>
    <t>Fan Speed Step Increment/Decrement</t>
  </si>
  <si>
    <t>0 - Decrement, 1 - Increment</t>
  </si>
  <si>
    <t>0=Decrement;1=Increment</t>
  </si>
  <si>
    <t>rvcrfantwo0fspdstsup</t>
  </si>
  <si>
    <t>1b10000c</t>
  </si>
  <si>
    <t>parameter</t>
  </si>
  <si>
    <t>class</t>
  </si>
  <si>
    <t>uint32_t</t>
  </si>
  <si>
    <t>DDM2_TYPE_UINT32_T</t>
  </si>
  <si>
    <t>DDM2_UNIT_PARAMETER</t>
  </si>
  <si>
    <t>DDM2_UNIT_INSTANCE</t>
  </si>
  <si>
    <t>DDM2_UNIT_CLASS</t>
  </si>
  <si>
    <t>struct</t>
  </si>
  <si>
    <t>DDM2_TYPE_STRUCT</t>
  </si>
  <si>
    <t>bt0scan_t</t>
  </si>
  <si>
    <t>Struct</t>
  </si>
  <si>
    <t>Definition</t>
  </si>
  <si>
    <t>Struct type definition</t>
  </si>
  <si>
    <t>JSON Schema</t>
  </si>
  <si>
    <t>gw0inv_t</t>
  </si>
  <si>
    <t>rvcmgnt0rawrx_t</t>
  </si>
  <si>
    <t>Received DGN frame</t>
  </si>
  <si>
    <t>error_t</t>
  </si>
  <si>
    <t>wifi0scan_t</t>
  </si>
  <si>
    <t>error</t>
  </si>
  <si>
    <t>DDM2_UNIT_ERROR</t>
  </si>
  <si>
    <t>Dometic=0x0845</t>
  </si>
  <si>
    <t>hmi</t>
  </si>
  <si>
    <t>hmi0avl</t>
  </si>
  <si>
    <t>HMI Generic</t>
  </si>
  <si>
    <t>17030000</t>
  </si>
  <si>
    <t>hmi0ver</t>
  </si>
  <si>
    <t>Version of HMI data</t>
  </si>
  <si>
    <t>hmi0tempunit</t>
  </si>
  <si>
    <t>Presented temperature unit (metric/imperial)</t>
  </si>
  <si>
    <t>C(metric)=0</t>
  </si>
  <si>
    <t>F(imperial)=1</t>
  </si>
  <si>
    <t>17030001</t>
  </si>
  <si>
    <t>17030002</t>
  </si>
  <si>
    <t>hmi0backlight</t>
  </si>
  <si>
    <t>Backlight control [0-100]</t>
  </si>
  <si>
    <t>hmi0sound</t>
  </si>
  <si>
    <t>Enabling/disabling of sound</t>
  </si>
  <si>
    <t>hmi0timeformat</t>
  </si>
  <si>
    <t>Display time format</t>
  </si>
  <si>
    <t>backlight</t>
  </si>
  <si>
    <t>sound</t>
  </si>
  <si>
    <t>timeformat</t>
  </si>
  <si>
    <t>BeepOn=1</t>
  </si>
  <si>
    <t>ClickOn=2</t>
  </si>
  <si>
    <t>12h=0</t>
  </si>
  <si>
    <t>24h=1</t>
  </si>
  <si>
    <t>17030003</t>
  </si>
  <si>
    <t>17030004</t>
  </si>
  <si>
    <t>17030005</t>
  </si>
  <si>
    <t>inventory</t>
  </si>
  <si>
    <t>DDM2_UNIT_INVENTORY</t>
  </si>
  <si>
    <t>{"inventory":["x32",0,"inventory"]}</t>
  </si>
  <si>
    <t>{"error":["x16",0,"error"]}</t>
  </si>
  <si>
    <t>Send and publish an event to HMI-module</t>
  </si>
  <si>
    <t>{ uint32:id, uint8_t: data[data_size] }</t>
  </si>
  <si>
    <t>17030006</t>
  </si>
  <si>
    <t>hmi0event</t>
  </si>
  <si>
    <t>vardata</t>
  </si>
  <si>
    <t>Request varstate value</t>
  </si>
  <si>
    <t>17030007</t>
  </si>
  <si>
    <t>hmi0vardata</t>
  </si>
  <si>
    <t>__mobilecooling</t>
  </si>
  <si>
    <t>mccc</t>
  </si>
  <si>
    <t>nocpt</t>
  </si>
  <si>
    <t>Number of compartments</t>
  </si>
  <si>
    <t>Set by owner of class and will determine the length of other parameters, min 1</t>
  </si>
  <si>
    <t>cpow</t>
  </si>
  <si>
    <t>C(x)_POWER</t>
  </si>
  <si>
    <t>Compartment(s) turned on/off (int32(bool)*nocpt)</t>
  </si>
  <si>
    <t>ctemp</t>
  </si>
  <si>
    <t>C(x)_MEASURED_TEMPERATURE</t>
  </si>
  <si>
    <t>Measured temperature (int32(^C)*nocpt)</t>
  </si>
  <si>
    <t>csettemp</t>
  </si>
  <si>
    <t>C(x)_SET_TEMPERATURE</t>
  </si>
  <si>
    <t>Set temperature (int32(^C)*nocpt)</t>
  </si>
  <si>
    <t>cdoor</t>
  </si>
  <si>
    <t>C(x)_DOOR_OPEN</t>
  </si>
  <si>
    <t>ctemprng</t>
  </si>
  <si>
    <t>C(x)_TEMPERATURE_RANGE</t>
  </si>
  <si>
    <t>Min + Max settable temperature on compartment ((int32_t(^C)*2)*nocpt)</t>
  </si>
  <si>
    <t>crecdrng</t>
  </si>
  <si>
    <t>C(x)_RECOMMENDED_RANGE</t>
  </si>
  <si>
    <t>Min + Max recommended temperature on compartment ((int32_t(^C)*2)*nocpt)</t>
  </si>
  <si>
    <t>ctempofs</t>
  </si>
  <si>
    <t>C(x)_TEMPERATURE_OFFSET</t>
  </si>
  <si>
    <t>Set temperature calibration (int32(^C)*nocpt)</t>
  </si>
  <si>
    <t>Error and alert status</t>
  </si>
  <si>
    <t>See Errorcodes: 
Errors - Used codes:
MC_NTC_OPEN_CIRCUIT_ERROR, MC_NTC_SHORT_CIRCUIT_ERROR, NC_NTC1_OPEN_CIRCUIT_ERROR, MC_NTC1_SHORT_CIRCUIT_ERROR, GENERIC_SOLENOID_VALVE_ERROR, MC_COMPRESSOR_START_FAIL_ERROR, MC_COMPRESSOR_SPEED_LOW_ERROR, MC_CONTROLLER_OVER_TEMPERATURE_ERROR, MC_COMPRESSOR_FAN_OVER_CURRENT_ERROR
Alerts - Used codes:
GENERIC_DOOR_OPENED_ERROR,GENERIC_DC_UNDER_VOLTAGE_ERROR,GENERIC_TEMPERATURE_OUT_OF_RANGE_ERROR</t>
  </si>
  <si>
    <t>Sku number of compressor controller board</t>
  </si>
  <si>
    <t>SKU of separate compressor controller board, if exists</t>
  </si>
  <si>
    <t>Serial number of separate compressor controller board, if exists</t>
  </si>
  <si>
    <t>Firmware version of separate CC device, if exists</t>
  </si>
  <si>
    <t>mccc0avl</t>
  </si>
  <si>
    <t>mccc0ptype</t>
  </si>
  <si>
    <t>mccc0nocpt</t>
  </si>
  <si>
    <t>mccc0cpow</t>
  </si>
  <si>
    <t>mccc0ctemp</t>
  </si>
  <si>
    <t>mccc0csettemp</t>
  </si>
  <si>
    <t>mccc0acpt</t>
  </si>
  <si>
    <t>mccc0cdoor</t>
  </si>
  <si>
    <t>mccc0ctemprng</t>
  </si>
  <si>
    <t>mccc0crecdrng</t>
  </si>
  <si>
    <t>mccc0ctempofs</t>
  </si>
  <si>
    <t>mccc0coolerpow</t>
  </si>
  <si>
    <t>mccc0v</t>
  </si>
  <si>
    <t>mccc0batprotlvl</t>
  </si>
  <si>
    <t>mccc0comppow</t>
  </si>
  <si>
    <t>mccc0i</t>
  </si>
  <si>
    <t>mccc0powsrc</t>
  </si>
  <si>
    <t>mccc0icepow</t>
  </si>
  <si>
    <t>mccc0errst</t>
  </si>
  <si>
    <t>mccc0sn</t>
  </si>
  <si>
    <t>mccc0sku</t>
  </si>
  <si>
    <t>mccc0fwver</t>
  </si>
  <si>
    <t>Mobile Cooling Compressor controller</t>
  </si>
  <si>
    <t>__product_info</t>
  </si>
  <si>
    <t>prod</t>
  </si>
  <si>
    <t>prod0avl</t>
  </si>
  <si>
    <t>Product information</t>
  </si>
  <si>
    <t>Instance 0 will always refer to DICM</t>
  </si>
  <si>
    <t>prod0name</t>
  </si>
  <si>
    <t>prod0sn</t>
  </si>
  <si>
    <t>prod0sku</t>
  </si>
  <si>
    <t>prod0pnc</t>
  </si>
  <si>
    <t>prod0mdl</t>
  </si>
  <si>
    <t>String representation of the product</t>
  </si>
  <si>
    <t>ean</t>
  </si>
  <si>
    <t>prod0ean</t>
  </si>
  <si>
    <t>description</t>
  </si>
  <si>
    <t>prod0description</t>
  </si>
  <si>
    <t>Descriptive text</t>
  </si>
  <si>
    <t>I.e. (Dometic Interact Rotary Controller / Premium Thermostat 1.5")</t>
  </si>
  <si>
    <t>1c000000</t>
  </si>
  <si>
    <t>1c000001</t>
  </si>
  <si>
    <t>1c000002</t>
  </si>
  <si>
    <t>1c000003</t>
  </si>
  <si>
    <t>1c000004</t>
  </si>
  <si>
    <t>1c000005</t>
  </si>
  <si>
    <t>1c000006</t>
  </si>
  <si>
    <t>1c000007</t>
  </si>
  <si>
    <t>temparr_t</t>
  </si>
  <si>
    <t>temprange_t</t>
  </si>
  <si>
    <t>hmi0event_t</t>
  </si>
  <si>
    <t>{"id":["x32",1],"data":["u8",0]}</t>
  </si>
  <si>
    <t>{"$schema":"https://json-schema.org/draft/2019-09/schema","title":"DDM2 struct definition schema","type":"object","patternProperties":{"^.*$":{"anyOf":[{"$ref":"#"},{"type":"array","minItems":1,"maxItems":4,"items":[{"anyOf":[{"$ref":"#"},{"enum":["u8","u16","u32","i64","i8","i16","i32","i64","x8","x16","x32","x64","ix8","ix16","ix32","ix64","s"]}]},{"type":"integer","minimum":0},{"type":"string"},{"type":"string"}]}]}},"additionalProperties":false}</t>
  </si>
  <si>
    <t>__event</t>
  </si>
  <si>
    <t>evm</t>
  </si>
  <si>
    <t>Event manager</t>
  </si>
  <si>
    <t>ack</t>
  </si>
  <si>
    <t>nack</t>
  </si>
  <si>
    <t>record</t>
  </si>
  <si>
    <t>rec</t>
  </si>
  <si>
    <t>trig</t>
  </si>
  <si>
    <t>Last event occured</t>
  </si>
  <si>
    <t>Event acknowledgement</t>
  </si>
  <si>
    <t>Number of events to acknowledge</t>
  </si>
  <si>
    <t>Read event record</t>
  </si>
  <si>
    <t>event JSON</t>
  </si>
  <si>
    <t>Generate event</t>
  </si>
  <si>
    <t>evn</t>
  </si>
  <si>
    <t>Event notification</t>
  </si>
  <si>
    <t>1d000000</t>
  </si>
  <si>
    <t>evm0avl</t>
  </si>
  <si>
    <t>1d000001</t>
  </si>
  <si>
    <t>evm0id</t>
  </si>
  <si>
    <t>1d000002</t>
  </si>
  <si>
    <t>evm0ack</t>
  </si>
  <si>
    <t>1d000003</t>
  </si>
  <si>
    <t>evm0cmd</t>
  </si>
  <si>
    <t>1d000004</t>
  </si>
  <si>
    <t>evm0nack</t>
  </si>
  <si>
    <t>1d000005</t>
  </si>
  <si>
    <t>evm0rec</t>
  </si>
  <si>
    <t>1d000006</t>
  </si>
  <si>
    <t>evm0trig</t>
  </si>
  <si>
    <t>1d010000</t>
  </si>
  <si>
    <t>evn0avl</t>
  </si>
  <si>
    <t>1d010001</t>
  </si>
  <si>
    <t>evn0id</t>
  </si>
  <si>
    <t>1d010002</t>
  </si>
  <si>
    <t>evn0ack</t>
  </si>
  <si>
    <t>1d010003</t>
  </si>
  <si>
    <t>evn0rec</t>
  </si>
  <si>
    <t>Clear all=0</t>
  </si>
  <si>
    <t>Acknowledge all=1</t>
  </si>
  <si>
    <t>Instance in key added</t>
  </si>
  <si>
    <t>00b = No battery temperature sensor in use 01b = Sensor is present and active</t>
  </si>
  <si>
    <t>01b = Independent 
10b = Linked to DC Source</t>
  </si>
  <si>
    <t>00b = DC output disabled on power-up 
01b = DC output enabled on power-up</t>
  </si>
  <si>
    <t>00b = Pre-charging is not in process 
01b = Generator is charging the batteries to prepare for equalization</t>
  </si>
  <si>
    <t>00b = Pre-charging is not in process 01b = Charger is charging the batteries to prepare for equalization</t>
  </si>
  <si>
    <t>hwver</t>
  </si>
  <si>
    <t>Hardware version</t>
  </si>
  <si>
    <t>prod0fwver</t>
  </si>
  <si>
    <t>prod0hwver</t>
  </si>
  <si>
    <t>1c000008</t>
  </si>
  <si>
    <t>1c000009</t>
  </si>
  <si>
    <t>__mobilepower</t>
  </si>
  <si>
    <t>mchrg</t>
  </si>
  <si>
    <t>Mobile Power Charger</t>
  </si>
  <si>
    <t>1e000000</t>
  </si>
  <si>
    <t>mchrg0avl</t>
  </si>
  <si>
    <t>dcinst</t>
  </si>
  <si>
    <t>ccurr</t>
  </si>
  <si>
    <t>ivolt</t>
  </si>
  <si>
    <t>icurr</t>
  </si>
  <si>
    <t>eqvolt</t>
  </si>
  <si>
    <t>eqdur</t>
  </si>
  <si>
    <t>eqint</t>
  </si>
  <si>
    <t>eqlast</t>
  </si>
  <si>
    <t>crvolt</t>
  </si>
  <si>
    <t>tfact</t>
  </si>
  <si>
    <t>thilim</t>
  </si>
  <si>
    <t>tlolim</t>
  </si>
  <si>
    <t>absdur</t>
  </si>
  <si>
    <t>derst</t>
  </si>
  <si>
    <t>derreas</t>
  </si>
  <si>
    <t>Type of charger</t>
  </si>
  <si>
    <t>Charger instance</t>
  </si>
  <si>
    <t>Corresponding DC instance</t>
  </si>
  <si>
    <t>Only valid if on RVC bus</t>
  </si>
  <si>
    <t>Charge control voltage</t>
  </si>
  <si>
    <t>The voltage desired to be delivered to the battery</t>
  </si>
  <si>
    <t>Charge control current</t>
  </si>
  <si>
    <t>The current desired to be delivered to the battery</t>
  </si>
  <si>
    <t>Voltage as measured at Charger</t>
  </si>
  <si>
    <t>Current being delivered by Charger</t>
  </si>
  <si>
    <t>Temperature of Charger</t>
  </si>
  <si>
    <t>DC Input voltage</t>
  </si>
  <si>
    <t>DC Input current</t>
  </si>
  <si>
    <t>0 — Pre-charging is not in process 1 — Charger is charging the batteries to prepare for equalization</t>
  </si>
  <si>
    <t>Charger mode</t>
  </si>
  <si>
    <t>Charge on startup</t>
  </si>
  <si>
    <t>Equalization duration</t>
  </si>
  <si>
    <t>Time since last equalization (days)</t>
  </si>
  <si>
    <t>Temperature compensation factor (mV/^C)</t>
  </si>
  <si>
    <t>Charger enable</t>
  </si>
  <si>
    <t>External temperature sensor high tempurature limit</t>
  </si>
  <si>
    <t>External temperature sensor low tempurature limit</t>
  </si>
  <si>
    <t>Charger priority</t>
  </si>
  <si>
    <t>1=Derating</t>
  </si>
  <si>
    <t>Derating status</t>
  </si>
  <si>
    <t>Derating reason</t>
  </si>
  <si>
    <t>0 – Not derating 
1 – High Internal Temperature 
2 – High Battery Temperature 
3 – Battery Voltage</t>
  </si>
  <si>
    <t>1e000001</t>
  </si>
  <si>
    <t>mchrg0type</t>
  </si>
  <si>
    <t>1e000002</t>
  </si>
  <si>
    <t>mchrg0inst</t>
  </si>
  <si>
    <t>1e000003</t>
  </si>
  <si>
    <t>mchrg0dcinst</t>
  </si>
  <si>
    <t>1e000004</t>
  </si>
  <si>
    <t>mchrg0volt</t>
  </si>
  <si>
    <t>1e000005</t>
  </si>
  <si>
    <t>mchrg0curr</t>
  </si>
  <si>
    <t>1e000006</t>
  </si>
  <si>
    <t>mchrg0oper</t>
  </si>
  <si>
    <t>1e000007</t>
  </si>
  <si>
    <t>mchrg0cvolt</t>
  </si>
  <si>
    <t>1e000008</t>
  </si>
  <si>
    <t>mchrg0ccurr</t>
  </si>
  <si>
    <t>1e000009</t>
  </si>
  <si>
    <t>mchrg0temp</t>
  </si>
  <si>
    <t>1e00000a</t>
  </si>
  <si>
    <t>mchrg0ivolt</t>
  </si>
  <si>
    <t>1e00000b</t>
  </si>
  <si>
    <t>mchrg0icurr</t>
  </si>
  <si>
    <t>1e00000c</t>
  </si>
  <si>
    <t>mchrg0prechg</t>
  </si>
  <si>
    <t>1e00000d</t>
  </si>
  <si>
    <t>mchrg0force</t>
  </si>
  <si>
    <t>1e00000e</t>
  </si>
  <si>
    <t>mchrg0mode</t>
  </si>
  <si>
    <t>1e00000f</t>
  </si>
  <si>
    <t>mchrg0maxcurr</t>
  </si>
  <si>
    <t>1e000010</t>
  </si>
  <si>
    <t>mchrg0powup</t>
  </si>
  <si>
    <t>1e000011</t>
  </si>
  <si>
    <t>mchrg0bvolt</t>
  </si>
  <si>
    <t>1e000012</t>
  </si>
  <si>
    <t>mchrg0fvolt</t>
  </si>
  <si>
    <t>1e000013</t>
  </si>
  <si>
    <t>mchrg0eqvolt</t>
  </si>
  <si>
    <t>1e000014</t>
  </si>
  <si>
    <t>mchrg0eqdur</t>
  </si>
  <si>
    <t>1e000015</t>
  </si>
  <si>
    <t>mchrg0eqint</t>
  </si>
  <si>
    <t>1e000016</t>
  </si>
  <si>
    <t>mchrg0eqlast</t>
  </si>
  <si>
    <t>1e000017</t>
  </si>
  <si>
    <t>mchrg0crvolt</t>
  </si>
  <si>
    <t>1e000018</t>
  </si>
  <si>
    <t>mchrg0tfact</t>
  </si>
  <si>
    <t>1e000019</t>
  </si>
  <si>
    <t>mchrg0ena</t>
  </si>
  <si>
    <t>1e00001a</t>
  </si>
  <si>
    <t>mchrg0thilim</t>
  </si>
  <si>
    <t>1e00001b</t>
  </si>
  <si>
    <t>mchrg0tlolim</t>
  </si>
  <si>
    <t>1e00001c</t>
  </si>
  <si>
    <t>mchrg0absdur</t>
  </si>
  <si>
    <t>1e00001d</t>
  </si>
  <si>
    <t>mchrg0prio</t>
  </si>
  <si>
    <t>1e00001e</t>
  </si>
  <si>
    <t>mchrg0derst</t>
  </si>
  <si>
    <t>1e00001f</t>
  </si>
  <si>
    <t>mchrg0derreas</t>
  </si>
  <si>
    <t>Converter=0</t>
  </si>
  <si>
    <t>Solar=1</t>
  </si>
  <si>
    <t>mbat</t>
  </si>
  <si>
    <t>mbathist</t>
  </si>
  <si>
    <t>mbatcell</t>
  </si>
  <si>
    <t>msolar</t>
  </si>
  <si>
    <t>macin</t>
  </si>
  <si>
    <t>minvert</t>
  </si>
  <si>
    <t>macout</t>
  </si>
  <si>
    <t>operdays</t>
  </si>
  <si>
    <t>bank</t>
  </si>
  <si>
    <t>caprem</t>
  </si>
  <si>
    <t>acripple</t>
  </si>
  <si>
    <t>dchgst</t>
  </si>
  <si>
    <t>dvolt</t>
  </si>
  <si>
    <t>dcurr</t>
  </si>
  <si>
    <t>hpvolt</t>
  </si>
  <si>
    <t>dv_dt</t>
  </si>
  <si>
    <t>todayi</t>
  </si>
  <si>
    <t>todayo</t>
  </si>
  <si>
    <t>yesterdayi</t>
  </si>
  <si>
    <t>yesterdayo</t>
  </si>
  <si>
    <t>yesterday2i</t>
  </si>
  <si>
    <t>yesterday2o</t>
  </si>
  <si>
    <t>days7i</t>
  </si>
  <si>
    <t>days7o</t>
  </si>
  <si>
    <t>deepdischg</t>
  </si>
  <si>
    <t>avedischg</t>
  </si>
  <si>
    <t>binst</t>
  </si>
  <si>
    <t>hbco</t>
  </si>
  <si>
    <t>hbci</t>
  </si>
  <si>
    <t>lbco</t>
  </si>
  <si>
    <t>lbci</t>
  </si>
  <si>
    <t>lbcod</t>
  </si>
  <si>
    <t>rmsvolt</t>
  </si>
  <si>
    <t>rmscurr</t>
  </si>
  <si>
    <t>peakvolt</t>
  </si>
  <si>
    <t>peakcurr</t>
  </si>
  <si>
    <t>freq</t>
  </si>
  <si>
    <t>qualst</t>
  </si>
  <si>
    <t>lowfreqlim</t>
  </si>
  <si>
    <t>highfreqlim</t>
  </si>
  <si>
    <t>voltst</t>
  </si>
  <si>
    <t>freqst</t>
  </si>
  <si>
    <t>ground</t>
  </si>
  <si>
    <t>neutral</t>
  </si>
  <si>
    <t>revpol</t>
  </si>
  <si>
    <t>enable</t>
  </si>
  <si>
    <t>passthrough</t>
  </si>
  <si>
    <t>loadsense</t>
  </si>
  <si>
    <t>enastartup</t>
  </si>
  <si>
    <t>lsensestartup</t>
  </si>
  <si>
    <t>passthrstartup</t>
  </si>
  <si>
    <t>outvolt</t>
  </si>
  <si>
    <t>outfreq</t>
  </si>
  <si>
    <t>lsenseint</t>
  </si>
  <si>
    <t>lsensepow</t>
  </si>
  <si>
    <t>stack</t>
  </si>
  <si>
    <t>powlim</t>
  </si>
  <si>
    <t>fet1temp</t>
  </si>
  <si>
    <t>fet2temp</t>
  </si>
  <si>
    <t>transftemp</t>
  </si>
  <si>
    <t>captemp</t>
  </si>
  <si>
    <t>lowacvolt</t>
  </si>
  <si>
    <t>highacvolt</t>
  </si>
  <si>
    <t>numacoverload</t>
  </si>
  <si>
    <t>numloadsense</t>
  </si>
  <si>
    <t>shdownvoltmin</t>
  </si>
  <si>
    <t>shdownvoltmax</t>
  </si>
  <si>
    <t>warnvoltmin</t>
  </si>
  <si>
    <t>warnvoltmax</t>
  </si>
  <si>
    <t>recvolt</t>
  </si>
  <si>
    <t>phase</t>
  </si>
  <si>
    <t>wave</t>
  </si>
  <si>
    <t>1e010000</t>
  </si>
  <si>
    <t>1e010001</t>
  </si>
  <si>
    <t>1e010002</t>
  </si>
  <si>
    <t>1e010003</t>
  </si>
  <si>
    <t>1e010004</t>
  </si>
  <si>
    <t>1e010005</t>
  </si>
  <si>
    <t>1e010006</t>
  </si>
  <si>
    <t>1e010007</t>
  </si>
  <si>
    <t>1e020000</t>
  </si>
  <si>
    <t>mbat0avl</t>
  </si>
  <si>
    <t>1e020001</t>
  </si>
  <si>
    <t>mbat0dcinst</t>
  </si>
  <si>
    <t>1e020002</t>
  </si>
  <si>
    <t>mbat0inst</t>
  </si>
  <si>
    <t>1e020003</t>
  </si>
  <si>
    <t>mbat0type</t>
  </si>
  <si>
    <t>1e020004</t>
  </si>
  <si>
    <t>mbat0bank</t>
  </si>
  <si>
    <t>1e020005</t>
  </si>
  <si>
    <t>mbat0series</t>
  </si>
  <si>
    <t>1e020006</t>
  </si>
  <si>
    <t>mbat0modcnt</t>
  </si>
  <si>
    <t>1e020007</t>
  </si>
  <si>
    <t>mbat0cells</t>
  </si>
  <si>
    <t>1e020008</t>
  </si>
  <si>
    <t>mbat0volt</t>
  </si>
  <si>
    <t>1e020009</t>
  </si>
  <si>
    <t>mbat0curr</t>
  </si>
  <si>
    <t>1e02000a</t>
  </si>
  <si>
    <t>mbat0temp</t>
  </si>
  <si>
    <t>1e02000b</t>
  </si>
  <si>
    <t>mbat0soc</t>
  </si>
  <si>
    <t>1e02000c</t>
  </si>
  <si>
    <t>mbat0time</t>
  </si>
  <si>
    <t>1e02000d</t>
  </si>
  <si>
    <t>mbat0timests</t>
  </si>
  <si>
    <t>1e02000e</t>
  </si>
  <si>
    <t>mbat0soh</t>
  </si>
  <si>
    <t>1e02000f</t>
  </si>
  <si>
    <t>mbat0caprem</t>
  </si>
  <si>
    <t>1e020010</t>
  </si>
  <si>
    <t>mbat0caprel</t>
  </si>
  <si>
    <t>1e020011</t>
  </si>
  <si>
    <t>mbat0acripple</t>
  </si>
  <si>
    <t>1e020012</t>
  </si>
  <si>
    <t>mbat0dchgst</t>
  </si>
  <si>
    <t>1e020013</t>
  </si>
  <si>
    <t>mbat0dvolt</t>
  </si>
  <si>
    <t>1e020014</t>
  </si>
  <si>
    <t>mbat0dcurr</t>
  </si>
  <si>
    <t>1e020015</t>
  </si>
  <si>
    <t>mbat0hpvolt</t>
  </si>
  <si>
    <t>1e020016</t>
  </si>
  <si>
    <t>mbat0dv_dt</t>
  </si>
  <si>
    <t>1e020017</t>
  </si>
  <si>
    <t>mbat0dischgst</t>
  </si>
  <si>
    <t>1e020018</t>
  </si>
  <si>
    <t>mbat0chgst</t>
  </si>
  <si>
    <t>1e020019</t>
  </si>
  <si>
    <t>mbat0chgdet</t>
  </si>
  <si>
    <t>1e02001a</t>
  </si>
  <si>
    <t>mbat0resst</t>
  </si>
  <si>
    <t>1e02001b</t>
  </si>
  <si>
    <t>mbat0capacity</t>
  </si>
  <si>
    <t>1e02001c</t>
  </si>
  <si>
    <t>mbat0bal</t>
  </si>
  <si>
    <t>1e030000</t>
  </si>
  <si>
    <t>mbathist0avl</t>
  </si>
  <si>
    <t>1e030001</t>
  </si>
  <si>
    <t>mbathist0inst</t>
  </si>
  <si>
    <t>1e030002</t>
  </si>
  <si>
    <t>mbathist0dcinst</t>
  </si>
  <si>
    <t>1e030003</t>
  </si>
  <si>
    <t>mbathist0todayi</t>
  </si>
  <si>
    <t>1e030004</t>
  </si>
  <si>
    <t>mbathist0todayo</t>
  </si>
  <si>
    <t>1e030005</t>
  </si>
  <si>
    <t>mbathist0yesterdayi</t>
  </si>
  <si>
    <t>1e030006</t>
  </si>
  <si>
    <t>mbathist0yesterdayo</t>
  </si>
  <si>
    <t>1e030007</t>
  </si>
  <si>
    <t>mbathist0yesterday2i</t>
  </si>
  <si>
    <t>1e030008</t>
  </si>
  <si>
    <t>mbathist0yesterday2o</t>
  </si>
  <si>
    <t>1e030009</t>
  </si>
  <si>
    <t>mbathist0days7i</t>
  </si>
  <si>
    <t>1e03000a</t>
  </si>
  <si>
    <t>mbathist0days7o</t>
  </si>
  <si>
    <t>1e03000b</t>
  </si>
  <si>
    <t>mbathist0deepdischg</t>
  </si>
  <si>
    <t>1e03000c</t>
  </si>
  <si>
    <t>mbathist0avedischg</t>
  </si>
  <si>
    <t>1e03000d</t>
  </si>
  <si>
    <t>mbathist0cycles</t>
  </si>
  <si>
    <t>1e03000e</t>
  </si>
  <si>
    <t>mbathist0lowvolt</t>
  </si>
  <si>
    <t>1e03000f</t>
  </si>
  <si>
    <t>mbathist0highvolt</t>
  </si>
  <si>
    <t>1e040000</t>
  </si>
  <si>
    <t>1e040001</t>
  </si>
  <si>
    <t>1e040002</t>
  </si>
  <si>
    <t>1e040003</t>
  </si>
  <si>
    <t>1e040004</t>
  </si>
  <si>
    <t>1e040005</t>
  </si>
  <si>
    <t>1e040006</t>
  </si>
  <si>
    <t>1e040007</t>
  </si>
  <si>
    <t>1e050000</t>
  </si>
  <si>
    <t>mbatcell0avl</t>
  </si>
  <si>
    <t>1e050001</t>
  </si>
  <si>
    <t>mbatcell0inst</t>
  </si>
  <si>
    <t>1e050002</t>
  </si>
  <si>
    <t>mbatcell0binst</t>
  </si>
  <si>
    <t>1e050003</t>
  </si>
  <si>
    <t>mbatcell0voltsts</t>
  </si>
  <si>
    <t>1e050004</t>
  </si>
  <si>
    <t>mbatcell0tempsts</t>
  </si>
  <si>
    <t>1e050005</t>
  </si>
  <si>
    <t>mbatcell0bal</t>
  </si>
  <si>
    <t>1e050006</t>
  </si>
  <si>
    <t>mbatcell0volt</t>
  </si>
  <si>
    <t>1e050007</t>
  </si>
  <si>
    <t>mbatcell0temp</t>
  </si>
  <si>
    <t>1e060000</t>
  </si>
  <si>
    <t>msolar0avl</t>
  </si>
  <si>
    <t>1e060001</t>
  </si>
  <si>
    <t>msolar0dcinst</t>
  </si>
  <si>
    <t>1e060002</t>
  </si>
  <si>
    <t>msolar0inst</t>
  </si>
  <si>
    <t>1e060003</t>
  </si>
  <si>
    <t>msolar0volt</t>
  </si>
  <si>
    <t>1e060004</t>
  </si>
  <si>
    <t>msolar0curr</t>
  </si>
  <si>
    <t>1e060005</t>
  </si>
  <si>
    <t>msolar0hbco</t>
  </si>
  <si>
    <t>1e060006</t>
  </si>
  <si>
    <t>msolar0hbci</t>
  </si>
  <si>
    <t>1e060007</t>
  </si>
  <si>
    <t>msolar0lbco</t>
  </si>
  <si>
    <t>1e060008</t>
  </si>
  <si>
    <t>msolar0lbci</t>
  </si>
  <si>
    <t>1e060009</t>
  </si>
  <si>
    <t>msolar0lbcod</t>
  </si>
  <si>
    <t>1e070000</t>
  </si>
  <si>
    <t>macin0avl</t>
  </si>
  <si>
    <t>1e070001</t>
  </si>
  <si>
    <t>macin0dcinst</t>
  </si>
  <si>
    <t>1e070002</t>
  </si>
  <si>
    <t>macin0rmsvolt</t>
  </si>
  <si>
    <t>1e070003</t>
  </si>
  <si>
    <t>macin0rmscurr</t>
  </si>
  <si>
    <t>1e070004</t>
  </si>
  <si>
    <t>macin0peakvolt</t>
  </si>
  <si>
    <t>1e070005</t>
  </si>
  <si>
    <t>macin0peakcurr</t>
  </si>
  <si>
    <t>1e070006</t>
  </si>
  <si>
    <t>macin0freq</t>
  </si>
  <si>
    <t>1e070007</t>
  </si>
  <si>
    <t>macin0bypass</t>
  </si>
  <si>
    <t>1e070008</t>
  </si>
  <si>
    <t>macin0qualst</t>
  </si>
  <si>
    <t>1e070009</t>
  </si>
  <si>
    <t>macin0lowfreqlim</t>
  </si>
  <si>
    <t>1e07000a</t>
  </si>
  <si>
    <t>macin0highfreqlim</t>
  </si>
  <si>
    <t>1e07000b</t>
  </si>
  <si>
    <t>macin0voltst</t>
  </si>
  <si>
    <t>1e07000c</t>
  </si>
  <si>
    <t>macin0freqst</t>
  </si>
  <si>
    <t>1e07000d</t>
  </si>
  <si>
    <t>macin0ground</t>
  </si>
  <si>
    <t>1e07000e</t>
  </si>
  <si>
    <t>macin0neutral</t>
  </si>
  <si>
    <t>1e07000f</t>
  </si>
  <si>
    <t>macin0revpol</t>
  </si>
  <si>
    <t>1e080000</t>
  </si>
  <si>
    <t>minvert0avl</t>
  </si>
  <si>
    <t>1e080001</t>
  </si>
  <si>
    <t>minvert0inst</t>
  </si>
  <si>
    <t>1e080002</t>
  </si>
  <si>
    <t>minvert0dcinst</t>
  </si>
  <si>
    <t>1e080003</t>
  </si>
  <si>
    <t>minvert0volt</t>
  </si>
  <si>
    <t>1e080004</t>
  </si>
  <si>
    <t>minvert0curr</t>
  </si>
  <si>
    <t>1e080005</t>
  </si>
  <si>
    <t>minvert0enable</t>
  </si>
  <si>
    <t>1e080006</t>
  </si>
  <si>
    <t>minvert0passthrough</t>
  </si>
  <si>
    <t>1e080007</t>
  </si>
  <si>
    <t>minvert0loadsense</t>
  </si>
  <si>
    <t>1e080008</t>
  </si>
  <si>
    <t>minvert0enastartup</t>
  </si>
  <si>
    <t>1e080009</t>
  </si>
  <si>
    <t>minvert0lsensestartup</t>
  </si>
  <si>
    <t>minvert0passthrstartup</t>
  </si>
  <si>
    <t>minvert0outvolt</t>
  </si>
  <si>
    <t>minvert0outfreq</t>
  </si>
  <si>
    <t>minvert0lsenseint</t>
  </si>
  <si>
    <t>minvert0lsensepow</t>
  </si>
  <si>
    <t>minvert0stack</t>
  </si>
  <si>
    <t>minvert0powlim</t>
  </si>
  <si>
    <t>minvert0fet1temp</t>
  </si>
  <si>
    <t>minvert0fet2temp</t>
  </si>
  <si>
    <t>minvert0transftemp</t>
  </si>
  <si>
    <t>minvert0captemp</t>
  </si>
  <si>
    <t>minvert0ambtemp</t>
  </si>
  <si>
    <t>minvert0lowacvolt</t>
  </si>
  <si>
    <t>minvert0highacvolt</t>
  </si>
  <si>
    <t>minvert0numacoverload</t>
  </si>
  <si>
    <t>minvert0numloadsense</t>
  </si>
  <si>
    <t>minvert0shdownvoltmin</t>
  </si>
  <si>
    <t>minvert0shdownvoltmax</t>
  </si>
  <si>
    <t>minvert0warnvoltmin</t>
  </si>
  <si>
    <t>minvert0warnvoltmax</t>
  </si>
  <si>
    <t>minvert0recvolt</t>
  </si>
  <si>
    <t>1e090000</t>
  </si>
  <si>
    <t>macout0avl</t>
  </si>
  <si>
    <t>macout0dcinst</t>
  </si>
  <si>
    <t>macout0rmsvolt</t>
  </si>
  <si>
    <t>macout0rmscurr</t>
  </si>
  <si>
    <t>macout0peakvolt</t>
  </si>
  <si>
    <t>macout0peakcurr</t>
  </si>
  <si>
    <t>macout0freq</t>
  </si>
  <si>
    <t>macout0phase</t>
  </si>
  <si>
    <t>macout0wave</t>
  </si>
  <si>
    <t>macout0power</t>
  </si>
  <si>
    <t>Mobile Power Charger History</t>
  </si>
  <si>
    <t>Day before yesterday's amp_x0002_hours to battery</t>
  </si>
  <si>
    <t>Cumulative power usage</t>
  </si>
  <si>
    <t>Mobile Power Battery</t>
  </si>
  <si>
    <t>Bank size</t>
  </si>
  <si>
    <t>The DC voltage of a battery bank as a whole</t>
  </si>
  <si>
    <t>The DC current in/out of a battery bank as a whole</t>
  </si>
  <si>
    <t>The desired voltage the battery is targeting during charging</t>
  </si>
  <si>
    <t>The desired maximum acceptance current the battery is targeting from all charging sources during charging.</t>
  </si>
  <si>
    <t>High precision DC voltage of the battery bank or battery.</t>
  </si>
  <si>
    <t>Mobile Power Battery History</t>
  </si>
  <si>
    <t>Today's input Amp-Hours</t>
  </si>
  <si>
    <t>Today's output Amp-Hours</t>
  </si>
  <si>
    <t>Yesterday's input Amp-Hours</t>
  </si>
  <si>
    <t>Yesterday's output Amp-Hours</t>
  </si>
  <si>
    <t>Day before yesterday's input Amp-Hours</t>
  </si>
  <si>
    <t>Day before yesterday's output Amp-Hours</t>
  </si>
  <si>
    <t>Last 7 days input Amp-Hours</t>
  </si>
  <si>
    <t>Last 7 days output Amp-Hours</t>
  </si>
  <si>
    <t>The deepest discharge in Amp-Hours</t>
  </si>
  <si>
    <t>The number of charge cycles</t>
  </si>
  <si>
    <t>Lowest DC voltage</t>
  </si>
  <si>
    <t>Highest DC voltage</t>
  </si>
  <si>
    <t>Mobile Power Battery Cell</t>
  </si>
  <si>
    <t>Cell voltage status</t>
  </si>
  <si>
    <t>Cell temperature status</t>
  </si>
  <si>
    <t>Cell voltage</t>
  </si>
  <si>
    <t>Cell temperature</t>
  </si>
  <si>
    <t>Mobile Power Solar Controller</t>
  </si>
  <si>
    <t>Measured voltage on solar array input</t>
  </si>
  <si>
    <t>High Battery Cut Off (HBCO) Voltage</t>
  </si>
  <si>
    <t>The controller will shut down immediately if the battery voltage is above this voltage to protect the battery.</t>
  </si>
  <si>
    <t>High Battery Cut In (HBCI) Voltage</t>
  </si>
  <si>
    <t>The controller will turn back on when the battery voltage lowers below this threshold after a high voltage shutdown has occurred.</t>
  </si>
  <si>
    <t>Low Battery Cut Out (LBCO) Voltage</t>
  </si>
  <si>
    <t>The controller will power off completely into power save mode if the battery voltage reaches this threshold.</t>
  </si>
  <si>
    <t>Low Battery Cut In (LBCI) Voltage</t>
  </si>
  <si>
    <t>The controller will automatically power back on when the battery voltage increases to this configurable threshold after a low voltage power off has occurred. Selecting a higher value than the battery’s actual fully charged voltage level will disable the auto-recovery feature.</t>
  </si>
  <si>
    <t>Low Battery Cut Out (LBCO) Delay</t>
  </si>
  <si>
    <t>The number of seconds that the DC voltage can be under the Low Battery Cut Out (LBCO) Voltage before the controller is shut down.</t>
  </si>
  <si>
    <t>Mobile Power AC Input</t>
  </si>
  <si>
    <t>RMS voltage</t>
  </si>
  <si>
    <t>Measured AC input voltage</t>
  </si>
  <si>
    <t>RMS current</t>
  </si>
  <si>
    <t>Peak voltage</t>
  </si>
  <si>
    <t>Peak current</t>
  </si>
  <si>
    <t>Frequency (Hz)</t>
  </si>
  <si>
    <t>0=Normal mode;1=Bypass mode</t>
  </si>
  <si>
    <t>Bypass mode</t>
  </si>
  <si>
    <t>AC input qualification status</t>
  </si>
  <si>
    <t>Low frequency limit (Hz)</t>
  </si>
  <si>
    <t>High frequency limit (Hz)</t>
  </si>
  <si>
    <t>Voltage fault status</t>
  </si>
  <si>
    <t>Frequency fault status</t>
  </si>
  <si>
    <t>0=No fault;1=Open ground</t>
  </si>
  <si>
    <t xml:space="preserve">Open ground fault </t>
  </si>
  <si>
    <t>0=No fault;1=Open neutral</t>
  </si>
  <si>
    <t>Neutral fault</t>
  </si>
  <si>
    <t>0=No fault;1=Reverse polarity</t>
  </si>
  <si>
    <t>Reverse polarity detected</t>
  </si>
  <si>
    <t>Mobile Power Inverter</t>
  </si>
  <si>
    <t>The Inverter converts DC power into AC power</t>
  </si>
  <si>
    <t>Inverter instance</t>
  </si>
  <si>
    <t>DC input voltage</t>
  </si>
  <si>
    <t>Measured at Inverter</t>
  </si>
  <si>
    <t>DC input current</t>
  </si>
  <si>
    <t>1=Enable</t>
  </si>
  <si>
    <t>Inverter enable</t>
  </si>
  <si>
    <t>Pass-through enable</t>
  </si>
  <si>
    <t>Load sense enable</t>
  </si>
  <si>
    <t>Inverter enable on startup</t>
  </si>
  <si>
    <t>Load sense enable on startup</t>
  </si>
  <si>
    <t>Pass-through enable on startup</t>
  </si>
  <si>
    <t>Set output AC voltage</t>
  </si>
  <si>
    <t>Set output AC frequency (Hz)</t>
  </si>
  <si>
    <t>Load sense internval</t>
  </si>
  <si>
    <t>The load sense countdown is an adjustable timer after which the inverter will shut down if the power has remained below the minimum power threshold for the entire period. A setting of ‘0’ is OFF</t>
  </si>
  <si>
    <t>Load sense power threshold</t>
  </si>
  <si>
    <t>If the power draw from the inverter is less than this threshold the load sense delay timer starts</t>
  </si>
  <si>
    <t>Stack mode</t>
  </si>
  <si>
    <t>Output power limit</t>
  </si>
  <si>
    <t>FET1 Temperature</t>
  </si>
  <si>
    <t>FET/Heatsink Temperature</t>
  </si>
  <si>
    <t>FET2 Temperature</t>
  </si>
  <si>
    <t>Alternate Temperature parameter for FET/Heatsink to accommodate multiple.</t>
  </si>
  <si>
    <t>Transformer Temperature</t>
  </si>
  <si>
    <t>Capacitor Temperature</t>
  </si>
  <si>
    <t>Ambient Temperature</t>
  </si>
  <si>
    <t>Lowest AC input voltage</t>
  </si>
  <si>
    <t>Highest AC input voltage</t>
  </si>
  <si>
    <t>Number of inverter AC output over-loads</t>
  </si>
  <si>
    <t>Number of times load sense has been enganged</t>
  </si>
  <si>
    <t>DC source shutdown voltage – Minimum</t>
  </si>
  <si>
    <t>DC source shutdown voltage – Maximum</t>
  </si>
  <si>
    <t>DC source warning voltage – Minimum</t>
  </si>
  <si>
    <t>DC source warning voltage – Maximum</t>
  </si>
  <si>
    <t>DC Source shutdown - Recovery Level</t>
  </si>
  <si>
    <t>Mobile Power AC Output</t>
  </si>
  <si>
    <t>Measured RMS voltage</t>
  </si>
  <si>
    <t>Measured RMS current</t>
  </si>
  <si>
    <t>Measured Peak voltage</t>
  </si>
  <si>
    <t>Measured Peak current</t>
  </si>
  <si>
    <t>Measured Frequency (Hz)</t>
  </si>
  <si>
    <t>Phase status</t>
  </si>
  <si>
    <t>Phase status of IC relative to the output of another IC. This is used for series or parallel stacking. Possible values are:
0000b - No complementary leg
0001b - In phase (240 VAC not available)
0010b - 180 Degrees out of phase (240 VAC available)
0011b - Phase relationship is variable
1110b - Error</t>
  </si>
  <si>
    <t>0=Sine way;1=Not true sine way</t>
  </si>
  <si>
    <t>Waveform</t>
  </si>
  <si>
    <t>00b — sine wave
01b — not a true sine wave
This shall apply to inverters with “modified” or
“quasi” sine wave outputs</t>
  </si>
  <si>
    <t>AC output available power</t>
  </si>
  <si>
    <t>This is the available output power for the inverter. If the inverter is derating or if the output power limit has been changed this value may be less than the maximum power the inverter is capable of.</t>
  </si>
  <si>
    <t>Unqualified (No AC present)=0</t>
  </si>
  <si>
    <t>Unqualified (Bad AC)=1</t>
  </si>
  <si>
    <t>Waiting to qualify=2</t>
  </si>
  <si>
    <t>Qualifying=3</t>
  </si>
  <si>
    <t>Qualified (Good)=4</t>
  </si>
  <si>
    <t>No fault=0</t>
  </si>
  <si>
    <t>Low volt=1</t>
  </si>
  <si>
    <t>High volt=2</t>
  </si>
  <si>
    <t>Open line=3</t>
  </si>
  <si>
    <t>Low freq=1</t>
  </si>
  <si>
    <t>High freq=2</t>
  </si>
  <si>
    <t>Master=1</t>
  </si>
  <si>
    <t>Slave=2</t>
  </si>
  <si>
    <t>Line 2 Master=3</t>
  </si>
  <si>
    <t>Line 1 Master=4</t>
  </si>
  <si>
    <t>Line 2 Slave=5</t>
  </si>
  <si>
    <t>Line 1 Slave=6</t>
  </si>
  <si>
    <t>Phase 1 Master=7</t>
  </si>
  <si>
    <t>Phase 2 Master=8</t>
  </si>
  <si>
    <t>Phase 3 Master=9</t>
  </si>
  <si>
    <t>Phase 1 Slave=10</t>
  </si>
  <si>
    <t>Phase 2 Slave=11</t>
  </si>
  <si>
    <t>Phase 3 Slave=12</t>
  </si>
  <si>
    <t>No compl. leg=0</t>
  </si>
  <si>
    <t>In phase=1</t>
  </si>
  <si>
    <t>180 degreees out of phase=2</t>
  </si>
  <si>
    <t>Phase relationship variable=3</t>
  </si>
  <si>
    <t>Error=7</t>
  </si>
  <si>
    <t>linked</t>
  </si>
  <si>
    <t>List of linked class instances</t>
  </si>
  <si>
    <t>mchrg0linked</t>
  </si>
  <si>
    <t>1e000020</t>
  </si>
  <si>
    <t>linkedclass_t</t>
  </si>
  <si>
    <t>mbat0linked</t>
  </si>
  <si>
    <t>1e02001d</t>
  </si>
  <si>
    <t>msolar0linked</t>
  </si>
  <si>
    <t>1e06000a</t>
  </si>
  <si>
    <t>minvert0linked</t>
  </si>
  <si>
    <t>temprangearr_t</t>
  </si>
  <si>
    <t>{"temp_range":[{"mintemp":["i32",1,"^C"],"maxtemp":["i32",1,"^C"]},0]}</t>
  </si>
  <si>
    <t>MC</t>
  </si>
  <si>
    <t>NTC1_OPEN_CIRCUIT_ERROR</t>
  </si>
  <si>
    <t>NTC1_SHORT_CIRCUIT_ERROR</t>
  </si>
  <si>
    <t>NTC2_OPEN_CIRCUIT_ERROR</t>
  </si>
  <si>
    <t>NTC2_SHORT_CIRCUIT_ERROR</t>
  </si>
  <si>
    <t>CONTROLLER_OVER_TEMPERATURE_ERROR</t>
  </si>
  <si>
    <t>NTC temperature sensor open circuit detection error (first compartment)</t>
  </si>
  <si>
    <t>NTC temperature sensor short circuit detection error (first compartment)</t>
  </si>
  <si>
    <t>NTC1 temperature sensor open circuit detection error (second compartment)</t>
  </si>
  <si>
    <t>NTC1 temperature sensor short circuit detection error (second compartment)</t>
  </si>
  <si>
    <t>NTC2 temperature sensor open circuit detection error (third compartment)</t>
  </si>
  <si>
    <t>NTC2 temperature sensor short circuit detection error (third compartment)</t>
  </si>
  <si>
    <t>Controller over temperature detection error</t>
  </si>
  <si>
    <t>SOLENOID_VALVE_ERROR</t>
  </si>
  <si>
    <t>Faulty solenoid detection error (Product dependent)</t>
  </si>
  <si>
    <t>Generic temperature out of range detection error/alert</t>
  </si>
  <si>
    <t>List of all fwids supported by the USM</t>
  </si>
  <si>
    <t>14060007</t>
  </si>
  <si>
    <t>usm0list</t>
  </si>
  <si>
    <t>List of firmware ids and current versions manager can handle, separated with ; Ex: APO_0012;SDB_0002</t>
  </si>
  <si>
    <t>extpwrsense</t>
  </si>
  <si>
    <t>External power sense</t>
  </si>
  <si>
    <t>0e000024</t>
  </si>
  <si>
    <t>snode0extpwrsense</t>
  </si>
  <si>
    <t>If supported, detects if sensor is powered via external power or not</t>
  </si>
  <si>
    <t>boolarr_t</t>
  </si>
  <si>
    <t>read</t>
  </si>
  <si>
    <t>ls0read</t>
  </si>
  <si>
    <t>Read log data request</t>
  </si>
  <si>
    <t>Class managing the log service and its specifications</t>
  </si>
  <si>
    <t>Query parameter, about specific features supported</t>
  </si>
  <si>
    <t>Returns the lscfg0 class instance (&gt;=0) is feature name is supported, -1 if not supported</t>
  </si>
  <si>
    <t>ls0lscfg</t>
  </si>
  <si>
    <t>18000004</t>
  </si>
  <si>
    <t>Name of log configuration.</t>
  </si>
  <si>
    <t>lscfg0name</t>
  </si>
  <si>
    <t>readcfg</t>
  </si>
  <si>
    <t>List of linked read log configurations</t>
  </si>
  <si>
    <t>“&lt;name&gt;:&lt;lsrcfgX&gt;[,&lt;name&gt;:&lt;lsrcfgX&gt;]”</t>
  </si>
  <si>
    <t>lscfg0cfg</t>
  </si>
  <si>
    <t>lscfg0readcfg</t>
  </si>
  <si>
    <t>lsrcfg</t>
  </si>
  <si>
    <t>Log read specification</t>
  </si>
  <si>
    <t>Name of log read configuration</t>
  </si>
  <si>
    <t>18020000</t>
  </si>
  <si>
    <t>lsrcfg0avl</t>
  </si>
  <si>
    <t>18020001</t>
  </si>
  <si>
    <t>lsrcfg0name</t>
  </si>
  <si>
    <t>18020002</t>
  </si>
  <si>
    <t>lsrcfg0cfg</t>
  </si>
  <si>
    <t>18020003</t>
  </si>
  <si>
    <t>lsrcfg0data</t>
  </si>
  <si>
    <t>Returns newly allocated instance of log specification, mainly for development</t>
  </si>
  <si>
    <t>Read log events, depending on given input specification, mainly for development</t>
  </si>
  <si>
    <t>Activate log specification, mainly for development</t>
  </si>
  <si>
    <t>Remove log specification, mainly for development</t>
  </si>
  <si>
    <t>__applications</t>
  </si>
  <si>
    <t>sysappl</t>
  </si>
  <si>
    <t>System Application Features</t>
  </si>
  <si>
    <t>1f000000</t>
  </si>
  <si>
    <t>sysappl0avl</t>
  </si>
  <si>
    <t>smarteco</t>
  </si>
  <si>
    <t>SmartECO feature</t>
  </si>
  <si>
    <t>1f000001</t>
  </si>
  <si>
    <t>sysappl0smarteco</t>
  </si>
  <si>
    <t>clist</t>
  </si>
  <si>
    <t>List of main DDM classes represented by product</t>
  </si>
  <si>
    <t>1c00000a</t>
  </si>
  <si>
    <t>prod0clist</t>
  </si>
  <si>
    <t>{"classes":["x32",0,"instance"]}</t>
  </si>
  <si>
    <t>{"rssi":["s",4],"auto_mode":["s",4],"name":["s",32]}</t>
  </si>
  <si>
    <t>operst</t>
  </si>
  <si>
    <t>Internal offset temperature value for target temperature</t>
  </si>
  <si>
    <t>Operational state in auto mode</t>
  </si>
  <si>
    <t>01020022</t>
  </si>
  <si>
    <t>ac0offset</t>
  </si>
  <si>
    <t>01020023</t>
  </si>
  <si>
    <t>ac0operst</t>
  </si>
  <si>
    <t>This should only be used by internal algorithms in order to not change temperature for the user (ac0ttemp)</t>
  </si>
  <si>
    <t>FanOnly=0</t>
  </si>
  <si>
    <t>Inhibit=2</t>
  </si>
  <si>
    <t>bt0addwl_t</t>
  </si>
  <si>
    <t>{"temp":["i32",0,"^C"]}</t>
  </si>
  <si>
    <t>{"range":["i32",2,"^C"]}</t>
  </si>
  <si>
    <t>{"bool_arr":["i32",0,"bool"]}</t>
  </si>
  <si>
    <t>Data is a JSON string</t>
  </si>
  <si>
    <t>bindata</t>
  </si>
  <si>
    <t>18020004</t>
  </si>
  <si>
    <t>lsrcfg0bindata</t>
  </si>
  <si>
    <t>lsrcfg0bindata_t</t>
  </si>
  <si>
    <t>{"time":["i32"],"interval":["i32"],"data":["i32",0]}</t>
  </si>
  <si>
    <t>Data is binary according to struct</t>
  </si>
  <si>
    <t>Data according to read configuration in JSON format</t>
  </si>
  <si>
    <t>Data according to read configuration in binary format</t>
  </si>
  <si>
    <t>0c000007</t>
  </si>
  <si>
    <t>dim0name</t>
  </si>
  <si>
    <t>json</t>
  </si>
  <si>
    <t>DDM2_UNIT_JSON</t>
  </si>
  <si>
    <t>loglvl</t>
  </si>
  <si>
    <t>Log level</t>
  </si>
  <si>
    <t>0001000b</t>
  </si>
  <si>
    <t>cfg0loglvl</t>
  </si>
  <si>
    <t>&lt;tag&gt;:&lt;log level&gt;</t>
  </si>
  <si>
    <t>&lt;log level&gt; defined as: 0=NONE, 1=ERROR, 2=WARN, 3=INFO, 4=DEBUG, 5=VERBOSE</t>
  </si>
  <si>
    <t>{"manufacturer":["x16",1,"enum","snode0mfgr"],"node_type":["u8",1,"enum","gw0ptype"],"node_id":["u8",1,"enum","snode0mdl"],"rssi":["i8"],"ble_address_type":["u8",1,"enum","btwl0addrtp"],"ble_address":["x8",6],"name":["s",16],"model_name":["s",16],"bond":["u8"],"sensor_ids":["u8",0]}</t>
  </si>
  <si>
    <t>N/A=255</t>
  </si>
  <si>
    <t>int ddm2_parse_parameter_string(uint32_t * const parameter, const char * const string, size_t string_size);
int ddm2_parameter_list_lookup(const uint32_t parameter);
char * ddm2_parameter_name(const uint32_t parameter, void * const name_buffer, size_t * const name_buffer_size);
char * ddm2_instance_name(const uint32_t class_instance, void * const name_buffer, size_t * const name_buffer_size);
char * ddm2_class_name(const uint32_t class_param);
extern const DDM2_PARAMETER_LIST_DATA Ddm2_parameter_list_data[DDM2_PARAMETER_COUNT];
extern const SORTED_LIST Parameter_list_index_table;
extern const char * Ddm2_unit_affix_list[DDM2_UNIT_COUNT + 1];
extern const int Ddm2_unit_factor_list[DDM2_UNIT_COUNT + 1];</t>
  </si>
  <si>
    <t>/**
 * @brief Looks up a parameter in the parameter list.
 * 
 * This function takes a parameter ID and looks it up in the parameter list index table.
 * It returns the index of the parameter in the list if found, otherwise -1.
 * 
 * @param parameter The parameter ID to lookup
 * @return The index of the parameter in the list, or -1 if not found
 */
int ddm2_parameter_list_lookup(const uint32_t parameter)
{
	unsigned int parameter_property = DDM2_PARAMETER_PROPERTY_FIELD(parameter);	// Get the property number of the parameter
	unsigned int parameter_class = DDM2_PARAMETER_CLASS(parameter);				// Get the class number of the parameter
	SORTED_LIST_VALUE_TYPE value;
	SORTED_LIST_RETURN_VALUE result = sorted_list_unique_get(&amp;value, (SORTED_LIST *)&amp;Parameter_list_index_table, parameter_class, 0); // Look up the class in the index table
	if (result != SORTED_LIST_OK)
	{
		return -1;										// Return -1 if the class was not found
	}
	const unsigned int List_index = value &gt;&gt; 16;		// Get the start index of the class from the upper word
	const unsigned int Class_size = value &amp; 0xffff;		// Get the size of the class from the lower word
	if (parameter_property &lt; Class_size)				// Check whether the property number is within the class size
	{
		return List_index + parameter_property;			// The parameter index is the start index plus the property number
	}
	else
	{
		return -1;										// Return -1 if the property number is out of bounds
	}
}
/**
 * @brief Canonicalizes a parameter name.
 * 
 * This function takes an input parameter name and converts it to a canonical form.
 * It removes any leading non-digit characters, extracts the instance number, and converts the remaining characters to lowercase.
 * The canonicalized name is stored in the output buffer.
 * 
 * Note: The output buffer must be one byte larger than the input string size
 * 
 * @param output The output buffer to store the canonicalized name
 * @param instance The output variable to store the instance number
 * @param input The input parameter name
 * @param string_size The size of the input string
 * @return 1 if the parameter name was successfully canonicalized, 0 otherwise
 */
static int canonicalize_parameter_name(char * const output, int * const instance, const char * const input, size_t string_size)
{
	int o = 0;																	// Output buffer index
	int i = 0;																	// Input buffer index
	for (; string_size &amp;&amp; input[i] &amp;&amp; !isdigit(input[i]); i++, string_size--)	// Convert leading alpha characters to lowercase (class name)
	{
		output[o++] = input[i] | 0x20;
	}
	if (sscanf(&amp;input[i], "%d", instance) != 1)									// try to parse the instance number
	{
		return 0;																// Return 0 (fail) if the instance number could not be parsed
	}
	for (; string_size &amp;&amp; input[i] &amp;&amp; isdigit(input[i]); i++, string_size--);	// Skip over the parsed instance number
	output[o++] = '0';															// 0 is the canonical instance number
	for (; string_size &amp;&amp; input[i]; i++, string_size--)							// Convert the remaining characters to lowercase (property name)
	{
		output[o++] = input[i] | 0x20;
	}
	output[o] = '\0';															// Null-terminate the output string
	return 1;																	// Return 1 (success)
}
/**
 * @brief Finds a matching string in a string list.
 * 
 * This function takes a string and a string list, and tries to find a matching string in the list.
 * It returns the index of the matching string if found, otherwise -1.
 * 
 * @param string The input string to match
 * @param string_list The string list to search in
 * @param lookup_count The number of strings in the list
 * @return The index of the matching string, or -1 if not found
 */
static int find_matching_string(char ** string, const char * string_list, const int lookup_count)
{
	int lookup_index;
	char *trymatch_string;
	int last_char;
	char match_char;
	for (lookup_index = 0; lookup_index &lt; lookup_count; lookup_index++)	// Loop through the string list
	{
		trymatch_string = *string;										// Try to match input string for each string in the list
		while (1)
		{
			match_char = *string_list &amp; 0x7f;							// Get the next character from the string list
			last_char = *string_list &amp; 0x80;							// Check whether it is the last character in the string
			if (*trymatch_string != match_char)							// Check whether the characters match
			{
				while (!(*string_list &amp; 0x80))							// Mismatch, seek forward to the next string in the list
				{
					string_list++;
				}
				string_list++;											// Skip the last character so we're at the start of the next string
				break;
			}
			if (last_char)												// If this was the last character in the string, we have a match
			{
				*string = trymatch_string + 1;							// Update the input string to point to the next unconsumed character
				return lookup_index;									// Return the index of the matching string
			}
			trymatch_string++;											// Continue matching characters
			string_list++;
		}
	}
	return -1;															// Return -1 if no match was found
}
/**
 * @brief Looks up a parameter name in the parameter list.
 * 
 * This function takes a parameter name and looks it up in the parameter list prefix tree.
 * It returns the index of the parameter in the list if found, otherwise -1.
 * 
 * @param string The parameter name to lookup
 * @return The index of the parameter in the list, or -1 if not found
 */
static int parameter_list_name_lookup(char * string)
{
	int trie_offset = 0;
	int lookup_count;
	int string_match;
	int pointer_base_index;
	int string_base_index;
	int data;
	while (1)
	{
		data = *(int16_t *)&amp;Ddm2_parameter_list_prefix_tree[trie_offset];	// Get the index of the current trie node
		if (!*string)														// End of the input string, return the index in the current trie node
		{
			return data;
		}
		trie_offset += 2;													// Skip over the index in the trie node
		lookup_count = Ddm2_parameter_list_prefix_tree[trie_offset++];		// Get the number of continuation strings in the current node
		if (!lookup_count)													// Leaf node, can't continue to match the string; string does not exist in the trie
		{
			return -1;														// Return -1, no match found
		}
		pointer_base_index = trie_offset;									// Save the base index of the continuation string pointers
		string_base_index = pointer_base_index + 2 * lookup_count;			// Calculate where the continuation strings start
		string_match = find_matching_string(&amp;string, (char *)&amp;Ddm2_parameter_list_prefix_tree[string_base_index], lookup_count);	// Try to match remaining input string 
		if (string_match == -1)												// No match found; string does not exist in the trie
		{
			return -1;														// Return -1, no match found
		}
		trie_offset = *(uint16_t *)&amp;Ddm2_parameter_list_prefix_tree[pointer_base_index + 2 * string_match];	// Go to the offset of the matched continuation node
	}
}
/**
 * @brief Parses a parameter name string and returns the corresponding parameter ID.
 * 
 * This function takes a parameter string and parses it to obtain the corresponding parameter ID.
 * If the string starts with '$', it is treated as a hexadecimal value and converted to an integer.
 * If the string is a parameter name, it is canonicalized and looked up in the parameter list.
 * The parameter ID is returned, and the function also returns the index of the parameter in the list.
 * 
 * @param parameter The output variable to store the parameter ID
 * @param string The input parameter string
 * @param string_size The size of the input string
 * @return The index of the parameter in the list, or -1 if not found
 */
int ddm2_parse_parameter_string(uint32_t * const parameter, const char * const string, size_t string_size)
{
	char string_buffer[64] = { 0 };	// Buffer to store the canonicalized string in
	int instance;
	if ((parameter == NULL) || (string == NULL) || !string_size || (string_size &gt;= 64))
	{
		return -1;
	}
	if (string[0] == '$')										// Check whether the string is a hexadecimal parameter ID
	{
		memcpy(string_buffer, string + 1, string_size - 1);		// Copy the string without the '$' character to null-terminated buffer
		if (sscanf(string_buffer, "%x", parameter) != 1)		// Try to parse the string as a hexadecimal number
		{
			return -1;											// Instance could not be parsed, return -1 (fail)
		};
		return ddm2_parameter_list_lookup(*parameter);			// Look up the parameter in the DDM2 parameter list and return the index
	}
	if (!canonicalize_parameter_name(string_buffer, &amp;instance, string, string_size))	// Canonicalize the parameter name
	{
		return -1;												// Return -1 (fail) if the parameter name format was invalid
	}
	if (instance &gt; 255)											// Check whether the instance number is within bounds
	{
		return -1;												// Return -1 (fail) if the instance number is out of bounds
	}
	int index = parameter_list_name_lookup(string_buffer);		// Look up the now canonicalized parameter name in the DDM2 parameter list
	if (index != -1)											// Parameter was found?
	{
		*parameter = Ddm2_parameter_list_data[index].parameter + DDM2_PARAMETER_INSTANCE(instance);	// Then set the parameter ID
	}
	return index;
}
/**
 * @brief Retrieves the name of a parameter based on its ID.
 * 
 * This function takes a parameter ID and retrieves its name from the parameter list.
 * The name is stored in the name buffer, and the size of the buffer is updated.
 * If the parameter is not found in the list, the name is set to "???".
 * 
 * @param parameter The parameter ID
 * @param name_buffer The output buffer to store the parameter name
 * @param name_buffer_size The size of the name buffer
 * @return The parameter name
 */
char * ddm2_parameter_name(const uint32_t parameter, void * const name_buffer, size_t * const name_buffer_size)
{
	int index, chars;
	unsigned int instance = DDM2_PARAMETER_INSTANCE_FIELD(parameter);	// Get the instance number from the parameter ID
	index = ddm2_parameter_list_lookup(parameter);						// Look up the parameter in the DDM2 parameter list
	if (index != -1)													// A valid parameter?
	{
		chars = snprintf(name_buffer, *name_buffer_size, "%s%u%s", Ddm2_parameter_list_data[index].device_class, instance, Ddm2_parameter_list_data[index].property);	//Build the name string
	}
	else
	{
		chars = snprintf(name_buffer, *name_buffer_size, "???");		// Parameter not found, set the name to "???"
	}
	*name_buffer_size = (size_t)((chars &gt; 0) ? chars : 0);				// Update the size of the name buffer (set 0 at failure)
	return name_buffer;
}
/**
 * @brief Retrieves the name of a parameter instance based on its class instance ID.
 * 
 * This function takes a class instance ID and retrieves the name of the corresponding parameter instance from the parameter list.
 * The name is stored in the name buffer, and the size of the buffer is updated.
 * If the class instance is not found in the list, the name is set to "???".
 * 
 * @param class_instance The class instance ID
 * @param name_buffer The output buffer to store the instance name
 * @param name_buffer_size The size of the name buffer
 * @return The instance name
 */
char * ddm2_instance_name(const uint32_t class_instance, void * const name_buffer, size_t * const name_buffer_size)
{
	int index, chars;
	unsigned int instance = DDM2_PARAMETER_INSTANCE_FIELD(class_instance);	// Get the instance number from the class instance ID
	index = ddm2_parameter_list_lookup(class_instance);						// Look up the class instance in the DDM2 parameter list
	if (index != -1)														// A valid class instance?
	{
		chars = snprintf(name_buffer, *name_buffer_size, "%s%u", Ddm2_parameter_list_data[index].device_class, instance);	// Build the instance name string
	}
	else
	{
		chars = snprintf(name_buffer, *name_buffer_size, "???");			// Class instance not found, set the name to "???"
	}
	*name_buffer_size = (size_t)((chars &gt; 0) ? chars : 0);					// Update the size of the name buffer (set 0 at failure)
	return name_buffer;
}
/**
 * @brief Retrieves the name of a parameter class from its ID.
 * 
 * This function takes a parameter class ID and retrieves its name from the parameter list.
 * If the class is not found in the list, the name is set to "???".
 * 
 * @param class_param The parameter class ID
 * @return The parameter class name
 */
char * ddm2_class_name(const uint32_t class_param)
{
	int index;
	index = ddm2_parameter_list_lookup(class_param);	// Look up the class in the DDM2 parameter list
	if (index != -1)									// A valid class?
	{
		return (char *)Ddm2_parameter_list_data[index].device_class;	// Return the class name directly from the DDM2 parameter data list 
	}
	else
	{
		return "???";									// Class not found, return "???"
	}
}</t>
  </si>
  <si>
    <t>0c000008</t>
  </si>
  <si>
    <t>dim0type</t>
  </si>
  <si>
    <t>Type / capabilities</t>
  </si>
  <si>
    <t>eco</t>
  </si>
  <si>
    <t>ECO modifier</t>
  </si>
  <si>
    <t>Sleep modifier</t>
  </si>
  <si>
    <t>07000023</t>
  </si>
  <si>
    <t>cz0eco</t>
  </si>
  <si>
    <t>07000024</t>
  </si>
  <si>
    <t>cz0sleep</t>
  </si>
  <si>
    <t>ECO mode</t>
  </si>
  <si>
    <t>01020024</t>
  </si>
  <si>
    <t>ac0eco</t>
  </si>
  <si>
    <t>ÁÂÃÄÅÇÈÉÊËÌÍÎÏÑÒÓÔÕÖÙÚÛÜÝàáâãäåçèéêëìíîïñòóôõöùúûüýÿÆØ</t>
  </si>
  <si>
    <t>AAAAACEEEEIIIINOOOOOUUUUYaaaaaaceeeeiiiinooooouuuuyyAO</t>
  </si>
  <si>
    <t>flaps</t>
  </si>
  <si>
    <t>Flaps status</t>
  </si>
  <si>
    <t>01020025</t>
  </si>
  <si>
    <t>ac0flaps</t>
  </si>
  <si>
    <t>Flaps Stopped=0</t>
  </si>
  <si>
    <t>Flaps Active=15</t>
  </si>
  <si>
    <t>Flap2 Active=3</t>
  </si>
  <si>
    <t>Flap1 Active=12</t>
  </si>
  <si>
    <t>Unknown=0xffff</t>
  </si>
  <si>
    <t>alarm</t>
  </si>
  <si>
    <t>Alarm enable</t>
  </si>
  <si>
    <t>0800002e</t>
  </si>
  <si>
    <t>rfan0alarm</t>
  </si>
  <si>
    <t>evm0nack_t</t>
  </si>
  <si>
    <t>{"nack":["i32"],"ids":["i32",0]}</t>
  </si>
  <si>
    <t>provtmplt</t>
  </si>
  <si>
    <t>02070004</t>
  </si>
  <si>
    <t>mqtt0provtmplt</t>
  </si>
  <si>
    <t>Passed from app to firmware during AWS provisioning</t>
  </si>
  <si>
    <t>Provisioning template name</t>
  </si>
  <si>
    <t>rvcrefrig</t>
  </si>
  <si>
    <t>1b490000</t>
  </si>
  <si>
    <t>rvcrefrig0avl</t>
  </si>
  <si>
    <t>1b490001</t>
  </si>
  <si>
    <t>rvcrefrig0sync</t>
  </si>
  <si>
    <t>1b490002</t>
  </si>
  <si>
    <t>rvcrefrig0inst</t>
  </si>
  <si>
    <t>cav</t>
  </si>
  <si>
    <t>Cavity</t>
  </si>
  <si>
    <t>Door switch</t>
  </si>
  <si>
    <t>1b490003</t>
  </si>
  <si>
    <t>rvcrefrig0cav</t>
  </si>
  <si>
    <t>1b490004</t>
  </si>
  <si>
    <t>rvcrefrig0lgt</t>
  </si>
  <si>
    <t>1b490005</t>
  </si>
  <si>
    <t>rvcrefrig0door</t>
  </si>
  <si>
    <t>1b490006</t>
  </si>
  <si>
    <t>rvcrefrig0ctemp</t>
  </si>
  <si>
    <t>fuel</t>
  </si>
  <si>
    <t>Fuel source</t>
  </si>
  <si>
    <t>1b490007</t>
  </si>
  <si>
    <t>rvcrefrig0settemp</t>
  </si>
  <si>
    <t>1b490008</t>
  </si>
  <si>
    <t>rvcrefrig0fuel</t>
  </si>
  <si>
    <t>1b490009</t>
  </si>
  <si>
    <t>rvcrefrig0mode</t>
  </si>
  <si>
    <t>compspd</t>
  </si>
  <si>
    <t>Compressor speed</t>
  </si>
  <si>
    <t>1b49000a</t>
  </si>
  <si>
    <t>rvcrefrig0compspd</t>
  </si>
  <si>
    <t>Fridge=0</t>
  </si>
  <si>
    <t>Freezer=1</t>
  </si>
  <si>
    <t>All off=0</t>
  </si>
  <si>
    <t>All on=1</t>
  </si>
  <si>
    <t>Opened=1</t>
  </si>
  <si>
    <t>DC Voltage=1</t>
  </si>
  <si>
    <t>AC Voltage=2</t>
  </si>
  <si>
    <t>Night=2</t>
  </si>
  <si>
    <t>RVC DGN Refrigerator (Status/Command) (130515/130514)</t>
  </si>
  <si>
    <t>Refrigerator instance</t>
  </si>
  <si>
    <t>Refrigerator mode</t>
  </si>
  <si>
    <t>uid</t>
  </si>
  <si>
    <t>Unique Identification Number</t>
  </si>
  <si>
    <t>hexstring of uint64_t</t>
  </si>
  <si>
    <t>1c00000b</t>
  </si>
  <si>
    <t>prod0uid</t>
  </si>
  <si>
    <t>prop</t>
  </si>
  <si>
    <t>Properties</t>
  </si>
  <si>
    <t>1c00000c</t>
  </si>
  <si>
    <t>prod0prop</t>
  </si>
  <si>
    <t>prod0prop_t</t>
  </si>
  <si>
    <t>group0avl</t>
  </si>
  <si>
    <t>Group/Feature</t>
  </si>
  <si>
    <t>group0uid</t>
  </si>
  <si>
    <t>Identification number per type</t>
  </si>
  <si>
    <t>Used for zone instance for example</t>
  </si>
  <si>
    <t>User given name of group/feature</t>
  </si>
  <si>
    <t>group0id</t>
  </si>
  <si>
    <t>group0name</t>
  </si>
  <si>
    <t>Type of feature this group implements</t>
  </si>
  <si>
    <t>group0type</t>
  </si>
  <si>
    <t>Generic=0</t>
  </si>
  <si>
    <t>ClimateZone=1</t>
  </si>
  <si>
    <t>SmartECO=2</t>
  </si>
  <si>
    <t>ClimateControl=3</t>
  </si>
  <si>
    <t>rules</t>
  </si>
  <si>
    <t>Rule engine class instances implementing this feature</t>
  </si>
  <si>
    <t>group0rules</t>
  </si>
  <si>
    <t>interface</t>
  </si>
  <si>
    <t>Product classes/group classes and/or other class instances representing this feature</t>
  </si>
  <si>
    <t>Enabling feature</t>
  </si>
  <si>
    <t>group0interface</t>
  </si>
  <si>
    <t>group0enable</t>
  </si>
  <si>
    <t>Wait Off=2</t>
  </si>
  <si>
    <t>active</t>
  </si>
  <si>
    <t>Control feature</t>
  </si>
  <si>
    <t>group0active</t>
  </si>
  <si>
    <t>addgroup</t>
  </si>
  <si>
    <t>group0addgroup</t>
  </si>
  <si>
    <t>delgroup</t>
  </si>
  <si>
    <t>group0delgroup</t>
  </si>
  <si>
    <t>{"type":["u8",1],"addr":["u8",1],"inst":["u8",1],"classes":["x32",0,"instance"]}</t>
  </si>
  <si>
    <t>multizone</t>
  </si>
  <si>
    <t>Multizone</t>
  </si>
  <si>
    <t>multizone0avl</t>
  </si>
  <si>
    <t>1f010000</t>
  </si>
  <si>
    <t>1f010001</t>
  </si>
  <si>
    <t>1f010002</t>
  </si>
  <si>
    <t>1f010003</t>
  </si>
  <si>
    <t>1f010004</t>
  </si>
  <si>
    <t>1f010005</t>
  </si>
  <si>
    <t>1f010006</t>
  </si>
  <si>
    <t>1f010007</t>
  </si>
  <si>
    <t>1f010008</t>
  </si>
  <si>
    <t>1f010009</t>
  </si>
  <si>
    <t>1f01000a</t>
  </si>
  <si>
    <t>1f020000</t>
  </si>
  <si>
    <t>selzone</t>
  </si>
  <si>
    <t>Active selected zone</t>
  </si>
  <si>
    <t>1f020001</t>
  </si>
  <si>
    <t>multizone0selzone</t>
  </si>
  <si>
    <t>zones</t>
  </si>
  <si>
    <t>arrayi32_t</t>
  </si>
  <si>
    <t>{"arr":["i32",0]}</t>
  </si>
  <si>
    <t>1f020002</t>
  </si>
  <si>
    <t>multizone0zones</t>
  </si>
  <si>
    <t>Available zones</t>
  </si>
  <si>
    <t>numzones</t>
  </si>
  <si>
    <t>Number of available zones</t>
  </si>
  <si>
    <t>1f020003</t>
  </si>
  <si>
    <t>multizone0numzones</t>
  </si>
  <si>
    <t>Internal zone temperature (ambient)</t>
  </si>
  <si>
    <t>etemp</t>
  </si>
  <si>
    <t>External zone temperature (outside)</t>
  </si>
  <si>
    <t>1f020004</t>
  </si>
  <si>
    <t>multizone0itemp</t>
  </si>
  <si>
    <t>1f020005</t>
  </si>
  <si>
    <t>multizone0etemp</t>
  </si>
  <si>
    <t>1f020006</t>
  </si>
  <si>
    <t>multizone0interface</t>
  </si>
  <si>
    <t>Class instances (virtual) representing the zone</t>
  </si>
  <si>
    <t>Request to create new class instance of same type</t>
  </si>
  <si>
    <t>1b0b0008</t>
  </si>
  <si>
    <t>rvchpump0fspd</t>
  </si>
  <si>
    <t>Mobile Power=0x14</t>
  </si>
  <si>
    <t>None=-1</t>
  </si>
  <si>
    <t>1e000021</t>
  </si>
  <si>
    <t>ppwr</t>
  </si>
  <si>
    <t>1e06000b</t>
  </si>
  <si>
    <t>msolar0ppwr</t>
  </si>
  <si>
    <t>Panel power</t>
  </si>
  <si>
    <t>wrkld</t>
  </si>
  <si>
    <t>minvert0wrkld</t>
  </si>
  <si>
    <t>Workload</t>
  </si>
  <si>
    <t>mps</t>
  </si>
  <si>
    <t>mps0avl</t>
  </si>
  <si>
    <t>Mobile Power BLE device</t>
  </si>
  <si>
    <t>Dometic APAC Harrier=14</t>
  </si>
  <si>
    <t>Dometic APAC IBIS4=15</t>
  </si>
  <si>
    <t>Dometic APAC CK-Lite=16</t>
  </si>
  <si>
    <t>Standby=1</t>
  </si>
  <si>
    <t>Pulse=2</t>
  </si>
  <si>
    <t>Recondition=3</t>
  </si>
  <si>
    <t>MPPT=6</t>
  </si>
  <si>
    <t>Bulk 2=4</t>
  </si>
  <si>
    <t>Bulk=5</t>
  </si>
  <si>
    <t>Absorption=7</t>
  </si>
  <si>
    <t>Desulfation=8</t>
  </si>
  <si>
    <t>Float=9</t>
  </si>
  <si>
    <t>Stop=10</t>
  </si>
  <si>
    <t>Overcharge=11</t>
  </si>
  <si>
    <t>Equalize=12</t>
  </si>
  <si>
    <t>Constant=13</t>
  </si>
  <si>
    <t>slnt</t>
  </si>
  <si>
    <t>mchrg0slnt</t>
  </si>
  <si>
    <t>1e000022</t>
  </si>
  <si>
    <t>mchrg0algo</t>
  </si>
  <si>
    <t>External temperature</t>
  </si>
  <si>
    <t>1e000023</t>
  </si>
  <si>
    <t>mchrg0exttemp</t>
  </si>
  <si>
    <t>poles</t>
  </si>
  <si>
    <t>1e02001e</t>
  </si>
  <si>
    <t>mbat0poles</t>
  </si>
  <si>
    <t>Poles status, poles connected to the cells</t>
  </si>
  <si>
    <t>1e02001f</t>
  </si>
  <si>
    <t>mbat0htr</t>
  </si>
  <si>
    <t>dcdc</t>
  </si>
  <si>
    <t>Internal regulator status</t>
  </si>
  <si>
    <t>1e020020</t>
  </si>
  <si>
    <t>mbat0dcdc</t>
  </si>
  <si>
    <t>Constant voltage=0</t>
  </si>
  <si>
    <t>Gel=5</t>
  </si>
  <si>
    <t>Wet=6</t>
  </si>
  <si>
    <t>AGM1=7</t>
  </si>
  <si>
    <t>AGM2=8</t>
  </si>
  <si>
    <t>LiFePO4 1=9</t>
  </si>
  <si>
    <t>LiFePO4 2=10</t>
  </si>
  <si>
    <t>LiFePO4 3=11</t>
  </si>
  <si>
    <t>Custom2=248</t>
  </si>
  <si>
    <t>Custom1=249</t>
  </si>
  <si>
    <t>Custom=250</t>
  </si>
  <si>
    <t>Booster=2</t>
  </si>
  <si>
    <t>Determines if the rule engine is active or not</t>
  </si>
  <si>
    <t>19000003</t>
  </si>
  <si>
    <t>rule0act</t>
  </si>
  <si>
    <t>manuf</t>
  </si>
  <si>
    <t>1c00000d</t>
  </si>
  <si>
    <t>prod0manuf</t>
  </si>
  <si>
    <t>httemp</t>
  </si>
  <si>
    <t>Target temperature (Heat modes)</t>
  </si>
  <si>
    <t>hmode</t>
  </si>
  <si>
    <t>Heat modes</t>
  </si>
  <si>
    <t>01020026</t>
  </si>
  <si>
    <t>ac0httemp</t>
  </si>
  <si>
    <t>01020027</t>
  </si>
  <si>
    <t>ac0etemp</t>
  </si>
  <si>
    <t>01020028</t>
  </si>
  <si>
    <t>ac0hmode</t>
  </si>
  <si>
    <t>AuxHeat only=2</t>
  </si>
  <si>
    <t>Furnace mode temp diff</t>
  </si>
  <si>
    <t>01020029</t>
  </si>
  <si>
    <t>ac0ftdiff</t>
  </si>
  <si>
    <t>feature</t>
  </si>
  <si>
    <t>0102002a</t>
  </si>
  <si>
    <t>ac0feature</t>
  </si>
  <si>
    <t>0x1 = HeatPump, 0x02 = HeatStrip, 0x04 = Furnace, 0x08 = Dehumidify, 0x10 = AGS, 0x20 = Stage(Dual basement on single power board), 0x40 = ExtStage(Dual AC units in same zone), 0x80 = OutTemp</t>
  </si>
  <si>
    <t>Features available(bitmask)</t>
  </si>
  <si>
    <t>Primary only=1</t>
  </si>
  <si>
    <t>Primary is usually HeatPump and Aux is usually Furnace</t>
  </si>
  <si>
    <t>POWER_FAILURE</t>
  </si>
  <si>
    <t>Generic power failure</t>
  </si>
  <si>
    <t>INVALID_ZONE_CONFIG</t>
  </si>
  <si>
    <t>Invalid zone configuration</t>
  </si>
  <si>
    <t>filter</t>
  </si>
  <si>
    <t>0102002b</t>
  </si>
  <si>
    <t>ac0filter</t>
  </si>
  <si>
    <t>ac0filter_in</t>
  </si>
  <si>
    <t>Reset=2</t>
  </si>
  <si>
    <t>ac0filter_out</t>
  </si>
  <si>
    <t>Counting=0</t>
  </si>
  <si>
    <t>Timeout=1</t>
  </si>
  <si>
    <t>Unknown=3</t>
  </si>
  <si>
    <t>INVALID_ZONE_CONFIG_2</t>
  </si>
  <si>
    <t>07090000</t>
  </si>
  <si>
    <t>Schedule mode/type</t>
  </si>
  <si>
    <t>Scheduling enabled</t>
  </si>
  <si>
    <t>07090001</t>
  </si>
  <si>
    <t>07090002</t>
  </si>
  <si>
    <t>slpdays</t>
  </si>
  <si>
    <t>Enabled Weekdays for Sleep</t>
  </si>
  <si>
    <t>07090003</t>
  </si>
  <si>
    <t>07090004</t>
  </si>
  <si>
    <t>07090005</t>
  </si>
  <si>
    <t>07090006</t>
  </si>
  <si>
    <t>07090007</t>
  </si>
  <si>
    <t>07090008</t>
  </si>
  <si>
    <t>07090009</t>
  </si>
  <si>
    <t>0709000a</t>
  </si>
  <si>
    <t>Start time (hours) for Sleep</t>
  </si>
  <si>
    <t>slpmin</t>
  </si>
  <si>
    <t>slphour</t>
  </si>
  <si>
    <t>Start time (min) for Sleep</t>
  </si>
  <si>
    <t>Time = Hours:Minutes</t>
  </si>
  <si>
    <t>0709000b</t>
  </si>
  <si>
    <t>0709000c</t>
  </si>
  <si>
    <t>0=Off; 1=Enabled</t>
  </si>
  <si>
    <t>slpcool</t>
  </si>
  <si>
    <t>slpheat</t>
  </si>
  <si>
    <t>awaycool</t>
  </si>
  <si>
    <t>awayheat</t>
  </si>
  <si>
    <t>0709000d</t>
  </si>
  <si>
    <t>0709000e</t>
  </si>
  <si>
    <t>Cool temperature setpoint for Sleep</t>
  </si>
  <si>
    <t>Heat temperature setpoint for Sleep</t>
  </si>
  <si>
    <t>Cool temperature setpoint for Away</t>
  </si>
  <si>
    <t>Heat temperature setpoint for Away</t>
  </si>
  <si>
    <t>cbs</t>
  </si>
  <si>
    <t>cbs0avl</t>
  </si>
  <si>
    <t>cbs0ena</t>
  </si>
  <si>
    <t>cbs0smode</t>
  </si>
  <si>
    <t>cbs0slpdays</t>
  </si>
  <si>
    <t>cbs0slphour</t>
  </si>
  <si>
    <t>cbs0slpmin</t>
  </si>
  <si>
    <t>cbs0slpcool</t>
  </si>
  <si>
    <t>cbs0slpheat</t>
  </si>
  <si>
    <t>cbs0awaycool</t>
  </si>
  <si>
    <t>cbs0awayheat</t>
  </si>
  <si>
    <t>Climate (zone device) basic schedule</t>
  </si>
  <si>
    <t>Reset to current=251</t>
  </si>
  <si>
    <t>wakedays</t>
  </si>
  <si>
    <t>wakehour</t>
  </si>
  <si>
    <t>wakecool</t>
  </si>
  <si>
    <t>wakeheat</t>
  </si>
  <si>
    <t>Enabled Weekdays for Wake</t>
  </si>
  <si>
    <t>Start time (hours) for Wake</t>
  </si>
  <si>
    <t>wakemin</t>
  </si>
  <si>
    <t>awaydays</t>
  </si>
  <si>
    <t>Enabled Weekdays for Away</t>
  </si>
  <si>
    <t>cbs0wakedays</t>
  </si>
  <si>
    <t>cbs0wakehour</t>
  </si>
  <si>
    <t>cbs0awaydays</t>
  </si>
  <si>
    <t>cbs0wakecool</t>
  </si>
  <si>
    <t>cbs0wakeheat</t>
  </si>
  <si>
    <t>Bitmask (Sunday=0x1,Monday=0x2,Tuesday=0x4,Wednesday=0x8,Thursday=0x10,Friday=0x20,Saturday=0x40) Default to all disabled</t>
  </si>
  <si>
    <t>Cool temperature setpoint for Wake</t>
  </si>
  <si>
    <t>Heat temperature setpoint for Wake</t>
  </si>
  <si>
    <t>Start time (min) for Wake</t>
  </si>
  <si>
    <t>cbs0wakemin</t>
  </si>
  <si>
    <t>0709000f</t>
  </si>
  <si>
    <t>bitfield</t>
  </si>
  <si>
    <t>DDM2_UNIT_BITFIELD</t>
  </si>
  <si>
    <t>#define DDM2_BIT_VAL(b) (uint32_t)(1 &lt;&lt; b)
#define IS_DDM2_BIT_VAL_SET(a,b) (DDM2_BIT_VAL(b) &amp; a)</t>
  </si>
  <si>
    <t>cbs0days</t>
  </si>
  <si>
    <t>Used for NA ACs</t>
  </si>
  <si>
    <t>HeatStrip=2</t>
  </si>
  <si>
    <t>Furnace=4</t>
  </si>
  <si>
    <t>Dehumidify=8</t>
  </si>
  <si>
    <t>HeatPump=1</t>
  </si>
  <si>
    <t>Heater=1</t>
  </si>
  <si>
    <t>Compressor=2</t>
  </si>
  <si>
    <t>VOC_SENSOR_COMMUNICATION_ERROR=1</t>
  </si>
  <si>
    <t>VOC_SENSOR_DATA_PLAUSIBLE_ERROR=2</t>
  </si>
  <si>
    <t>DP_SENSOR_BOARD_DISCONNECTED=4</t>
  </si>
  <si>
    <t>Dry=8</t>
  </si>
  <si>
    <t>Sunday=1</t>
  </si>
  <si>
    <t>Monday=2</t>
  </si>
  <si>
    <t>Tuesday=4</t>
  </si>
  <si>
    <t>Dimmable=1</t>
  </si>
  <si>
    <t>RGB=2</t>
  </si>
  <si>
    <t>Wednesday=8</t>
  </si>
  <si>
    <t>InverterOn=0x10</t>
  </si>
  <si>
    <t>Inverter=0x10</t>
  </si>
  <si>
    <t>FanEvap=0x20</t>
  </si>
  <si>
    <t>AGS=0x10</t>
  </si>
  <si>
    <t>Stage Dual basement on single power board=0x20</t>
  </si>
  <si>
    <t>ExtStage Dual AC units in same zone=0x40</t>
  </si>
  <si>
    <t>OutTemp=0x80</t>
  </si>
  <si>
    <t>Thursday=0x10</t>
  </si>
  <si>
    <t>Friday=0x20</t>
  </si>
  <si>
    <t>Saturday=0x40</t>
  </si>
  <si>
    <t>DP_SENSOR_DATA_PLAUSIBLE_ERROR=0x10</t>
  </si>
  <si>
    <t>DP_SENSOR_BOARD_BATTERY_LOW=0x20</t>
  </si>
  <si>
    <t>FAN1_RPM_MISMATCH=0x80</t>
  </si>
  <si>
    <t>FAN1_TACHO_READ_DEVICE_INACTIVE=0x100</t>
  </si>
  <si>
    <t>FAN1_NO_TACHO_DEVICE_ACTIVE=0x200</t>
  </si>
  <si>
    <t>FAN2_RPM_MISMATCH=0x400</t>
  </si>
  <si>
    <t>FAN2_TACHO_READ_DEVICE_INACTIVE=0x800</t>
  </si>
  <si>
    <t>FAN2_NO_TACHO_DEVICE_ACTIVE=0x1000</t>
  </si>
  <si>
    <t>MOTOR_RPM_MISMATCH=0x2000</t>
  </si>
  <si>
    <t>MOTOR_TACHO_READ_DEVICE_INACTIVE=0x4000</t>
  </si>
  <si>
    <t>MOTOR_NO_TACHO_DEVICE_ACTIVE=0x8000</t>
  </si>
  <si>
    <t>BACKUP_BATTERY_LOW=0x10000</t>
  </si>
  <si>
    <t>BACKUP_BATTERY_LOW_STANDBY=0x20000</t>
  </si>
  <si>
    <t>COMM_ERROR_WITH_BATTERY_IC=0x80000</t>
  </si>
  <si>
    <t>BATTERY_OVER_HEATING=0x100000</t>
  </si>
  <si>
    <t>BATTERY_EXPIRED=0x200000</t>
  </si>
  <si>
    <t>COMM_ERROR_WITH_LCD_DRIVER_IC=0x400000</t>
  </si>
  <si>
    <t>TOUCH_BUTTON_EVENT_PROCESS_ERROR=0x800000</t>
  </si>
  <si>
    <t>CAN_COMMUNICATION_ERROR=0x1000000</t>
  </si>
  <si>
    <t>LIN_COMMUNICATION_ERROR=0x2000000</t>
  </si>
  <si>
    <t>Humid=0x10</t>
  </si>
  <si>
    <t>ForceLoadShed=0x40</t>
  </si>
  <si>
    <t>Actual configuration string read from json object</t>
  </si>
  <si>
    <t>Actual log read configuration string from json object</t>
  </si>
  <si>
    <t>updlinkedclass_t</t>
  </si>
  <si>
    <t>{"updclass":["x32",1,"instance"],"update":["u8",0]}</t>
  </si>
  <si>
    <t>1e020021</t>
  </si>
  <si>
    <t>Replaces the need for mbatfaults0</t>
  </si>
  <si>
    <t>Indicates whether the DC Source has been disconnected from the charge or load bus due to reaching its upper temperature limit</t>
  </si>
  <si>
    <t>Indicates whether the DC Source has been disconnected from the charge or load bus due to reaching its upper current limit</t>
  </si>
  <si>
    <t>Indicates whether the DC Source has been disconnected from the charge or load bus due to reaching its lower temperature limit.</t>
  </si>
  <si>
    <t>Indicates whether the DC Source (e.g. battery) has been disconnected from the load due to reaching the lower state of charge limit.</t>
  </si>
  <si>
    <t>Indicates whether the DC Source has been disconnected due to reaching its lower operation voltage limit.</t>
  </si>
  <si>
    <t>Indicates whether the DC Source has been disconnected due to reaching its upper operation voltage limit</t>
  </si>
  <si>
    <t>Generic device fault</t>
  </si>
  <si>
    <t>MPS</t>
  </si>
  <si>
    <t>BAT_CELL_FAULT</t>
  </si>
  <si>
    <t>open ground fault detected</t>
  </si>
  <si>
    <t>open neutral fault detected</t>
  </si>
  <si>
    <t>reverse polarity fault detected</t>
  </si>
  <si>
    <t>ground current fault detected</t>
  </si>
  <si>
    <t>Extreme low voltage detected</t>
  </si>
  <si>
    <t>Extreme high voltage detected</t>
  </si>
  <si>
    <t>Open line 1 voltage detected</t>
  </si>
  <si>
    <t>Open line 2 voltage detected</t>
  </si>
  <si>
    <t>Surge fault detected</t>
  </si>
  <si>
    <t>Frequency over high limit</t>
  </si>
  <si>
    <t>Frequency over low limit</t>
  </si>
  <si>
    <t>AC_OPEN_GROUND_ERROR</t>
  </si>
  <si>
    <t>AC_OPEN_NEUTRAL_ERROR</t>
  </si>
  <si>
    <t>AC_REVERSE_POLARITY_ERROR</t>
  </si>
  <si>
    <t>AC_GROUND_CURRENT_ERROR</t>
  </si>
  <si>
    <t>AC_EXTREME_LOW_VOLT_ERROR</t>
  </si>
  <si>
    <t>AC_EXTREME_HIGH_VOLT_ERROR</t>
  </si>
  <si>
    <t>AC_OPEN_LINE_1_VOLT_ERROR</t>
  </si>
  <si>
    <t>AC_OPEN_LINE_2_VOLT_ERROR</t>
  </si>
  <si>
    <t>AC_SURGE_PROTECTION_ERROR</t>
  </si>
  <si>
    <t>AC_HIGH_FREQ_ERROR</t>
  </si>
  <si>
    <t>AC_LOW_FREQ_ERROR</t>
  </si>
  <si>
    <t>GEN_DEVICE_FAULT</t>
  </si>
  <si>
    <t>DC_HIGH_VOLT_LIMIT_REACHED</t>
  </si>
  <si>
    <t>DC_HIGH_VOLT_LIMIT_CHARGE_DISCONNECTED</t>
  </si>
  <si>
    <t>DC_LOW_VOLT_LIMIT_REACHED</t>
  </si>
  <si>
    <t>DC_LOW_VOLT_LIMIT_LOAD_DISCONNECTED</t>
  </si>
  <si>
    <t>DC_LOW_STATE_CHARGE_LIMIT_REACHED</t>
  </si>
  <si>
    <t>DC_LOW_STATE_CHARGE_LIMIT_LOAD_DISCONNECTED</t>
  </si>
  <si>
    <t>DC_LOW_TEMP_LIMIT_REACHED</t>
  </si>
  <si>
    <t>DC_LOW_TEMP_LIMIT_DISCONNECTED</t>
  </si>
  <si>
    <t>DC_HIGH_TEMP_LIMIT_REACHED</t>
  </si>
  <si>
    <t>DC_HIGH_TEMP_LIMIT_DISCONNECTED</t>
  </si>
  <si>
    <t>DC_HIGH_CURR_LIMIT_REACHED</t>
  </si>
  <si>
    <t>DC_HIGH_CURR_LIMIT_DISCONNECTED</t>
  </si>
  <si>
    <t>AC_LOW_VOLT_ERROR</t>
  </si>
  <si>
    <t>AC_HIGH_VOLT_ERROR</t>
  </si>
  <si>
    <t>High voltage detected</t>
  </si>
  <si>
    <t>Low voltage detected</t>
  </si>
  <si>
    <t>1e000024</t>
  </si>
  <si>
    <t>Charger fault/error status</t>
  </si>
  <si>
    <t>Battery fault/error status</t>
  </si>
  <si>
    <t>Inverter faults/error status</t>
  </si>
  <si>
    <t>mchrg0status</t>
  </si>
  <si>
    <t>mbat0status</t>
  </si>
  <si>
    <t>minvert0status</t>
  </si>
  <si>
    <t>GEN_DEVICE_OVERTEMP</t>
  </si>
  <si>
    <t>Generic device overtemperture detected</t>
  </si>
  <si>
    <t>Generic battery cell fault detected</t>
  </si>
  <si>
    <t>Warning indicates whether DC Source (e.g. battery) has reached its upper operation voltage limit and charging sources should terminate</t>
  </si>
  <si>
    <t>Warning indicates whether DC Source (e.g. battery) has reached its lower operation voltage limit and loads should terminate</t>
  </si>
  <si>
    <t>Warning indicates whether DC Source (e.g. battery) has reached its lower state of charge limit and loads should be terminated.</t>
  </si>
  <si>
    <t>Warning indicates whether DC Source (e.g. battery) has reached its lower temperature limit and charging sources or loads should terminate</t>
  </si>
  <si>
    <t>Warning indicates whether DC Source (e.g. battery) has reached its upper temperature limit and loads or charging sources should terminate</t>
  </si>
  <si>
    <t>Warning indicates whether DC Source (e.g. battery) has reached its upper current limit and loads or charging sources should be disconnected</t>
  </si>
  <si>
    <t>AC_HIGH_CURR_ERROR</t>
  </si>
  <si>
    <t>Overload/High current detected</t>
  </si>
  <si>
    <t>1e050008</t>
  </si>
  <si>
    <t>1e050009</t>
  </si>
  <si>
    <t>1e05000a</t>
  </si>
  <si>
    <t>1e05000b</t>
  </si>
  <si>
    <t>1e06000c</t>
  </si>
  <si>
    <t>1e06000d</t>
  </si>
  <si>
    <t>1e06000e</t>
  </si>
  <si>
    <t>1e06000f</t>
  </si>
  <si>
    <t>1e070010</t>
  </si>
  <si>
    <t>1e070011</t>
  </si>
  <si>
    <t>1e070012</t>
  </si>
  <si>
    <t>1e070013</t>
  </si>
  <si>
    <t>1e070014</t>
  </si>
  <si>
    <t>1e070015</t>
  </si>
  <si>
    <t>1e070016</t>
  </si>
  <si>
    <t>1e070017</t>
  </si>
  <si>
    <t>1e070018</t>
  </si>
  <si>
    <t>1e070019</t>
  </si>
  <si>
    <t>1e07001a</t>
  </si>
  <si>
    <t>1e07001b</t>
  </si>
  <si>
    <t>1e07001c</t>
  </si>
  <si>
    <t>1e07001d</t>
  </si>
  <si>
    <t>1e07001e</t>
  </si>
  <si>
    <t>1e07001f</t>
  </si>
  <si>
    <t>1e070020</t>
  </si>
  <si>
    <t>1e070021</t>
  </si>
  <si>
    <t>Current (A)</t>
  </si>
  <si>
    <t>currlim</t>
  </si>
  <si>
    <t>Limit current (A) setting</t>
  </si>
  <si>
    <t>0102002c</t>
  </si>
  <si>
    <t>ac0curr</t>
  </si>
  <si>
    <t>0102002d</t>
  </si>
  <si>
    <t>ac0currlim</t>
  </si>
  <si>
    <t>4A=0</t>
  </si>
  <si>
    <t>5A=1</t>
  </si>
  <si>
    <t>6A=2</t>
  </si>
  <si>
    <t>7A=3</t>
  </si>
  <si>
    <t>Unlimited=7</t>
  </si>
  <si>
    <t>btc</t>
  </si>
  <si>
    <t>020a0000</t>
  </si>
  <si>
    <t>btc0avl</t>
  </si>
  <si>
    <t>Bluetooth clients</t>
  </si>
  <si>
    <t>conn</t>
  </si>
  <si>
    <t>Connected</t>
  </si>
  <si>
    <t>020a0001</t>
  </si>
  <si>
    <t>btc0conn</t>
  </si>
  <si>
    <t>020a0002</t>
  </si>
  <si>
    <t>btc0name</t>
  </si>
  <si>
    <t>020a0003</t>
  </si>
  <si>
    <t>Permanently remove bonding information</t>
  </si>
  <si>
    <t>btc0del</t>
  </si>
  <si>
    <t>LiFePO4 4=12</t>
  </si>
  <si>
    <t>update = 1 -&gt; add, = 0 -&gt; remove class, default to add</t>
  </si>
  <si>
    <t>Turn BLE on/off</t>
  </si>
  <si>
    <t>02030007</t>
  </si>
  <si>
    <t>bt0on</t>
  </si>
  <si>
    <t>0800002f</t>
  </si>
  <si>
    <t>rfan0feature</t>
  </si>
  <si>
    <t>ReverseAirflow=1</t>
  </si>
  <si>
    <t>Light=2</t>
  </si>
  <si>
    <t>Motionsensor=4</t>
  </si>
  <si>
    <t>Available features</t>
  </si>
  <si>
    <t>systupd</t>
  </si>
  <si>
    <t>System time update</t>
  </si>
  <si>
    <t>System time has been updated, this is the new time</t>
  </si>
  <si>
    <t>14080007</t>
  </si>
  <si>
    <t>svc0systupd</t>
  </si>
  <si>
    <t>CurrentLimit=0x100</t>
  </si>
  <si>
    <t>Dometic FJZ4000 series=17</t>
  </si>
  <si>
    <t>Dometic FJZ7000 series=18</t>
  </si>
  <si>
    <t>Eco=3</t>
  </si>
  <si>
    <t>Freezer=4</t>
  </si>
  <si>
    <t>Delete the group instance</t>
  </si>
  <si>
    <t>Dometic FreshJet 4 Series=19</t>
  </si>
  <si>
    <t>Dometic FreshJet 5 Series=20</t>
  </si>
  <si>
    <t>Dometic FreshJet 6 Series=21</t>
  </si>
  <si>
    <t>Dometic FreshJet 7 Series=22</t>
  </si>
  <si>
    <t>020b0000</t>
  </si>
  <si>
    <t>020b0001</t>
  </si>
  <si>
    <t>csr</t>
  </si>
  <si>
    <t>020b0002</t>
  </si>
  <si>
    <t>Used to set a new CA if needed</t>
  </si>
  <si>
    <t>cacert</t>
  </si>
  <si>
    <t>Delete the Signed Server certificate</t>
  </si>
  <si>
    <t>020b0003</t>
  </si>
  <si>
    <t>020b0004</t>
  </si>
  <si>
    <t>tls</t>
  </si>
  <si>
    <t>TLS support</t>
  </si>
  <si>
    <t>tls0avl</t>
  </si>
  <si>
    <t>tls0del</t>
  </si>
  <si>
    <t>tls0cacert</t>
  </si>
  <si>
    <t>tls0csr</t>
  </si>
  <si>
    <t>cert</t>
  </si>
  <si>
    <t>tls0cert</t>
  </si>
  <si>
    <t>CA certificate, public part</t>
  </si>
  <si>
    <t>Signed Server certificate</t>
  </si>
  <si>
    <t>Certificate Signing Request</t>
  </si>
  <si>
    <t>0=Not valid; 1=Valid</t>
  </si>
  <si>
    <t>rvcdm</t>
  </si>
  <si>
    <t>1b4a0000</t>
  </si>
  <si>
    <t>rvcdm0avl</t>
  </si>
  <si>
    <t>Operating status</t>
  </si>
  <si>
    <t>1b4a0001</t>
  </si>
  <si>
    <t>rvcdm0opst</t>
  </si>
  <si>
    <t>Off/Standby=0</t>
  </si>
  <si>
    <t>Off/Active=1</t>
  </si>
  <si>
    <t>On/Standby=4</t>
  </si>
  <si>
    <t>On/Active=5</t>
  </si>
  <si>
    <t>ylampst</t>
  </si>
  <si>
    <t>rlampst</t>
  </si>
  <si>
    <t>spn</t>
  </si>
  <si>
    <t>fmi</t>
  </si>
  <si>
    <t>dsaext</t>
  </si>
  <si>
    <t>banksel</t>
  </si>
  <si>
    <t>1b4a0002</t>
  </si>
  <si>
    <t>rvcdm0ylampst</t>
  </si>
  <si>
    <t>1b4a0003</t>
  </si>
  <si>
    <t>rvcdm0rlampst</t>
  </si>
  <si>
    <t>1b4a0004</t>
  </si>
  <si>
    <t>rvcdm0dsa</t>
  </si>
  <si>
    <t>1b4a0005</t>
  </si>
  <si>
    <t>rvcdm0spn</t>
  </si>
  <si>
    <t>1b4a0006</t>
  </si>
  <si>
    <t>rvcdm0fmi</t>
  </si>
  <si>
    <t>1b4a0007</t>
  </si>
  <si>
    <t>rvcdm0ocnt</t>
  </si>
  <si>
    <t>1b4a0008</t>
  </si>
  <si>
    <t>rvcdm0dsaext</t>
  </si>
  <si>
    <t>1b4a0009</t>
  </si>
  <si>
    <t>rvcdm0banksel</t>
  </si>
  <si>
    <t>Default Source Address</t>
  </si>
  <si>
    <t>Yellow lamp status (fault status)</t>
  </si>
  <si>
    <t>Red lamp status (fault status)</t>
  </si>
  <si>
    <t>Service Point Number</t>
  </si>
  <si>
    <t>Failure Mode Identifier</t>
  </si>
  <si>
    <t>Occurrence count</t>
  </si>
  <si>
    <t>DSA extenstion, 0xFF if no extension defined</t>
  </si>
  <si>
    <t>Bank select</t>
  </si>
  <si>
    <t>0-13 where bank selection is supoprted, otherwize 0xF</t>
  </si>
  <si>
    <t>rvcdm0sync</t>
  </si>
  <si>
    <t>1b4a000a</t>
  </si>
  <si>
    <t>plist</t>
  </si>
  <si>
    <t>Product list</t>
  </si>
  <si>
    <t>rstpwd</t>
  </si>
  <si>
    <t>Reset password</t>
  </si>
  <si>
    <t>pwd</t>
  </si>
  <si>
    <t>0204000b</t>
  </si>
  <si>
    <t>btwl0pwd</t>
  </si>
  <si>
    <t>1e090001</t>
  </si>
  <si>
    <t>mps0plist</t>
  </si>
  <si>
    <t>1e090002</t>
  </si>
  <si>
    <t>mps0rstpwd</t>
  </si>
  <si>
    <t>device pair failed=4</t>
  </si>
  <si>
    <t>System State of Chage (SOC)</t>
  </si>
  <si>
    <t>1e090003</t>
  </si>
  <si>
    <t>mps0soc</t>
  </si>
  <si>
    <t>typedef struct DDM2_PARAMETER_LIST_DATA
{
	uint32_t parameter;
	int cloud;
	const char *netwthing;
	const char *device_class;
	const char *property;
	uint8_t in_type;
	uint8_t in_unit;
	uint8_t out_type;
	uint8_t out_unit;
} DDM2_PARAMETER_LIST_DATA;</t>
  </si>
  <si>
    <t>mute</t>
  </si>
  <si>
    <t>Mute sound, overrides hmi0sound</t>
  </si>
  <si>
    <t>17030008</t>
  </si>
  <si>
    <t>hmi0mute</t>
  </si>
  <si>
    <t>childlock</t>
  </si>
  <si>
    <t>Childlock function on HMI</t>
  </si>
  <si>
    <t>Screen timeout to standby</t>
  </si>
  <si>
    <t>17030009</t>
  </si>
  <si>
    <t>hmi0childlock</t>
  </si>
  <si>
    <t>1703000a</t>
  </si>
  <si>
    <t>screentimeout</t>
  </si>
  <si>
    <t>hmi0screentimeout</t>
  </si>
  <si>
    <t>rstbath</t>
  </si>
  <si>
    <t xml:space="preserve">Reset battery health to 100% </t>
  </si>
  <si>
    <t>0=No action;1=Reset to 100%</t>
  </si>
  <si>
    <t>1b270008</t>
  </si>
  <si>
    <t>rvcdcsrccfgtwo0rstbath</t>
  </si>
  <si>
    <t>battype</t>
  </si>
  <si>
    <t>Sets the battery type</t>
  </si>
  <si>
    <t>1b270009</t>
  </si>
  <si>
    <t>rvcdcsrccfgtwo0battype</t>
  </si>
  <si>
    <t>Manufacturing code</t>
  </si>
  <si>
    <t>funcinst</t>
  </si>
  <si>
    <t>Function instance</t>
  </si>
  <si>
    <t>Same as in field from ADDRESS CLAIM DGN</t>
  </si>
  <si>
    <t>Firmware revision</t>
  </si>
  <si>
    <t>Manufacturer specific firmware revision number</t>
  </si>
  <si>
    <t>fwrev</t>
  </si>
  <si>
    <t>conftype</t>
  </si>
  <si>
    <t>Configuration type</t>
  </si>
  <si>
    <t>Manufacture specific configuration type. A configuration type of FFFFFF indicates an invalid configuration.</t>
  </si>
  <si>
    <t>confrev</t>
  </si>
  <si>
    <t>Configuration revision</t>
  </si>
  <si>
    <t>Manufacturer specific configuration revision number. Configuration master can use this to determine if a node’s configuration file is up to date</t>
  </si>
  <si>
    <t>1b4b0000</t>
  </si>
  <si>
    <t>1b4b0001</t>
  </si>
  <si>
    <t>1b4b0002</t>
  </si>
  <si>
    <t>1b4b0003</t>
  </si>
  <si>
    <t>1b4b0004</t>
  </si>
  <si>
    <t>1b4b0005</t>
  </si>
  <si>
    <t>1b4b0006</t>
  </si>
  <si>
    <t>1b4b0007</t>
  </si>
  <si>
    <t>17F## 98048 + address</t>
  </si>
  <si>
    <t>rvcgencfg</t>
  </si>
  <si>
    <t>rvcgenrst</t>
  </si>
  <si>
    <t>rvcgencfg0avl</t>
  </si>
  <si>
    <t>rvcgencfg0sync</t>
  </si>
  <si>
    <t>rvcgencfg0mc</t>
  </si>
  <si>
    <t>rvcgencfg0funcinst</t>
  </si>
  <si>
    <t>rvcgencfg0func</t>
  </si>
  <si>
    <t>rvcgencfg0fwrev</t>
  </si>
  <si>
    <t>rvcgencfg0conftype</t>
  </si>
  <si>
    <t>rvcgencfg0confrev</t>
  </si>
  <si>
    <t>1b4c0000</t>
  </si>
  <si>
    <t>rvcgenrst0avl</t>
  </si>
  <si>
    <t>1b4c0001</t>
  </si>
  <si>
    <t>rvcgenrst0sync</t>
  </si>
  <si>
    <t>reboot</t>
  </si>
  <si>
    <t>0=No action;1=Reboot</t>
  </si>
  <si>
    <t>Reboot</t>
  </si>
  <si>
    <t>clrfaults</t>
  </si>
  <si>
    <t>Clear faults</t>
  </si>
  <si>
    <t>0=No action;1=Clear faults</t>
  </si>
  <si>
    <t>rstdefault</t>
  </si>
  <si>
    <t>Reset to default settings</t>
  </si>
  <si>
    <t>0=No action;1=Restore to default</t>
  </si>
  <si>
    <t>rststat</t>
  </si>
  <si>
    <t>Reset statistics</t>
  </si>
  <si>
    <t>0=No action;1=Reset communication status statistics</t>
  </si>
  <si>
    <t>testmode</t>
  </si>
  <si>
    <t>Test mode</t>
  </si>
  <si>
    <t xml:space="preserve">0=Quit testing node;1=Initiate testing node </t>
  </si>
  <si>
    <t>1b4c0002</t>
  </si>
  <si>
    <t>rvcgenrst0reboot</t>
  </si>
  <si>
    <t>1b4c0003</t>
  </si>
  <si>
    <t>rvcgenrst0clrfaults</t>
  </si>
  <si>
    <t>1b4c0004</t>
  </si>
  <si>
    <t>rvcgenrst0rstdefault</t>
  </si>
  <si>
    <t>1b4c0005</t>
  </si>
  <si>
    <t>rvcgenrst0rststat</t>
  </si>
  <si>
    <t>1b4c0006</t>
  </si>
  <si>
    <t>rvcgenrst0testmode</t>
  </si>
  <si>
    <t>rstoem</t>
  </si>
  <si>
    <t>Reset to OEM-pecific settings</t>
  </si>
  <si>
    <t>0=No action;1=Restore setting to default values</t>
  </si>
  <si>
    <t>rebootbl</t>
  </si>
  <si>
    <t>Reboot/Enter bootloader mode</t>
  </si>
  <si>
    <t>1b4c0007</t>
  </si>
  <si>
    <t>rvcgenrst0rstoem</t>
  </si>
  <si>
    <t>1b4c0008</t>
  </si>
  <si>
    <t>rvcgenrst0rebootbl</t>
  </si>
  <si>
    <t>rvcchrg</t>
  </si>
  <si>
    <t>1b4d0000</t>
  </si>
  <si>
    <t>rvcchrg0avl</t>
  </si>
  <si>
    <t>1b4d0001</t>
  </si>
  <si>
    <t>rvcchrg0sync</t>
  </si>
  <si>
    <t>The charger status DGN describes the general operating status of the Charger on a particular DC Source (Battery Bank)</t>
  </si>
  <si>
    <t>Charger voltage</t>
  </si>
  <si>
    <t>Charger current</t>
  </si>
  <si>
    <t>currmax</t>
  </si>
  <si>
    <t>Control current as a percent of the maximum</t>
  </si>
  <si>
    <t>Specifies the current operating state of the charger for the identified DC source</t>
  </si>
  <si>
    <t>1b4d0002</t>
  </si>
  <si>
    <t>rvcchrg0inst</t>
  </si>
  <si>
    <t>1b4d0003</t>
  </si>
  <si>
    <t>rvcchrg0volt</t>
  </si>
  <si>
    <t>1b4d0004</t>
  </si>
  <si>
    <t>rvcchrg0curr</t>
  </si>
  <si>
    <t>1b4d0005</t>
  </si>
  <si>
    <t>rvcchrg0currmax</t>
  </si>
  <si>
    <t>1b4d0006</t>
  </si>
  <si>
    <t>rvcchrg0operst</t>
  </si>
  <si>
    <t>defst</t>
  </si>
  <si>
    <t>0=Charger disabled;1=Charger enabled</t>
  </si>
  <si>
    <t>auto</t>
  </si>
  <si>
    <t>Auto recharge reinitializes charging if battery voltage drops below a certain voltage</t>
  </si>
  <si>
    <t>0=Charger disable;1=Charger enable</t>
  </si>
  <si>
    <t>0=Auto recharge disabled;1=Auto recharge enabled</t>
  </si>
  <si>
    <t>0=Auto recharge disable;1=Auto recharge enable</t>
  </si>
  <si>
    <t>1b4d0007</t>
  </si>
  <si>
    <t>rvcchrg0defst</t>
  </si>
  <si>
    <t>1b4d0008</t>
  </si>
  <si>
    <t>rvcchrg0auto</t>
  </si>
  <si>
    <t>1b4d0009</t>
  </si>
  <si>
    <t>rvcchrg0force</t>
  </si>
  <si>
    <t>rvcchrgtwo0avl</t>
  </si>
  <si>
    <t>The charger status2 DGN communicants the linkage of a given charging device instance with its associated DC battery instance.
It also allows for the reporting of the chargers priority relative to other charging sources as well as additional operating conditions
vs. the goals from Charger Status 1.</t>
  </si>
  <si>
    <t>rvcchrgtwo</t>
  </si>
  <si>
    <t>1b4e0000</t>
  </si>
  <si>
    <t>1b4f0000</t>
  </si>
  <si>
    <t>1b4f0001</t>
  </si>
  <si>
    <t>1b4e0001</t>
  </si>
  <si>
    <t>rvcchrgtwo0sync</t>
  </si>
  <si>
    <t>1b4e0002</t>
  </si>
  <si>
    <t>rvcchrgtwo0inst</t>
  </si>
  <si>
    <t>Priority of charger
0 = Unassigned
Higher value indicates higher priority</t>
  </si>
  <si>
    <t>Charger temperature</t>
  </si>
  <si>
    <t>1b4e0003</t>
  </si>
  <si>
    <t>rvcchrgtwo0prio</t>
  </si>
  <si>
    <t>1b4e0004</t>
  </si>
  <si>
    <t>rvcchrgtwo0volt</t>
  </si>
  <si>
    <t>1b4e0005</t>
  </si>
  <si>
    <t>rvcchrgtwo0curr</t>
  </si>
  <si>
    <t>1b4e0006</t>
  </si>
  <si>
    <t>rvcchrgtwo0temp</t>
  </si>
  <si>
    <t>rvcchrgthree</t>
  </si>
  <si>
    <t>RVC Charger Status 3 (130506)</t>
  </si>
  <si>
    <t>0=Charger not derating;1=Charger derating</t>
  </si>
  <si>
    <t>0 – Not derating
1 – High Internal Temperature
2 – High Battery Temperature
3 – Battery Voltage
4 – AC Input Voltage
5 – AC Input Current</t>
  </si>
  <si>
    <t>rvcchrgthree0avl</t>
  </si>
  <si>
    <t>rvcchrgthree0sync</t>
  </si>
  <si>
    <t>1b4f0002</t>
  </si>
  <si>
    <t>rvcchrgthree0inst</t>
  </si>
  <si>
    <t>1b4f0003</t>
  </si>
  <si>
    <t>rvcchrgthree0derst</t>
  </si>
  <si>
    <t>1b4f0004</t>
  </si>
  <si>
    <t>rvcchrgthree0derreas</t>
  </si>
  <si>
    <t>Not derating=0</t>
  </si>
  <si>
    <t>High internal temperature=1</t>
  </si>
  <si>
    <t>High battery temperature=2</t>
  </si>
  <si>
    <t>Battery voltage=3</t>
  </si>
  <si>
    <t>AC input voltage=4</t>
  </si>
  <si>
    <t>AC input current=5</t>
  </si>
  <si>
    <t>rvcchrgcfg</t>
  </si>
  <si>
    <t>1b500000</t>
  </si>
  <si>
    <t>rvcchrgcfg0avl</t>
  </si>
  <si>
    <t>This DG provides configuration information for the Charger</t>
  </si>
  <si>
    <t>1b500001</t>
  </si>
  <si>
    <t>rvcchrgcfg0sync</t>
  </si>
  <si>
    <t>1b500002</t>
  </si>
  <si>
    <t>rvcchrgcfg0inst</t>
  </si>
  <si>
    <t>1b500003</t>
  </si>
  <si>
    <t>rvcchrgcfg0algo</t>
  </si>
  <si>
    <t>Charging mode</t>
  </si>
  <si>
    <t>1b500004</t>
  </si>
  <si>
    <t>rvcchrgcfg0mode</t>
  </si>
  <si>
    <t>batsensor</t>
  </si>
  <si>
    <t>Charger installation line</t>
  </si>
  <si>
    <t>0=Line 1;1=Line 2</t>
  </si>
  <si>
    <t>1b500005</t>
  </si>
  <si>
    <t>rvcchrgcfg0batsensor</t>
  </si>
  <si>
    <t>1b500006</t>
  </si>
  <si>
    <t>rvcchrgcfg0line</t>
  </si>
  <si>
    <t>1b500007</t>
  </si>
  <si>
    <t>rvcchrgcfg0type</t>
  </si>
  <si>
    <t>1b500008</t>
  </si>
  <si>
    <t>rvcchrgcfg0bank</t>
  </si>
  <si>
    <t>1b500009</t>
  </si>
  <si>
    <t>rvcchrgcfg0maxcurr</t>
  </si>
  <si>
    <t>{"type":["u8",1],"addr":["u8",6],"password":["u8",0]}</t>
  </si>
  <si>
    <t>Control voltage: The voltage desired to be delivered to the battery
The value provided via this parameter shall be used during the Constant Voltage Charging Algorithm.This field applies only for the CC/CV charger operating state</t>
  </si>
  <si>
    <t>Control current: The current desired to be delivered to the battery
The value provided via this parameter shall be used during the Constant Current Charging Algorithm.This field applies only for the CC/CV charger operating state</t>
  </si>
  <si>
    <t>Enable charger=1</t>
  </si>
  <si>
    <t>rvcdcsrcconn</t>
  </si>
  <si>
    <t>rvcdcsrcconn0avl</t>
  </si>
  <si>
    <t>rvcdcsrcconn0sync</t>
  </si>
  <si>
    <t>rvcdcsrcconn0inst</t>
  </si>
  <si>
    <t>rvcdcsrcconn0dsa</t>
  </si>
  <si>
    <t>rvcdcsrcconn0func</t>
  </si>
  <si>
    <t>rvcdcsrcconn0prim</t>
  </si>
  <si>
    <t>rvcdcsrcconn0sec</t>
  </si>
  <si>
    <t>rvcchrgcfgtwo</t>
  </si>
  <si>
    <t>RVC Charger Configuration 2 Status/Command (130966/130965)</t>
  </si>
  <si>
    <t>1b510000</t>
  </si>
  <si>
    <t>rvcchrgcfgtwo0avl</t>
  </si>
  <si>
    <t>1b510001</t>
  </si>
  <si>
    <t>rvcchrgcfgtwo0sync</t>
  </si>
  <si>
    <t>1b510002</t>
  </si>
  <si>
    <t>rvcchrgcfgtwo0inst</t>
  </si>
  <si>
    <t>Maximum charge current as percent</t>
  </si>
  <si>
    <t>ratelimit</t>
  </si>
  <si>
    <t>Charge rate limit as percent of bank size</t>
  </si>
  <si>
    <t>1b510003</t>
  </si>
  <si>
    <t>rvcchrgcfgtwo0maxcurr</t>
  </si>
  <si>
    <t>1b510004</t>
  </si>
  <si>
    <t>rvcchrgcfgtwo0ratelimit</t>
  </si>
  <si>
    <t>breaker</t>
  </si>
  <si>
    <t>Shore breaker size</t>
  </si>
  <si>
    <t>battemp</t>
  </si>
  <si>
    <t>Default battery temperature</t>
  </si>
  <si>
    <t>May be used in the absence of a battery temperature sensor on the charger</t>
  </si>
  <si>
    <t>1b510005</t>
  </si>
  <si>
    <t>rvcchrgcfgtwo0breaker</t>
  </si>
  <si>
    <t>1b510006</t>
  </si>
  <si>
    <t>rvcchrgcfgtwo0battemp</t>
  </si>
  <si>
    <t>rechargevolt</t>
  </si>
  <si>
    <t>Recharge voltage</t>
  </si>
  <si>
    <t>Charger may initiate charging when battery drains past this value</t>
  </si>
  <si>
    <t>1b510007</t>
  </si>
  <si>
    <t>rvcchrgcfgtwo0rechargevolt</t>
  </si>
  <si>
    <t>rvcchrgcfgthree</t>
  </si>
  <si>
    <t>1b520000</t>
  </si>
  <si>
    <t>rvcchrgcfgthree0avl</t>
  </si>
  <si>
    <t>1b520001</t>
  </si>
  <si>
    <t>rvcchrgcfgthree0sync</t>
  </si>
  <si>
    <t>1b520002</t>
  </si>
  <si>
    <t>rvcchrgcfgthree0inst</t>
  </si>
  <si>
    <t>Bulk voltage</t>
  </si>
  <si>
    <t>Absorption voltage</t>
  </si>
  <si>
    <t>avolt</t>
  </si>
  <si>
    <t>1b520003</t>
  </si>
  <si>
    <t>rvcchrgcfgthree0bvolt</t>
  </si>
  <si>
    <t>1b520004</t>
  </si>
  <si>
    <t>rvcchrgcfgthree0avolt</t>
  </si>
  <si>
    <t>1b520005</t>
  </si>
  <si>
    <t>rvcchrgcfgthree0fvolt</t>
  </si>
  <si>
    <t>tempcomp</t>
  </si>
  <si>
    <t>Temperature compensation constant (mV/K)</t>
  </si>
  <si>
    <t>1b520006</t>
  </si>
  <si>
    <t>rvcchrgcfgthree0tempcomp</t>
  </si>
  <si>
    <t>0...250 mV/K</t>
  </si>
  <si>
    <t>rvcchrgcfgfour</t>
  </si>
  <si>
    <t>1b530000</t>
  </si>
  <si>
    <t>rvcchrgcfgfour0avl</t>
  </si>
  <si>
    <t>1b530001</t>
  </si>
  <si>
    <t>rvcchrgcfgfour0sync</t>
  </si>
  <si>
    <t>1b530002</t>
  </si>
  <si>
    <t>rvcchrgcfgfour0inst</t>
  </si>
  <si>
    <t>btime</t>
  </si>
  <si>
    <t>atime</t>
  </si>
  <si>
    <t>ftime</t>
  </si>
  <si>
    <t>Bulk time</t>
  </si>
  <si>
    <t>Absorption time</t>
  </si>
  <si>
    <t>Float time</t>
  </si>
  <si>
    <t>1b530003</t>
  </si>
  <si>
    <t>rvcchrgcfgfour0btime</t>
  </si>
  <si>
    <t>1b530004</t>
  </si>
  <si>
    <t>rvcchrgcfgfour0atime</t>
  </si>
  <si>
    <t>1b530005</t>
  </si>
  <si>
    <t>rvcchrgcfgfour0ftime</t>
  </si>
  <si>
    <t>rvcchrgeq</t>
  </si>
  <si>
    <t>1b540000</t>
  </si>
  <si>
    <t>rvcchrgeq0avl</t>
  </si>
  <si>
    <t>1b540001</t>
  </si>
  <si>
    <t>rvcchrgeq0sync</t>
  </si>
  <si>
    <t>1b540002</t>
  </si>
  <si>
    <t>rvcchrgeq0inst</t>
  </si>
  <si>
    <t>This describes the status of the Equalization process</t>
  </si>
  <si>
    <t>prechgst</t>
  </si>
  <si>
    <t>00b — Pre-charging is not in process
01b — Charger is charging the batteries to prepare for equalization</t>
  </si>
  <si>
    <t>1b540003</t>
  </si>
  <si>
    <t>rvcchrgeq0time</t>
  </si>
  <si>
    <t>1b540004</t>
  </si>
  <si>
    <t>rvcchrgeq0prechgst</t>
  </si>
  <si>
    <t>1=Prepare for equalization</t>
  </si>
  <si>
    <t>rvcchrgeqcfg</t>
  </si>
  <si>
    <t>This describes configuration information for the Equalization mode of the Charger</t>
  </si>
  <si>
    <t>1b550000</t>
  </si>
  <si>
    <t>rvcchrgeqcfg0avl</t>
  </si>
  <si>
    <t>1b550001</t>
  </si>
  <si>
    <t>rvcchrgeqcfg0sync</t>
  </si>
  <si>
    <t>1b550002</t>
  </si>
  <si>
    <t>rvcchrgeqcfg0inst</t>
  </si>
  <si>
    <t>1b550003</t>
  </si>
  <si>
    <t>rvcchrgeqcfg0volt</t>
  </si>
  <si>
    <t>1b550004</t>
  </si>
  <si>
    <t>rvcchrgeqcfg0time</t>
  </si>
  <si>
    <t>rvcchrgac</t>
  </si>
  <si>
    <t>Same as AC STATUS 1</t>
  </si>
  <si>
    <t>RVC DGN Charger Status/Command (131015/131013)</t>
  </si>
  <si>
    <t>RVC DGN General Purpose Reset (98048)</t>
  </si>
  <si>
    <t>RVC DGN Generic Configuration Status (130776)</t>
  </si>
  <si>
    <t>RVC DGN Diagnostic Message (130762)</t>
  </si>
  <si>
    <t>RVC DGN Charger Status 2 (130723)</t>
  </si>
  <si>
    <t>RVC DGN Charger Configuration Status/Command (131014/131012)</t>
  </si>
  <si>
    <t>RVC DGN Charger Configuration 3 Status/Command (130764/130763)</t>
  </si>
  <si>
    <t>RVC DGN Charger Equalization Status (130969)</t>
  </si>
  <si>
    <t>RVC DGN Charger Configuration 4 Status/Command (130751/130750)</t>
  </si>
  <si>
    <t>RVC DGN Charger Equalization Configuration Status/Command (130968/130967)</t>
  </si>
  <si>
    <t>RVC DGN Charger AC Status 1 (131018)</t>
  </si>
  <si>
    <t>Value range = 0 to 500 Hz</t>
  </si>
  <si>
    <t>groundcurr</t>
  </si>
  <si>
    <t>openground</t>
  </si>
  <si>
    <t>openneutral</t>
  </si>
  <si>
    <t>1b560000</t>
  </si>
  <si>
    <t>rvcchrgac0avl</t>
  </si>
  <si>
    <t>1b560001</t>
  </si>
  <si>
    <t>rvcchrgac0sync</t>
  </si>
  <si>
    <t>1b560002</t>
  </si>
  <si>
    <t>rvcchrgac0volt</t>
  </si>
  <si>
    <t>1b560003</t>
  </si>
  <si>
    <t>rvcchrgac0curr</t>
  </si>
  <si>
    <t>1b560004</t>
  </si>
  <si>
    <t>rvcchrgac0freq</t>
  </si>
  <si>
    <t>1b560005</t>
  </si>
  <si>
    <t>rvcchrgac0openground</t>
  </si>
  <si>
    <t>1b560006</t>
  </si>
  <si>
    <t>rvcchrgac0openneutral</t>
  </si>
  <si>
    <t>1b560007</t>
  </si>
  <si>
    <t>rvcchrgac0revpol</t>
  </si>
  <si>
    <t>1b560008</t>
  </si>
  <si>
    <t>rvcchrgac0groundcurr</t>
  </si>
  <si>
    <t>Fault – open ground</t>
  </si>
  <si>
    <t>Fault – open neutral</t>
  </si>
  <si>
    <t>Fault – reverse polarity</t>
  </si>
  <si>
    <t>Fault – ground current</t>
  </si>
  <si>
    <t>rvcchrgac0inst</t>
  </si>
  <si>
    <t>1b560009</t>
  </si>
  <si>
    <t>rvcchrgactwo</t>
  </si>
  <si>
    <t>Same as AC STATUS 2</t>
  </si>
  <si>
    <t>A charger will have AC inputs. Same as AC STATUS 1</t>
  </si>
  <si>
    <t>A charger will have AC inputs. Same as AC STATUS 2</t>
  </si>
  <si>
    <t>RVC DGN Charger AC Status 2 (131017)</t>
  </si>
  <si>
    <t>pvolt</t>
  </si>
  <si>
    <t>pcurr</t>
  </si>
  <si>
    <t>Ground current</t>
  </si>
  <si>
    <t>Capacity</t>
  </si>
  <si>
    <t>This generally shall indicate the size of the breaker on the circuit. In demand applications it may indicate the peak current requirements for the device</t>
  </si>
  <si>
    <t>1b570000</t>
  </si>
  <si>
    <t>rvcchrgactwo0avl</t>
  </si>
  <si>
    <t>1b570001</t>
  </si>
  <si>
    <t>rvcchrgactwo0sync</t>
  </si>
  <si>
    <t>1b570002</t>
  </si>
  <si>
    <t>rvcchrgactwo0inst</t>
  </si>
  <si>
    <t>1b570003</t>
  </si>
  <si>
    <t>rvcchrgactwo0pvolt</t>
  </si>
  <si>
    <t>1b570004</t>
  </si>
  <si>
    <t>rvcchrgactwo0pcurr</t>
  </si>
  <si>
    <t>1b570005</t>
  </si>
  <si>
    <t>rvcchrgactwo0gcurr</t>
  </si>
  <si>
    <t>1b570006</t>
  </si>
  <si>
    <t>rvcchrgactwo0cap</t>
  </si>
  <si>
    <t>rvcchrgacthree</t>
  </si>
  <si>
    <t>A charger will have AC inputs. Same as AC STATUS 3</t>
  </si>
  <si>
    <t>RVC DGN Charger AC Status 3 (131016)</t>
  </si>
  <si>
    <t>1b580000</t>
  </si>
  <si>
    <t>rvcchrgacthree0avl</t>
  </si>
  <si>
    <t>1b580001</t>
  </si>
  <si>
    <t>rvcchrgacthree0sync</t>
  </si>
  <si>
    <t>1b580002</t>
  </si>
  <si>
    <t>rvcchrgacthree0inst</t>
  </si>
  <si>
    <t>waveform</t>
  </si>
  <si>
    <t>0=Sine wave;1=Not a true sine wave</t>
  </si>
  <si>
    <t>Not a true sine wave
This shall apply to inverters with “modified” or “quasi” sine wave outputs</t>
  </si>
  <si>
    <t>1b580003</t>
  </si>
  <si>
    <t>rvcchrgacthree0waveform</t>
  </si>
  <si>
    <t>1b580004</t>
  </si>
  <si>
    <t>rvcchrgacthree0phase</t>
  </si>
  <si>
    <t>0000b - No complementary leg
0001b - In phase (240 VAC not available)
0010b - 180 Degrees out of phase (240 VAC available)
0011b - Phase relationship is variable
1110b - Error
1111b - No data</t>
  </si>
  <si>
    <t>realpow</t>
  </si>
  <si>
    <t>Real power</t>
  </si>
  <si>
    <t>reactpow</t>
  </si>
  <si>
    <t>Reactive power</t>
  </si>
  <si>
    <t>Negative values are “lagging”, positive values are “leading”</t>
  </si>
  <si>
    <t>harmdist</t>
  </si>
  <si>
    <t>Harmonic distortion</t>
  </si>
  <si>
    <t>complleg</t>
  </si>
  <si>
    <t>Complementary leg</t>
  </si>
  <si>
    <t>Instance of complementary leg (see Phase status)</t>
  </si>
  <si>
    <t>1b580005</t>
  </si>
  <si>
    <t>rvcchrgacthree0realpow</t>
  </si>
  <si>
    <t>1b580006</t>
  </si>
  <si>
    <t>rvcchrgacthree0reactpow</t>
  </si>
  <si>
    <t>1b580007</t>
  </si>
  <si>
    <t>rvcchrgacthree0harmdist</t>
  </si>
  <si>
    <t>1b580008</t>
  </si>
  <si>
    <t>rvcchrgacthree0complleg</t>
  </si>
  <si>
    <t>rvcchrgacfour</t>
  </si>
  <si>
    <t>A charger will have AC inputs. Same as AC STATUS 4</t>
  </si>
  <si>
    <t>RVC DGN Charger AC Status 4 (130954)</t>
  </si>
  <si>
    <t>1b590000</t>
  </si>
  <si>
    <t>rvcchrgacfour0avl</t>
  </si>
  <si>
    <t>1b590001</t>
  </si>
  <si>
    <t>rvcchrgacfour0sync</t>
  </si>
  <si>
    <t>1b590002</t>
  </si>
  <si>
    <t>rvcchrgacfour0inst</t>
  </si>
  <si>
    <t>voltfault</t>
  </si>
  <si>
    <t>Voltage fault</t>
  </si>
  <si>
    <t>0 - Voltage OK
1 - Extremely low voltage
2 - Low voltage
3 - High voltage
4 - Extremely high voltage
5 = Open Line 1 Detected
6 = Open Line 2 Detected</t>
  </si>
  <si>
    <t>surgefault</t>
  </si>
  <si>
    <t>Fault – Surge protection</t>
  </si>
  <si>
    <t>00b - No fault
01b - Surge fault detected (Service request for surge protector)</t>
  </si>
  <si>
    <t>hfreqfault</t>
  </si>
  <si>
    <t>Fault – High frequency</t>
  </si>
  <si>
    <t>00b - No fault
01b - Frequency over high limit</t>
  </si>
  <si>
    <t>lfreqfault</t>
  </si>
  <si>
    <t>Fault – Low frequency</t>
  </si>
  <si>
    <t>00b - No fault
01b - Frequency below low limit</t>
  </si>
  <si>
    <t>Bypass mode active</t>
  </si>
  <si>
    <t>00b - Normal mode
01b - Bypass mode (Circuit protection is overridden)</t>
  </si>
  <si>
    <t>qual</t>
  </si>
  <si>
    <t>Qualification status</t>
  </si>
  <si>
    <t>0 – Unqualified (No AC present)
1 – Unqualified (Bad AC)
2 – Waiting to Qualify
3 – Qualifying
4 – Qualified (Good AC)</t>
  </si>
  <si>
    <t>1b590003</t>
  </si>
  <si>
    <t>rvcchrgacfour0voltfault</t>
  </si>
  <si>
    <t>1b590004</t>
  </si>
  <si>
    <t>rvcchrgacfour0surgefault</t>
  </si>
  <si>
    <t>1b590005</t>
  </si>
  <si>
    <t>rvcchrgacfour0hfreqfault</t>
  </si>
  <si>
    <t>1b590006</t>
  </si>
  <si>
    <t>rvcchrgacfour0lfreqfault</t>
  </si>
  <si>
    <t>1b590007</t>
  </si>
  <si>
    <t>rvcchrgacfour0bypass</t>
  </si>
  <si>
    <t>1b590008</t>
  </si>
  <si>
    <t>rvcchrgacfour0qual</t>
  </si>
  <si>
    <t>rvcchrgacfaultcfg</t>
  </si>
  <si>
    <t>RVC DGN Charger AC Fault Configuration Status/Command (130953/130951)</t>
  </si>
  <si>
    <t>A charger will have AC inputs. Fault Control configuration. Same as AC CONFIGURATION STATUS 1</t>
  </si>
  <si>
    <t>lvolt</t>
  </si>
  <si>
    <t>hvolt</t>
  </si>
  <si>
    <t>Extreme low voltage level</t>
  </si>
  <si>
    <t>Low voltage level</t>
  </si>
  <si>
    <t>extlvolt</t>
  </si>
  <si>
    <t>exthvolt</t>
  </si>
  <si>
    <t>High voltage level</t>
  </si>
  <si>
    <t>Extreme high voltage level</t>
  </si>
  <si>
    <t>qualtime</t>
  </si>
  <si>
    <t>Qualification time</t>
  </si>
  <si>
    <t>Max = 0 to 250s</t>
  </si>
  <si>
    <t>00b — Normal Mode
01b — Bypass Mode Circuit Protection is off</t>
  </si>
  <si>
    <t>0=Normal;1=Bypass mode off</t>
  </si>
  <si>
    <t>1b5a0000</t>
  </si>
  <si>
    <t>rvcchrgacfaultcfg0avl</t>
  </si>
  <si>
    <t>1b5a0001</t>
  </si>
  <si>
    <t>rvcchrgacfaultcfg0sync</t>
  </si>
  <si>
    <t>1b5a0002</t>
  </si>
  <si>
    <t>rvcchrgacfaultcfg0inst</t>
  </si>
  <si>
    <t>1b5a0003</t>
  </si>
  <si>
    <t>rvcchrgacfaultcfg0extlvolt</t>
  </si>
  <si>
    <t>1b5a0004</t>
  </si>
  <si>
    <t>rvcchrgacfaultcfg0lvolt</t>
  </si>
  <si>
    <t>1b5a0005</t>
  </si>
  <si>
    <t>rvcchrgacfaultcfg0hvolt</t>
  </si>
  <si>
    <t>1b5a0006</t>
  </si>
  <si>
    <t>rvcchrgacfaultcfg0exthvolt</t>
  </si>
  <si>
    <t>1b5a0007</t>
  </si>
  <si>
    <t>rvcchrgacfaultcfg0qualtime</t>
  </si>
  <si>
    <t>1b5a0008</t>
  </si>
  <si>
    <t>rvcchrgacfaultcfg0bypass</t>
  </si>
  <si>
    <t>rvcchrgacfaultcfgtwo</t>
  </si>
  <si>
    <t>RVC DGN Charger AC Fault Configuration 2 Status/Command (130952/130950)</t>
  </si>
  <si>
    <t>A charger will have AC inputs. Fault Control configuration. Same as AC CONFIGURATION STATUS 2</t>
  </si>
  <si>
    <t>1b5b0000</t>
  </si>
  <si>
    <t>rvcchrgacfaultcfgtwo0avl</t>
  </si>
  <si>
    <t>1b5b0001</t>
  </si>
  <si>
    <t>rvcchrgacfaultcfgtwo0sync</t>
  </si>
  <si>
    <t>1b5b0002</t>
  </si>
  <si>
    <t>rvcchrgacfaultcfgtwo0inst</t>
  </si>
  <si>
    <t>hfreq</t>
  </si>
  <si>
    <t>Value Range = 0 to 250 Hz</t>
  </si>
  <si>
    <t>lfreq</t>
  </si>
  <si>
    <t>1b5b0003</t>
  </si>
  <si>
    <t>rvcchrgacfaultcfgtwo0hfreq</t>
  </si>
  <si>
    <t>1b5b0004</t>
  </si>
  <si>
    <t>rvcchrgacfaultcfgtwo0lfreq</t>
  </si>
  <si>
    <t>rvcacthree0phase</t>
  </si>
  <si>
    <t>No complementary leg=0</t>
  </si>
  <si>
    <t>In phase (240 VAC not available)=1</t>
  </si>
  <si>
    <t>180 Degrees out of phase (240 VAC available)=2</t>
  </si>
  <si>
    <t>Phase relationship is variable=3</t>
  </si>
  <si>
    <t>No data=15</t>
  </si>
  <si>
    <t>rvcacfour0voltfault</t>
  </si>
  <si>
    <t>Voltage OK=0</t>
  </si>
  <si>
    <t>Extremely low voltage=1</t>
  </si>
  <si>
    <t>Low voltage=2</t>
  </si>
  <si>
    <t>High voltage=3</t>
  </si>
  <si>
    <t>Extremely high voltage=4</t>
  </si>
  <si>
    <t>Open Line 1 Detected=5</t>
  </si>
  <si>
    <t>Open Line 2 Detected=6</t>
  </si>
  <si>
    <t>rvcacfour0qual</t>
  </si>
  <si>
    <t>Waiting to Qualify=2</t>
  </si>
  <si>
    <t>Qualified (Good AC)=4</t>
  </si>
  <si>
    <t>rvcinvertac</t>
  </si>
  <si>
    <t>RVC DGN Inverter AC Status 1 (131031)</t>
  </si>
  <si>
    <t>io</t>
  </si>
  <si>
    <t>0=Input;1=Output</t>
  </si>
  <si>
    <t>Input / Output</t>
  </si>
  <si>
    <t>1b5c0000</t>
  </si>
  <si>
    <t>rvcinvertac0avl</t>
  </si>
  <si>
    <t>1b5d0000</t>
  </si>
  <si>
    <t>1b5d0001</t>
  </si>
  <si>
    <t>rvcchrgac0line</t>
  </si>
  <si>
    <t>1b5d0002</t>
  </si>
  <si>
    <t>rvcchrgac0io</t>
  </si>
  <si>
    <t>1b5d0003</t>
  </si>
  <si>
    <t>1b5d0004</t>
  </si>
  <si>
    <t>1b5d0005</t>
  </si>
  <si>
    <t>1b5d0006</t>
  </si>
  <si>
    <t>1b5d0007</t>
  </si>
  <si>
    <t>1b5d0008</t>
  </si>
  <si>
    <t>1b56000a</t>
  </si>
  <si>
    <t>1b56000b</t>
  </si>
  <si>
    <t>rvcchrgactwo0line</t>
  </si>
  <si>
    <t>rvcchrgactwo0io</t>
  </si>
  <si>
    <t>1b570007</t>
  </si>
  <si>
    <t>1b570008</t>
  </si>
  <si>
    <t>rvcchrgacthree0line</t>
  </si>
  <si>
    <t>rvcchrgacthree0io</t>
  </si>
  <si>
    <t>1b580009</t>
  </si>
  <si>
    <t>1b58000a</t>
  </si>
  <si>
    <t>rvcchrgacfour0line</t>
  </si>
  <si>
    <t>rvcchrgacfour0io</t>
  </si>
  <si>
    <t>1b590009</t>
  </si>
  <si>
    <t>1b59000a</t>
  </si>
  <si>
    <t>1b5c0001</t>
  </si>
  <si>
    <t>rvcinvertac0inst</t>
  </si>
  <si>
    <t>1b5c0002</t>
  </si>
  <si>
    <t>rvcinvertac0line</t>
  </si>
  <si>
    <t>1b5c0003</t>
  </si>
  <si>
    <t>rvcinvertac0io</t>
  </si>
  <si>
    <t>1b5c0004</t>
  </si>
  <si>
    <t>rvcinvertac0volt</t>
  </si>
  <si>
    <t>1b5c0005</t>
  </si>
  <si>
    <t>rvcinvertac0curr</t>
  </si>
  <si>
    <t>1b5c0006</t>
  </si>
  <si>
    <t>rvcinvertac0freq</t>
  </si>
  <si>
    <t>1b5c0007</t>
  </si>
  <si>
    <t>rvcinvertac0openground</t>
  </si>
  <si>
    <t>1b5c0008</t>
  </si>
  <si>
    <t>rvcinvertac0openneutral</t>
  </si>
  <si>
    <t>1b5c0009</t>
  </si>
  <si>
    <t>rvcinvertac0revpol</t>
  </si>
  <si>
    <t>1b5c000a</t>
  </si>
  <si>
    <t>rvcinvertac0groundcurr</t>
  </si>
  <si>
    <t>rvcinvertactwo</t>
  </si>
  <si>
    <t>rvcinvertacthree</t>
  </si>
  <si>
    <t>rvcinvertactwo0avl</t>
  </si>
  <si>
    <t>rvcinvertactwo0sync</t>
  </si>
  <si>
    <t>rvcinvertactwo0inst</t>
  </si>
  <si>
    <t>rvcinvertactwo0line</t>
  </si>
  <si>
    <t>rvcinvertactwo0io</t>
  </si>
  <si>
    <t>rvcinvertactwo0pvolt</t>
  </si>
  <si>
    <t>rvcinvertactwo0pcurr</t>
  </si>
  <si>
    <t>rvcinvertactwo0gcurr</t>
  </si>
  <si>
    <t>rvcinvertactwo0cap</t>
  </si>
  <si>
    <t>1b5e0000</t>
  </si>
  <si>
    <t>rvcinvertacthree0avl</t>
  </si>
  <si>
    <t>1b5e0001</t>
  </si>
  <si>
    <t>rvcinvertacthree0sync</t>
  </si>
  <si>
    <t>1b5e0002</t>
  </si>
  <si>
    <t>rvcinvertacthree0inst</t>
  </si>
  <si>
    <t>1b5e0003</t>
  </si>
  <si>
    <t>rvcinvertacthree0line</t>
  </si>
  <si>
    <t>1b5e0004</t>
  </si>
  <si>
    <t>rvcinvertacthree0io</t>
  </si>
  <si>
    <t>1b5e0005</t>
  </si>
  <si>
    <t>rvcinvertacthree0waveform</t>
  </si>
  <si>
    <t>1b5e0006</t>
  </si>
  <si>
    <t>rvcinvertacthree0phase</t>
  </si>
  <si>
    <t>1b5e0007</t>
  </si>
  <si>
    <t>rvcinvertacthree0realpow</t>
  </si>
  <si>
    <t>1b5e0008</t>
  </si>
  <si>
    <t>rvcinvertacthree0reactpow</t>
  </si>
  <si>
    <t>1b5e0009</t>
  </si>
  <si>
    <t>rvcinvertacthree0harmdist</t>
  </si>
  <si>
    <t>1b5e000a</t>
  </si>
  <si>
    <t>rvcinvertacthree0complleg</t>
  </si>
  <si>
    <t>RVC DGN Inverter AC Status 2 (131030)</t>
  </si>
  <si>
    <t>Same as AC STATUS 3</t>
  </si>
  <si>
    <t>rvcinvertacfour</t>
  </si>
  <si>
    <t>Same as AC STATUS 4</t>
  </si>
  <si>
    <t>RVC DGN Inverter AC Status 4 (130959)</t>
  </si>
  <si>
    <t>1b5f0000</t>
  </si>
  <si>
    <t>rvcinvertacfour0avl</t>
  </si>
  <si>
    <t>1b5f0001</t>
  </si>
  <si>
    <t>rvcinvertacfour0sync</t>
  </si>
  <si>
    <t>1b5f0002</t>
  </si>
  <si>
    <t>rvcinvertacfour0inst</t>
  </si>
  <si>
    <t>1b5f0003</t>
  </si>
  <si>
    <t>rvcinvertacfour0line</t>
  </si>
  <si>
    <t>1b5f0004</t>
  </si>
  <si>
    <t>rvcinvertacfour0io</t>
  </si>
  <si>
    <t>1b5f0005</t>
  </si>
  <si>
    <t>rvcinvertacfour0voltfault</t>
  </si>
  <si>
    <t>1b5f0006</t>
  </si>
  <si>
    <t>rvcinvertacfour0surgefault</t>
  </si>
  <si>
    <t>1b5f0007</t>
  </si>
  <si>
    <t>rvcinvertacfour0hfreqfault</t>
  </si>
  <si>
    <t>1b5f0008</t>
  </si>
  <si>
    <t>rvcinvertacfour0lfreqfault</t>
  </si>
  <si>
    <t>1b5f0009</t>
  </si>
  <si>
    <t>rvcinvertacfour0bypass</t>
  </si>
  <si>
    <t>1b5f000a</t>
  </si>
  <si>
    <t>rvcinvertacfour0qual</t>
  </si>
  <si>
    <t>rvcinvertac0sync</t>
  </si>
  <si>
    <t>1b5c000b</t>
  </si>
  <si>
    <t>rvcinvert</t>
  </si>
  <si>
    <t>RVC DGN Inverter Status/Command (131028/131027)</t>
  </si>
  <si>
    <t>Invert=1</t>
  </si>
  <si>
    <t>AC passthru=2</t>
  </si>
  <si>
    <t>APS Only=3</t>
  </si>
  <si>
    <t>Load sense (Unit is waiting for a load.)=4</t>
  </si>
  <si>
    <t>Waiting to Invert=5</t>
  </si>
  <si>
    <t>Generator support=6</t>
  </si>
  <si>
    <t>Battery temperature sensor present</t>
  </si>
  <si>
    <t>00b - No battery temperature sensor in use
01b - Sensor is present and active</t>
  </si>
  <si>
    <t>Load sense enabled</t>
  </si>
  <si>
    <t>00b - Inverter disabled
01b - Inverter enabled</t>
  </si>
  <si>
    <t>passthr</t>
  </si>
  <si>
    <t>00b - Pass-through disabled
01b - Pass-through enabled</t>
  </si>
  <si>
    <t>1b600000</t>
  </si>
  <si>
    <t>rvcinvert0avl</t>
  </si>
  <si>
    <t>1b600001</t>
  </si>
  <si>
    <t>rvcinvert0sync</t>
  </si>
  <si>
    <t>1b600002</t>
  </si>
  <si>
    <t>rvcinvert0inst</t>
  </si>
  <si>
    <t>1b600003</t>
  </si>
  <si>
    <t>rvcinvert0status</t>
  </si>
  <si>
    <t>1b600004</t>
  </si>
  <si>
    <t>rvcinvert0battemp</t>
  </si>
  <si>
    <t>1b600005</t>
  </si>
  <si>
    <t>rvcinvert0loadsense</t>
  </si>
  <si>
    <t>1b600006</t>
  </si>
  <si>
    <t>rvcinvert0enable</t>
  </si>
  <si>
    <t>1b600007</t>
  </si>
  <si>
    <t>rvcinvert0passthr</t>
  </si>
  <si>
    <t>generator</t>
  </si>
  <si>
    <t>00b - Generator support disabled
01b - Generator support enabled</t>
  </si>
  <si>
    <t>Generator support enabled</t>
  </si>
  <si>
    <t>1b600008</t>
  </si>
  <si>
    <t>rvcinvert0generator</t>
  </si>
  <si>
    <t>Inverter enabled on startup</t>
  </si>
  <si>
    <t>enablestart</t>
  </si>
  <si>
    <t>loadsensestart</t>
  </si>
  <si>
    <t>Load sense enabled on startup</t>
  </si>
  <si>
    <t>passthrstart</t>
  </si>
  <si>
    <t>AC pass-through enable on startup</t>
  </si>
  <si>
    <t>generatorstart</t>
  </si>
  <si>
    <t>Generator support enabled on startup</t>
  </si>
  <si>
    <t>1b600009</t>
  </si>
  <si>
    <t>rvcinvert0enablestart</t>
  </si>
  <si>
    <t>1b60000a</t>
  </si>
  <si>
    <t>rvcinvert0loadsensestart</t>
  </si>
  <si>
    <t>1b60000b</t>
  </si>
  <si>
    <t>rvcinvert0passthrstart</t>
  </si>
  <si>
    <t>1b60000c</t>
  </si>
  <si>
    <t>rvcinvert0generatorstart</t>
  </si>
  <si>
    <t>rvcinvertcfg</t>
  </si>
  <si>
    <t>loadsensepowth</t>
  </si>
  <si>
    <t>This is the load required to exit Load Sense mode and enter Inverting Mode</t>
  </si>
  <si>
    <t>loadsenseint</t>
  </si>
  <si>
    <t>Load sense interval</t>
  </si>
  <si>
    <t>This is the frequency of load sense checks</t>
  </si>
  <si>
    <t>shutdownvoltmin</t>
  </si>
  <si>
    <t>1b610000</t>
  </si>
  <si>
    <t>rvcinvertcfg0avl</t>
  </si>
  <si>
    <t>1b610001</t>
  </si>
  <si>
    <t>rvcinvertcfg0sync</t>
  </si>
  <si>
    <t>1b610002</t>
  </si>
  <si>
    <t>rvcinvertcfg0inst</t>
  </si>
  <si>
    <t>1b610003</t>
  </si>
  <si>
    <t>rvcinvertcfg0loadsensepowth</t>
  </si>
  <si>
    <t>1b610004</t>
  </si>
  <si>
    <t>rvcinvertcfg0loadsenseint</t>
  </si>
  <si>
    <t>1b610005</t>
  </si>
  <si>
    <t>rvcinvertcfg0shutdownvoltmin</t>
  </si>
  <si>
    <t>1b610006</t>
  </si>
  <si>
    <t>rvcinvertcfg0enablestart</t>
  </si>
  <si>
    <t>1b610007</t>
  </si>
  <si>
    <t>rvcinvertcfg0loadsensestart</t>
  </si>
  <si>
    <t>1b610008</t>
  </si>
  <si>
    <t>rvcinvertcfg0passthrstart</t>
  </si>
  <si>
    <t>RVC DGN Inverter Configuration 1 Status/Command (131026/131024)</t>
  </si>
  <si>
    <t>rvcinvertcfgtwo</t>
  </si>
  <si>
    <t>RVC DGN Inverter Configuration 2 Status/Command (131025/131023)</t>
  </si>
  <si>
    <t>shutdownvoltmax</t>
  </si>
  <si>
    <t>DC source warning voltage - Minimum</t>
  </si>
  <si>
    <t>DC source warning voltage - Maximum</t>
  </si>
  <si>
    <t>1b620000</t>
  </si>
  <si>
    <t>rvcinvertcfgtwo0avl</t>
  </si>
  <si>
    <t>1b620001</t>
  </si>
  <si>
    <t>rvcinvertcfgtwo0sync</t>
  </si>
  <si>
    <t>1b620002</t>
  </si>
  <si>
    <t>rvcinvertcfgtwo0inst</t>
  </si>
  <si>
    <t>1b620003</t>
  </si>
  <si>
    <t>rvcinvertcfgtwo0shutdownvoltmax</t>
  </si>
  <si>
    <t>1b620004</t>
  </si>
  <si>
    <t>rvcinvertcfgtwo0warnvoltmin</t>
  </si>
  <si>
    <t>1b620005</t>
  </si>
  <si>
    <t>rvcinvertcfgtwo0warnvoltmax</t>
  </si>
  <si>
    <t>rvcinvertcfgthree</t>
  </si>
  <si>
    <t>RVC DGN Inverter Configuration 3 Status/Command (130766/130765)</t>
  </si>
  <si>
    <t>shutdowndelay</t>
  </si>
  <si>
    <t>DC Source shutdown delay</t>
  </si>
  <si>
    <t>stackmode</t>
  </si>
  <si>
    <t>1b630000</t>
  </si>
  <si>
    <t>rvcinvertcfgthree0avl</t>
  </si>
  <si>
    <t>1b630001</t>
  </si>
  <si>
    <t>rvcinvertcfgthree0sync</t>
  </si>
  <si>
    <t>1b630002</t>
  </si>
  <si>
    <t>rvcinvertcfgthree0inst</t>
  </si>
  <si>
    <t>1b630003</t>
  </si>
  <si>
    <t>rvcinvertcfgthree0shutdowndelay</t>
  </si>
  <si>
    <t>1b630004</t>
  </si>
  <si>
    <t>rvcinvertcfgthree0stackmode</t>
  </si>
  <si>
    <t>shutdownreclvl</t>
  </si>
  <si>
    <t>gencurr</t>
  </si>
  <si>
    <t>Generator Support Engage Current</t>
  </si>
  <si>
    <t>Generator Support Engage Current defined (in amps) for a pre-defined time, the inverter will come on-line and assist the generator or shore power with operating the load (drawing power from the battery). The battery bank must be well charged for the inverter to engage this mode. The actual battery voltage required by this feature to operate, and the load current hysteresis used to disengage this feature shall be specified by the manufacturer.</t>
  </si>
  <si>
    <t>rvcinvertcfgfour</t>
  </si>
  <si>
    <t>RVC DGN Inverter Configuration 4 Status/Command (130715/130714)</t>
  </si>
  <si>
    <t>powlimit</t>
  </si>
  <si>
    <t>timelimit</t>
  </si>
  <si>
    <t>AC Output power time limit</t>
  </si>
  <si>
    <t>AC Output power limit</t>
  </si>
  <si>
    <t>Output AC voltage</t>
  </si>
  <si>
    <t>1b630005</t>
  </si>
  <si>
    <t>rvcinvertcfgthree0shutdownreclvl</t>
  </si>
  <si>
    <t>1b630006</t>
  </si>
  <si>
    <t>rvcinvertcfgthree0gencurr</t>
  </si>
  <si>
    <t>1b640000</t>
  </si>
  <si>
    <t>rvcinvertcfgfour0avl</t>
  </si>
  <si>
    <t>1b640001</t>
  </si>
  <si>
    <t>rvcinvertcfgfour0sync</t>
  </si>
  <si>
    <t>1b640002</t>
  </si>
  <si>
    <t>rvcinvertcfgfour0inst</t>
  </si>
  <si>
    <t>1b640003</t>
  </si>
  <si>
    <t>rvcinvertcfgfour0volt</t>
  </si>
  <si>
    <t>1b640004</t>
  </si>
  <si>
    <t>rvcinvertcfgfour0freq</t>
  </si>
  <si>
    <t>1b640005</t>
  </si>
  <si>
    <t>rvcinvertcfgfour0powlimit</t>
  </si>
  <si>
    <t>1b640006</t>
  </si>
  <si>
    <t>rvcinvertcfgfour0timelimit</t>
  </si>
  <si>
    <t>rvcinvertstat</t>
  </si>
  <si>
    <t>RVC DGN Inverter Statistics Status (131022)</t>
  </si>
  <si>
    <t>1b650000</t>
  </si>
  <si>
    <t>rvcinvertstat0avl</t>
  </si>
  <si>
    <t>1b650001</t>
  </si>
  <si>
    <t>rvcinvertstat0sync</t>
  </si>
  <si>
    <t>1b650002</t>
  </si>
  <si>
    <t>rvcinvertstat0inst</t>
  </si>
  <si>
    <t>numuvolt</t>
  </si>
  <si>
    <t>Number of DC under voltage detections</t>
  </si>
  <si>
    <t>numoverload</t>
  </si>
  <si>
    <t>Number of times load sense has been engaged</t>
  </si>
  <si>
    <t>lowdcvolt</t>
  </si>
  <si>
    <t>highdcvolt</t>
  </si>
  <si>
    <t>lowacivolt</t>
  </si>
  <si>
    <t>highacivolt</t>
  </si>
  <si>
    <t>1b650003</t>
  </si>
  <si>
    <t>rvcinvertstat0numuvolt</t>
  </si>
  <si>
    <t>1b650004</t>
  </si>
  <si>
    <t>rvcinvertstat0numoverload</t>
  </si>
  <si>
    <t>1b650005</t>
  </si>
  <si>
    <t>rvcinvertstat0numloadsense</t>
  </si>
  <si>
    <t>1b650006</t>
  </si>
  <si>
    <t>rvcinvertstat0lowdcvolt</t>
  </si>
  <si>
    <t>1b650007</t>
  </si>
  <si>
    <t>rvcinvertstat0highdcvolt</t>
  </si>
  <si>
    <t>1b650008</t>
  </si>
  <si>
    <t>rvcinvertstat0lowacivolt</t>
  </si>
  <si>
    <t>1b650009</t>
  </si>
  <si>
    <t>rvcinvertstat0highacivolt</t>
  </si>
  <si>
    <t>lowacovolt</t>
  </si>
  <si>
    <t>highacovolt</t>
  </si>
  <si>
    <t>Lowest AC output voltage</t>
  </si>
  <si>
    <t>Highest AC output voltage</t>
  </si>
  <si>
    <t>1b65000a</t>
  </si>
  <si>
    <t>rvcinvertstat0lowacovolt</t>
  </si>
  <si>
    <t>1b65000b</t>
  </si>
  <si>
    <t>rvcinvertstat0highacovolt</t>
  </si>
  <si>
    <t>rvcinverttemp</t>
  </si>
  <si>
    <t>RVC DGN Inverter Temperature Status (130749)</t>
  </si>
  <si>
    <t>1b660000</t>
  </si>
  <si>
    <t>rvcinverttemp0avl</t>
  </si>
  <si>
    <t>1b660001</t>
  </si>
  <si>
    <t>rvcinverttemp0sync</t>
  </si>
  <si>
    <t>1b660002</t>
  </si>
  <si>
    <t>rvcinverttemp0inst</t>
  </si>
  <si>
    <t>fetone</t>
  </si>
  <si>
    <t>fettwo</t>
  </si>
  <si>
    <t>transf</t>
  </si>
  <si>
    <t>FET1 temperature</t>
  </si>
  <si>
    <t>Transformer temperature</t>
  </si>
  <si>
    <t>FET2 temperature</t>
  </si>
  <si>
    <t>1b660003</t>
  </si>
  <si>
    <t>rvcinverttemp0fetone</t>
  </si>
  <si>
    <t>1b660004</t>
  </si>
  <si>
    <t>rvcinverttemp0fettwo</t>
  </si>
  <si>
    <t>1b660005</t>
  </si>
  <si>
    <t>rvcinverttemp0transf</t>
  </si>
  <si>
    <t>rvcinverttemptwo</t>
  </si>
  <si>
    <t>RVC DGN Inverter Temperature Status 2 (130507)</t>
  </si>
  <si>
    <t>pb</t>
  </si>
  <si>
    <t>capacitor</t>
  </si>
  <si>
    <t>ambient</t>
  </si>
  <si>
    <t>1b670000</t>
  </si>
  <si>
    <t>rvcinverttemptwo0avl</t>
  </si>
  <si>
    <t>1b670001</t>
  </si>
  <si>
    <t>rvcinverttemptwo0sync</t>
  </si>
  <si>
    <t>1b670002</t>
  </si>
  <si>
    <t>rvcinverttemptwo0inst</t>
  </si>
  <si>
    <t>1b670003</t>
  </si>
  <si>
    <t>rvcinverttemptwo0pb</t>
  </si>
  <si>
    <t>1b670004</t>
  </si>
  <si>
    <t>rvcinverttemptwo0capacitor</t>
  </si>
  <si>
    <t>1b670005</t>
  </si>
  <si>
    <t>rvcinverttemptwo0ambient</t>
  </si>
  <si>
    <t>Control/Power Board temperature</t>
  </si>
  <si>
    <t>Capacitor temperature</t>
  </si>
  <si>
    <t>Output frequency (Hz)</t>
  </si>
  <si>
    <t>RVC DGN Inverter AC Status 3 (131029)</t>
  </si>
  <si>
    <t>rvcinvertdc</t>
  </si>
  <si>
    <t>RVC DGN Inverter DC Status (130792)</t>
  </si>
  <si>
    <t>1b680000</t>
  </si>
  <si>
    <t>rvcinvertdc0avl</t>
  </si>
  <si>
    <t>1b680001</t>
  </si>
  <si>
    <t>rvcinvertdc0sync</t>
  </si>
  <si>
    <t>1b680002</t>
  </si>
  <si>
    <t>rvcinvertdc0inst</t>
  </si>
  <si>
    <t>As measured at the Inverter</t>
  </si>
  <si>
    <t>1b680003</t>
  </si>
  <si>
    <t>rvcinvertdc0volt</t>
  </si>
  <si>
    <t>1b680004</t>
  </si>
  <si>
    <t>rvcinvertdc0curr</t>
  </si>
  <si>
    <t>RVC DGN Transfer Switch AC Status 1 (130989)</t>
  </si>
  <si>
    <t>A transfer is an electrical switch that controls multiple AC input sources to a single AC output - typically two legs which may or
may not be in phase.</t>
  </si>
  <si>
    <t>Transfer switch instance</t>
  </si>
  <si>
    <t>1b690000</t>
  </si>
  <si>
    <t>1b690001</t>
  </si>
  <si>
    <t>1b690002</t>
  </si>
  <si>
    <t>Source</t>
  </si>
  <si>
    <t>000b - Primary (for inputs, typically
generator)
001b - Secondary
111b - Invalid (no data</t>
  </si>
  <si>
    <t>leg</t>
  </si>
  <si>
    <t>0=Leg1;1=Leg2</t>
  </si>
  <si>
    <t>Leg</t>
  </si>
  <si>
    <t>1b690003</t>
  </si>
  <si>
    <t>1b690004</t>
  </si>
  <si>
    <t>1b690005</t>
  </si>
  <si>
    <t>1b690006</t>
  </si>
  <si>
    <t>1b690007</t>
  </si>
  <si>
    <t>1b690008</t>
  </si>
  <si>
    <t>1b690009</t>
  </si>
  <si>
    <t>1b69000a</t>
  </si>
  <si>
    <t>1b69000b</t>
  </si>
  <si>
    <t>1b69000c</t>
  </si>
  <si>
    <t>rvcatsac</t>
  </si>
  <si>
    <t>rvcatsac0avl</t>
  </si>
  <si>
    <t>rvcatsac0sync</t>
  </si>
  <si>
    <t>rvcatsac0inst</t>
  </si>
  <si>
    <t>rvcatsac0source</t>
  </si>
  <si>
    <t>rvcatsac0io</t>
  </si>
  <si>
    <t>rvcatsac0leg</t>
  </si>
  <si>
    <t>rvcatsac0volt</t>
  </si>
  <si>
    <t>rvcatsac0curr</t>
  </si>
  <si>
    <t>rvcatsac0freq</t>
  </si>
  <si>
    <t>rvcatsac0openground</t>
  </si>
  <si>
    <t>rvcatsac0openneutral</t>
  </si>
  <si>
    <t>rvcatsac0revpol</t>
  </si>
  <si>
    <t>rvcatsac0groundcurr</t>
  </si>
  <si>
    <t>1b6a0000</t>
  </si>
  <si>
    <t>1b6b0000</t>
  </si>
  <si>
    <t>1b6b0001</t>
  </si>
  <si>
    <t>1b6b0002</t>
  </si>
  <si>
    <t>1b6b0003</t>
  </si>
  <si>
    <t>1b6b0004</t>
  </si>
  <si>
    <t>rvcatsactwo</t>
  </si>
  <si>
    <t>rvcatsactwo0avl</t>
  </si>
  <si>
    <t>1b6a0001</t>
  </si>
  <si>
    <t>rvcatsactwo0sync</t>
  </si>
  <si>
    <t>1b6a0002</t>
  </si>
  <si>
    <t>rvcatsactwo0inst</t>
  </si>
  <si>
    <t>1b6a0003</t>
  </si>
  <si>
    <t>rvcatsactwo0source</t>
  </si>
  <si>
    <t>1b6a0004</t>
  </si>
  <si>
    <t>rvcatsactwo0io</t>
  </si>
  <si>
    <t>1b6a0005</t>
  </si>
  <si>
    <t>rvcatsactwo0leg</t>
  </si>
  <si>
    <t>RVC DGN Transfer Switch AC Status 2 (130988)</t>
  </si>
  <si>
    <t>1b6a0006</t>
  </si>
  <si>
    <t>rvcatsactwo0pvolt</t>
  </si>
  <si>
    <t>1b6a0007</t>
  </si>
  <si>
    <t>rvcatsactwo0pcurr</t>
  </si>
  <si>
    <t>1b6a0008</t>
  </si>
  <si>
    <t>rvcatsactwo0gcurr</t>
  </si>
  <si>
    <t>1b6a0009</t>
  </si>
  <si>
    <t>rvcatsactwo0cap</t>
  </si>
  <si>
    <t>rvcatsacthree</t>
  </si>
  <si>
    <t>RVC DGN Transfer Switch AC Status 3 (130987)</t>
  </si>
  <si>
    <t>rvcatsacthree0avl</t>
  </si>
  <si>
    <t>rvcatsacthree0sync</t>
  </si>
  <si>
    <t>rvcatsacthree0inst</t>
  </si>
  <si>
    <t>rvcatsacthree0source</t>
  </si>
  <si>
    <t>rvcatsacthree0io</t>
  </si>
  <si>
    <t>1b6b0005</t>
  </si>
  <si>
    <t>rvcatsacthree0leg</t>
  </si>
  <si>
    <t>1b6b0006</t>
  </si>
  <si>
    <t>rvcatsacthree0waveform</t>
  </si>
  <si>
    <t>1b6b0007</t>
  </si>
  <si>
    <t>rvcatsacthree0phase</t>
  </si>
  <si>
    <t>1b6b0008</t>
  </si>
  <si>
    <t>rvcatsacthree0realpow</t>
  </si>
  <si>
    <t>1b6b0009</t>
  </si>
  <si>
    <t>rvcatsacthree0reactpow</t>
  </si>
  <si>
    <t>1b6b000a</t>
  </si>
  <si>
    <t>rvcatsacthree0harmdist</t>
  </si>
  <si>
    <t>1b6b000b</t>
  </si>
  <si>
    <t>rvcatsacthree0complleg</t>
  </si>
  <si>
    <t>rvcatsacfour</t>
  </si>
  <si>
    <t>RVC DGN Transfer Switch AC Status 4 (130949)</t>
  </si>
  <si>
    <t>1b6c0000</t>
  </si>
  <si>
    <t>rvcatsacfour0avl</t>
  </si>
  <si>
    <t>1b6c0001</t>
  </si>
  <si>
    <t>rvcatsacfour0sync</t>
  </si>
  <si>
    <t>1b6c0002</t>
  </si>
  <si>
    <t>rvcatsacfour0inst</t>
  </si>
  <si>
    <t>1b6c0003</t>
  </si>
  <si>
    <t>rvcatsacfour0source</t>
  </si>
  <si>
    <t>1b6c0004</t>
  </si>
  <si>
    <t>rvcatsacfour0io</t>
  </si>
  <si>
    <t>1b6c0005</t>
  </si>
  <si>
    <t>rvcatsacfour0leg</t>
  </si>
  <si>
    <t>1b6c0006</t>
  </si>
  <si>
    <t>rvcatsacfour0voltfault</t>
  </si>
  <si>
    <t>1b6c0007</t>
  </si>
  <si>
    <t>rvcatsacfour0surgefault</t>
  </si>
  <si>
    <t>1b6c0008</t>
  </si>
  <si>
    <t>rvcatsacfour0hfreqfault</t>
  </si>
  <si>
    <t>1b6c0009</t>
  </si>
  <si>
    <t>rvcatsacfour0lfreqfault</t>
  </si>
  <si>
    <t>1b6c000a</t>
  </si>
  <si>
    <t>rvcatsacfour0bypass</t>
  </si>
  <si>
    <t>1b6c000b</t>
  </si>
  <si>
    <t>rvcatsacfour0qual</t>
  </si>
  <si>
    <t>rvcatsacfaultcfg</t>
  </si>
  <si>
    <t>RVC DGN ATS AC Fault Configuration Status (130948)</t>
  </si>
  <si>
    <t>Fault Control configuration. Same as AC CONFIGURATION STATUS 1</t>
  </si>
  <si>
    <t>1b6d0000</t>
  </si>
  <si>
    <t>rvcatsacfaultcfg0avl</t>
  </si>
  <si>
    <t>1b6d0001</t>
  </si>
  <si>
    <t>rvcatsacfaultcfg0sync</t>
  </si>
  <si>
    <t>1b6d0002</t>
  </si>
  <si>
    <t>rvcatsacfaultcfg0inst</t>
  </si>
  <si>
    <t>1b6d0003</t>
  </si>
  <si>
    <t>rvcatsacfaultcfg0extlvolt</t>
  </si>
  <si>
    <t>1b6d0004</t>
  </si>
  <si>
    <t>rvcatsacfaultcfg0lvolt</t>
  </si>
  <si>
    <t>1b6d0005</t>
  </si>
  <si>
    <t>rvcatsacfaultcfg0hvolt</t>
  </si>
  <si>
    <t>1b6d0006</t>
  </si>
  <si>
    <t>rvcatsacfaultcfg0exthvolt</t>
  </si>
  <si>
    <t>1b6d0007</t>
  </si>
  <si>
    <t>rvcatsacfaultcfg0qualtime</t>
  </si>
  <si>
    <t>1b6d0008</t>
  </si>
  <si>
    <t>rvcatsacfaultcfg0bypass</t>
  </si>
  <si>
    <t>expiry</t>
  </si>
  <si>
    <t>Certificate expiration time UTC</t>
  </si>
  <si>
    <t>020b0005</t>
  </si>
  <si>
    <t>tls0expiry</t>
  </si>
  <si>
    <t>Set to 0 when no valid certificate exists. Only valid when tls0cert is set to TRUE.</t>
  </si>
  <si>
    <t>1a000016</t>
  </si>
  <si>
    <t>partdet</t>
  </si>
  <si>
    <t>Partition board detected status</t>
  </si>
  <si>
    <t>The detection status of single and double chamber isolation plates</t>
  </si>
  <si>
    <t>mccc0partdet</t>
  </si>
  <si>
    <t>Ambient temperature (external to cooler)</t>
  </si>
  <si>
    <t>1a000017</t>
  </si>
  <si>
    <t>mccc0etemp</t>
  </si>
  <si>
    <t>groupmgr</t>
  </si>
  <si>
    <t>Group Management</t>
  </si>
  <si>
    <t>reqtype</t>
  </si>
  <si>
    <t>1f030000</t>
  </si>
  <si>
    <t>groupmgr0avl</t>
  </si>
  <si>
    <t>1f030001</t>
  </si>
  <si>
    <t>groupmgr0reqtype</t>
  </si>
  <si>
    <t>MobileCooler=4</t>
  </si>
  <si>
    <t>groupclasses_t</t>
  </si>
  <si>
    <t>Query if specific group type is available/enabled in the system</t>
  </si>
  <si>
    <t>Can be used to ask if a specific feature is available or not</t>
  </si>
  <si>
    <t>{"groups":[{"class_inst":["x32",1,"instance"],"name":["s",32]},0]}</t>
  </si>
  <si>
    <t>rvcmgnt0rawtx_t</t>
  </si>
  <si>
    <t>reset</t>
  </si>
  <si>
    <t>1b000005</t>
  </si>
  <si>
    <t>rvcmgnt0reset</t>
  </si>
  <si>
    <t>1b000006</t>
  </si>
  <si>
    <t>rvcmgnt0ack</t>
  </si>
  <si>
    <t>rvcmgnt0ack_t</t>
  </si>
  <si>
    <t>resetconf</t>
  </si>
  <si>
    <t>General reset params</t>
  </si>
  <si>
    <t>destination address</t>
  </si>
  <si>
    <t>rvcmgnt0resetconf</t>
  </si>
  <si>
    <t>1b000007</t>
  </si>
  <si>
    <t>Reboot=1</t>
  </si>
  <si>
    <t>Clear faults=2</t>
  </si>
  <si>
    <t>Reset to default settings=4</t>
  </si>
  <si>
    <t>Reset statistics=8</t>
  </si>
  <si>
    <t>Test mode=16</t>
  </si>
  <si>
    <t>Reset to OEM-specific settings=32</t>
  </si>
  <si>
    <t>Enter bootloader=64</t>
  </si>
  <si>
    <t>Send the rvc using content in rvcmgnt0resetconf</t>
  </si>
  <si>
    <t>Send general reset (0x17F00) to address</t>
  </si>
  <si>
    <t>{"ack_code":["u8"],"inst":["u8"],"inst_bank":["u8"],"source_addr":["x8"],"dgn":["x32"],"to_from_addr":["x8"]}</t>
  </si>
  <si>
    <t>ACK message (0xE800)</t>
  </si>
  <si>
    <t>download</t>
  </si>
  <si>
    <t>DOWNLOAD message (0x17D00)</t>
  </si>
  <si>
    <t>rvcmgnt0download_t</t>
  </si>
  <si>
    <t>{"addr":["x8"],"data":["x8",8]}</t>
  </si>
  <si>
    <t>1b000008</t>
  </si>
  <si>
    <t>rvcmgnt0download</t>
  </si>
  <si>
    <t>Address (rvc)</t>
  </si>
  <si>
    <t>Data bytes 0-7</t>
  </si>
  <si>
    <t>rvcprop0addr</t>
  </si>
  <si>
    <t>rvcprop0data_t</t>
  </si>
  <si>
    <t>{"data":["x8",8]}</t>
  </si>
  <si>
    <t>rvcmgnt0req_t</t>
  </si>
  <si>
    <t>{"dgn":["x32"],"addr":["x8"]}</t>
  </si>
  <si>
    <t>{"type":["i32"],"data":["x32",0]}</t>
  </si>
  <si>
    <t>evm0trig_t</t>
  </si>
  <si>
    <t>Normal is just the event type but possible to attach variable length of i32 meta data</t>
  </si>
  <si>
    <t>partdetena</t>
  </si>
  <si>
    <t>Partition board sensor enabled</t>
  </si>
  <si>
    <t>1a000018</t>
  </si>
  <si>
    <t>mccc0partdetena</t>
  </si>
  <si>
    <t>If the sensor is disabled, HMI will not detect if divider is in place or not. User can set zones manually. Use this function when sensor is in malfunction.</t>
  </si>
  <si>
    <t>boost</t>
  </si>
  <si>
    <t>Power boost status</t>
  </si>
  <si>
    <t>1a000019</t>
  </si>
  <si>
    <t>mccc0boost</t>
  </si>
  <si>
    <t>mshunt</t>
  </si>
  <si>
    <t>Mobile Power Shunt</t>
  </si>
  <si>
    <t>1e0a0000</t>
  </si>
  <si>
    <t>mshunt0avl</t>
  </si>
  <si>
    <t>1e0a0001</t>
  </si>
  <si>
    <t>mshunt0linked</t>
  </si>
  <si>
    <t>Shunt monitoring device type</t>
  </si>
  <si>
    <t>1e0a0002</t>
  </si>
  <si>
    <t>mshunt0type</t>
  </si>
  <si>
    <t>Battery=0</t>
  </si>
  <si>
    <t>Appliance=1</t>
  </si>
  <si>
    <t>Rated voltage</t>
  </si>
  <si>
    <t>rvolt</t>
  </si>
  <si>
    <t>Rated current</t>
  </si>
  <si>
    <t>dischgvolt</t>
  </si>
  <si>
    <t>Discharge voltage</t>
  </si>
  <si>
    <t>dischgfloor</t>
  </si>
  <si>
    <t>Discharge floor</t>
  </si>
  <si>
    <t>hvoltlim</t>
  </si>
  <si>
    <t>High voltage limit</t>
  </si>
  <si>
    <t>Low temperature limit</t>
  </si>
  <si>
    <t>High temperature limit</t>
  </si>
  <si>
    <t>lttemplim</t>
  </si>
  <si>
    <t>htemplim</t>
  </si>
  <si>
    <t>sysvolt</t>
  </si>
  <si>
    <t>System voltage</t>
  </si>
  <si>
    <t>calibzero</t>
  </si>
  <si>
    <t>Calibrate zero voltage</t>
  </si>
  <si>
    <t>1e0a0003</t>
  </si>
  <si>
    <t>mshunt0rvolt</t>
  </si>
  <si>
    <t>1e0a0004</t>
  </si>
  <si>
    <t>mshunt0rcurr</t>
  </si>
  <si>
    <t>1e0a0005</t>
  </si>
  <si>
    <t>mshunt0dischgvolt</t>
  </si>
  <si>
    <t>1e0a0006</t>
  </si>
  <si>
    <t>mshunt0dischgfloor</t>
  </si>
  <si>
    <t>1e0a0007</t>
  </si>
  <si>
    <t>mshunt0hvoltlim</t>
  </si>
  <si>
    <t>1e0a0008</t>
  </si>
  <si>
    <t>mshunt0lttemplim</t>
  </si>
  <si>
    <t>1e0a0009</t>
  </si>
  <si>
    <t>mshunt0htemplim</t>
  </si>
  <si>
    <t>1e0a000a</t>
  </si>
  <si>
    <t>mshunt0hcurrlim</t>
  </si>
  <si>
    <t>1e0a000b</t>
  </si>
  <si>
    <t>mshunt0sysvolt</t>
  </si>
  <si>
    <t>1e0a000c</t>
  </si>
  <si>
    <t>mshunt0calibzero</t>
  </si>
  <si>
    <t>Shunt fault/error status</t>
  </si>
  <si>
    <t>1e0a000d</t>
  </si>
  <si>
    <t>mshunt0status</t>
  </si>
  <si>
    <t>extrel</t>
  </si>
  <si>
    <t>External relay</t>
  </si>
  <si>
    <t>mshunt0extrel</t>
  </si>
  <si>
    <t>1e0a000e</t>
  </si>
  <si>
    <t>1e030010</t>
  </si>
  <si>
    <t>mbathist0clrhist</t>
  </si>
  <si>
    <t>1c00000e</t>
  </si>
  <si>
    <t>prod0reset</t>
  </si>
  <si>
    <t>Idle=0</t>
  </si>
  <si>
    <t>Restart=1</t>
  </si>
  <si>
    <t>Reset command</t>
  </si>
  <si>
    <t>PowerSystem=5</t>
  </si>
  <si>
    <t>mdcprofile</t>
  </si>
  <si>
    <t>Mobile Power DC Profile</t>
  </si>
  <si>
    <t>1e0b0000</t>
  </si>
  <si>
    <t>mdcprofile0avl</t>
  </si>
  <si>
    <t>1e0b0001</t>
  </si>
  <si>
    <t>mdcprofile0linked</t>
  </si>
  <si>
    <t>1e0b0002</t>
  </si>
  <si>
    <t>mdcprofile0type</t>
  </si>
  <si>
    <t>Custom=4</t>
  </si>
  <si>
    <t>1e0b0003</t>
  </si>
  <si>
    <t>mdcprofile0algo</t>
  </si>
  <si>
    <t>Discharged voltage</t>
  </si>
  <si>
    <t>1e0b0004</t>
  </si>
  <si>
    <t>mdcprofile0bank</t>
  </si>
  <si>
    <t>1e0b0005</t>
  </si>
  <si>
    <t>mdcprofile0chgvolt</t>
  </si>
  <si>
    <t>1e0b0006</t>
  </si>
  <si>
    <t>mdcprofile0dischgvolt</t>
  </si>
  <si>
    <t>chgeff</t>
  </si>
  <si>
    <t>Charge efficiency</t>
  </si>
  <si>
    <t>peukcoeff</t>
  </si>
  <si>
    <t>Peukert coefficient</t>
  </si>
  <si>
    <t>tempcoeff</t>
  </si>
  <si>
    <t>Current limitation</t>
  </si>
  <si>
    <t>hvdisconn</t>
  </si>
  <si>
    <t>High voltage disconnect</t>
  </si>
  <si>
    <t>uvoltwarn</t>
  </si>
  <si>
    <t>Under voltage warning</t>
  </si>
  <si>
    <t>1e0b0007</t>
  </si>
  <si>
    <t>mdcprofile0chgeff</t>
  </si>
  <si>
    <t>1e0b0008</t>
  </si>
  <si>
    <t>mdcprofile0peukcoeff</t>
  </si>
  <si>
    <t>1e0b0009</t>
  </si>
  <si>
    <t>mdcprofile0tempcoeff</t>
  </si>
  <si>
    <t>1e0b000a</t>
  </si>
  <si>
    <t>mdcprofile0tailcurr</t>
  </si>
  <si>
    <t>1e0b000b</t>
  </si>
  <si>
    <t>mdcprofile0maxcurr</t>
  </si>
  <si>
    <t>1e0b000c</t>
  </si>
  <si>
    <t>mdcprofile0hvdisconn</t>
  </si>
  <si>
    <t>1e0b000d</t>
  </si>
  <si>
    <t>mdcprofile0uvoltwarn</t>
  </si>
  <si>
    <t>1e0b000e</t>
  </si>
  <si>
    <t>mdcprofile0eqvolt</t>
  </si>
  <si>
    <t>Equalization interval</t>
  </si>
  <si>
    <t>1e0b000f</t>
  </si>
  <si>
    <t>mdcprofile0eqdur</t>
  </si>
  <si>
    <t>1e0b0010</t>
  </si>
  <si>
    <t>mdcprofile0eqint</t>
  </si>
  <si>
    <t>1e0b0011</t>
  </si>
  <si>
    <t>mdcprofile0bvolt</t>
  </si>
  <si>
    <t>1e0b0012</t>
  </si>
  <si>
    <t>mdcprofile0absdur</t>
  </si>
  <si>
    <t>1e0b0013</t>
  </si>
  <si>
    <t>mdcprofile0fvolt</t>
  </si>
  <si>
    <t>1e0b0014</t>
  </si>
  <si>
    <t>mdcprofile0crvolt</t>
  </si>
  <si>
    <t>1e0b0015</t>
  </si>
  <si>
    <t>mdcprofile0tfact</t>
  </si>
  <si>
    <t>High current limit</t>
  </si>
  <si>
    <t>Reset to factory settings=3</t>
  </si>
  <si>
    <t>Clear faults=4</t>
  </si>
  <si>
    <t>Reset to default settings=2</t>
  </si>
  <si>
    <t>Not supported=255</t>
  </si>
  <si>
    <t>{"is_ext_type":["u8",1,"bool"],"dgn":["x32"],"addr":["x8"],"data":["x8",0]}</t>
  </si>
  <si>
    <t>{"is_ext_type":["u8",1,"bool"],"dgn":["x32"],"addr":["x8"],"data":["x8",8]}</t>
  </si>
  <si>
    <t>1b380009</t>
  </si>
  <si>
    <t>rvcbatsum0addr</t>
  </si>
  <si>
    <t>Compartment door closed/open (int32(bool)*number of doors)</t>
  </si>
  <si>
    <t>connect</t>
  </si>
  <si>
    <t>02070005</t>
  </si>
  <si>
    <t>mqtt0connect</t>
  </si>
  <si>
    <t>Connect is allowed</t>
  </si>
  <si>
    <t>Used to control disconnect and reconnection states</t>
  </si>
  <si>
    <t>Battery=2</t>
  </si>
  <si>
    <t>Source address</t>
  </si>
  <si>
    <t>1b4b0008</t>
  </si>
  <si>
    <t>rvcgencfg0addr</t>
  </si>
  <si>
    <t>1e0a000f</t>
  </si>
  <si>
    <t>mshunt0setcap</t>
  </si>
  <si>
    <t>lvdisconn</t>
  </si>
  <si>
    <t>Low voltage disconnect</t>
  </si>
  <si>
    <t>1e0b0016</t>
  </si>
  <si>
    <t>mdcprofile0lvdisconn</t>
  </si>
  <si>
    <t>hvreturn</t>
  </si>
  <si>
    <t>lvreturn</t>
  </si>
  <si>
    <t>lvdelay</t>
  </si>
  <si>
    <t>dcvolt</t>
  </si>
  <si>
    <t>1e0b0017</t>
  </si>
  <si>
    <t>mdcprofile0hvreturn</t>
  </si>
  <si>
    <t>1e0b0018</t>
  </si>
  <si>
    <t>mdcprofile0lvreturn</t>
  </si>
  <si>
    <t>1e0b0019</t>
  </si>
  <si>
    <t>mdcprofile0lvdelay</t>
  </si>
  <si>
    <t>1e0b001a</t>
  </si>
  <si>
    <t>mdcprofile0dcvolt</t>
  </si>
  <si>
    <t>dccurr</t>
  </si>
  <si>
    <t>1e0b001b</t>
  </si>
  <si>
    <t>mdcprofile0dccurr</t>
  </si>
  <si>
    <t>1e0b001c</t>
  </si>
  <si>
    <t>mdcprofile0temp</t>
  </si>
  <si>
    <t>Low Voltage Level</t>
  </si>
  <si>
    <t>1e08000a</t>
  </si>
  <si>
    <t>macout0lvolt</t>
  </si>
  <si>
    <t>1e060010</t>
  </si>
  <si>
    <t>macin0maxcurr</t>
  </si>
  <si>
    <t>AC input available power</t>
  </si>
  <si>
    <t>1e060011</t>
  </si>
  <si>
    <t>macin0power</t>
  </si>
  <si>
    <t>pcbtemp</t>
  </si>
  <si>
    <t>PCB temperature</t>
  </si>
  <si>
    <t>1e070022</t>
  </si>
  <si>
    <t>minvert0pcbtemp</t>
  </si>
  <si>
    <t>Maximum AC current</t>
  </si>
  <si>
    <t>1e070023</t>
  </si>
  <si>
    <t>minvert0maxcurr</t>
  </si>
  <si>
    <t>Rated panel power</t>
  </si>
  <si>
    <t>Rated panel voltage</t>
  </si>
  <si>
    <t>1e05000c</t>
  </si>
  <si>
    <t>msolar0rpwr</t>
  </si>
  <si>
    <t>1e05000d</t>
  </si>
  <si>
    <t>msolar0rvolt</t>
  </si>
  <si>
    <t>mchrgh</t>
  </si>
  <si>
    <t>mchrgh0avl</t>
  </si>
  <si>
    <t>mchrgh0dcinst</t>
  </si>
  <si>
    <t>mchrgh0today</t>
  </si>
  <si>
    <t>mchrgh0yesterday</t>
  </si>
  <si>
    <t>mchrgh0yesterday2</t>
  </si>
  <si>
    <t>mchrgh0days7</t>
  </si>
  <si>
    <t>mchrgh0power</t>
  </si>
  <si>
    <t>mchrgh0operdays</t>
  </si>
  <si>
    <t>1e010008</t>
  </si>
  <si>
    <t>mchrgh0clrhist</t>
  </si>
  <si>
    <t>Charging is NOT forced=0</t>
  </si>
  <si>
    <t>fstatus</t>
  </si>
  <si>
    <t>1e000025</t>
  </si>
  <si>
    <t>mchrg0fstatus</t>
  </si>
  <si>
    <t>Enable Controller=1</t>
  </si>
  <si>
    <t>Start Equalization=2</t>
  </si>
  <si>
    <t>1e000026</t>
  </si>
  <si>
    <t>mchrg0rvolt</t>
  </si>
  <si>
    <t>1e000027</t>
  </si>
  <si>
    <t>mchrg0rcurr</t>
  </si>
  <si>
    <t>Charge controller status</t>
  </si>
  <si>
    <t>ind</t>
  </si>
  <si>
    <t>Indicate request</t>
  </si>
  <si>
    <t>In case a product support specific visualization to indicate its location</t>
  </si>
  <si>
    <t>1c00000f</t>
  </si>
  <si>
    <t>prod0ind</t>
  </si>
  <si>
    <t>1e030011</t>
  </si>
  <si>
    <t>mbathist0linked</t>
  </si>
  <si>
    <t>mbatcell0linked</t>
  </si>
  <si>
    <t>1e040008</t>
  </si>
  <si>
    <t>1e010009</t>
  </si>
  <si>
    <t>mchrgh0linked</t>
  </si>
  <si>
    <t>macin0linked</t>
  </si>
  <si>
    <t>1e060012</t>
  </si>
  <si>
    <t>macout0linked</t>
  </si>
  <si>
    <t>1e08000b</t>
  </si>
  <si>
    <t>Update process version to use/in use</t>
  </si>
  <si>
    <t>14060008</t>
  </si>
  <si>
    <t>usm0ver</t>
  </si>
  <si>
    <t>Update process mode to use/in use</t>
  </si>
  <si>
    <t>14060009</t>
  </si>
  <si>
    <t>usm0mode</t>
  </si>
  <si>
    <t>Automatic=0</t>
  </si>
  <si>
    <t>1406000a</t>
  </si>
  <si>
    <t>usm0state</t>
  </si>
  <si>
    <t>State information about ongoing process</t>
  </si>
  <si>
    <t>File download=1</t>
  </si>
  <si>
    <t>Bus transfer=2</t>
  </si>
  <si>
    <t>Extended state=3</t>
  </si>
  <si>
    <t>Second extended state=4</t>
  </si>
  <si>
    <t>14070006</t>
  </si>
  <si>
    <t>us0prog</t>
  </si>
  <si>
    <t>Used during extended USM0STATE &gt; FILE_DOWNLOAD</t>
  </si>
  <si>
    <t>Off Temperature above limit=2</t>
  </si>
  <si>
    <t>Off Voltage too low=3</t>
  </si>
  <si>
    <t>Off Discharge curr too high=4</t>
  </si>
  <si>
    <t>Off Charge curr too low=5</t>
  </si>
  <si>
    <t>Off SOC too low=6</t>
  </si>
  <si>
    <t>Heater mode</t>
  </si>
  <si>
    <t>1e020022</t>
  </si>
  <si>
    <t>mbat0hmode</t>
  </si>
  <si>
    <t>Off=2</t>
  </si>
  <si>
    <t>Base fwid of this product</t>
  </si>
  <si>
    <t>1c000010</t>
  </si>
  <si>
    <t>prod0fwid</t>
  </si>
  <si>
    <t>WAECO Fixed speed=23</t>
  </si>
  <si>
    <t>WAECO Inverter=24</t>
  </si>
  <si>
    <t>%%</t>
  </si>
  <si>
    <t>DDM2_UNIT_PERCENT</t>
  </si>
  <si>
    <t>--</t>
  </si>
  <si>
    <t>DDM2_UNIT_DECIMAL</t>
  </si>
  <si>
    <t>DC current (negative-discharging,positive-charging)</t>
  </si>
  <si>
    <t>result</t>
  </si>
  <si>
    <t>DDM2_UNIT_RESULT</t>
  </si>
  <si>
    <t>Unconnected=-1</t>
  </si>
  <si>
    <t>Internal error=-6</t>
  </si>
  <si>
    <t>Connecting=-2</t>
  </si>
  <si>
    <t>Connect failed=-3</t>
  </si>
  <si>
    <t>Disconnected=-4</t>
  </si>
  <si>
    <t>Authentication error=-5</t>
  </si>
  <si>
    <t>Communication error=-7</t>
  </si>
  <si>
    <t>1e060013</t>
  </si>
  <si>
    <t>macin0lvolt</t>
  </si>
  <si>
    <t>High current DC source limit status</t>
  </si>
  <si>
    <t>High current DC source disconnect status</t>
  </si>
  <si>
    <t>hdccurrlim</t>
  </si>
  <si>
    <t>hdccurrdis</t>
  </si>
  <si>
    <t>rvcdcsrcsix0hdccurrlim</t>
  </si>
  <si>
    <t>rvcdcsrcsix0hdccurrdis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</si>
</sst>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
      <sz val="11"/>
      <color rgb="FF000000"/>
      <name val="Calibri"/>
      <family val="2"/>
      <scheme val="minor"/>
    </font>
    <font>
      <b/>
      <sz val="11"/>
      <color rgb="FF000000"/>
      <name val="Calibri"/>
      <family val="2"/>
      <scheme val="minor"/>
    </font>
    <font>
      <sz val="11"/>
      <color rgb="FFC00000"/>
      <name val="Calibri"/>
      <family val="2"/>
      <scheme val="minor"/>
    </font>
    <font>
      <sz val="11"/>
      <color rgb="FF00B050"/>
      <name val="Calibri"/>
      <family val="2"/>
      <scheme val="minor"/>
    </font>
    <font>
      <sz val="11"/>
      <color rgb="FF000000"/>
      <name val="Calibri"/>
      <family val="2"/>
    </font>
    <font>
      <b/>
      <sz val="11"/>
      <color rgb="FF000000"/>
      <name val="Calibri"/>
      <family val="2"/>
    </font>
    <font>
      <sz val="11"/>
      <color rgb="FFFF0000"/>
      <name val="Calibri"/>
      <family val="2"/>
      <scheme val="minor"/>
    </font>
    <font>
      <sz val="11"/>
      <color rgb="FF242424"/>
      <name val="Segoe UI"/>
      <family val="2"/>
    </font>
    <font>
      <b/>
      <sz val="11"/>
      <name val="Calibri"/>
      <family val="2"/>
      <scheme val="minor"/>
    </font>
    <font>
      <sz val="11"/>
      <name val="Calibri"/>
      <family val="2"/>
      <scheme val="minor"/>
    </font>
    <font>
      <sz val="11"/>
      <name val="Calibri"/>
      <family val="3"/>
      <charset val="134"/>
      <scheme val="minor"/>
    </font>
    <font>
      <b/>
      <u/>
      <sz val="11"/>
      <color theme="10"/>
      <name val="Calibri"/>
      <family val="2"/>
      <scheme val="minor"/>
    </font>
    <font>
      <b/>
      <sz val="13"/>
      <color theme="3"/>
      <name val="Calibri"/>
      <family val="2"/>
      <scheme val="minor"/>
    </font>
    <font>
      <sz val="11"/>
      <color rgb="FF000000"/>
      <name val="Calibri"/>
      <family val="2"/>
    </font>
  </fonts>
  <fills count="11">
    <fill>
      <patternFill patternType="none"/>
    </fill>
    <fill>
      <patternFill patternType="gray125"/>
    </fill>
    <fill>
      <patternFill patternType="solid">
        <fgColor theme="9" tint="0.79998168889431442"/>
        <bgColor indexed="64"/>
      </patternFill>
    </fill>
    <fill>
      <patternFill patternType="solid">
        <fgColor indexed="9"/>
        <bgColor indexed="64"/>
      </patternFill>
    </fill>
    <fill>
      <patternFill patternType="solid">
        <fgColor indexed="31"/>
        <bgColor indexed="64"/>
      </patternFill>
    </fill>
    <fill>
      <patternFill patternType="solid">
        <fgColor indexed="43"/>
        <bgColor indexed="64"/>
      </patternFill>
    </fill>
    <fill>
      <patternFill patternType="solid">
        <fgColor theme="7"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8" tint="0.79998168889431442"/>
        <bgColor indexed="64"/>
      </patternFill>
    </fill>
  </fills>
  <borders count="2">
    <border>
      <left/>
      <right/>
      <top/>
      <bottom/>
      <diagonal/>
    </border>
    <border>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112">
    <xf numFmtId="0" fontId="0" fillId="0" borderId="0" xfId="0"/>
    <xf numFmtId="0" fontId="1" fillId="0" borderId="0" xfId="0" applyFont="1" applyProtection="1">
      <protection locked="0"/>
    </xf>
    <xf numFmtId="0" fontId="0" fillId="0" borderId="0" xfId="0" applyProtection="1">
      <protection locked="0"/>
    </xf>
    <xf numFmtId="0" fontId="0" fillId="0" borderId="0" xfId="0" applyAlignment="1" applyProtection="1">
      <alignment horizontal="left"/>
      <protection locked="0"/>
    </xf>
    <xf numFmtId="0" fontId="0" fillId="2" borderId="0" xfId="0" applyFill="1"/>
    <xf numFmtId="49" fontId="0" fillId="0" borderId="0" xfId="0" applyNumberFormat="1"/>
    <xf numFmtId="0" fontId="0" fillId="0" borderId="0" xfId="0" applyAlignment="1" applyProtection="1">
      <alignment wrapText="1"/>
      <protection locked="0"/>
    </xf>
    <xf numFmtId="0" fontId="0" fillId="0" borderId="0" xfId="0" applyAlignment="1" applyProtection="1">
      <alignment horizontal="center"/>
      <protection locked="0"/>
    </xf>
    <xf numFmtId="0" fontId="3" fillId="0" borderId="0" xfId="1" applyFill="1"/>
    <xf numFmtId="0" fontId="3" fillId="0" borderId="0" xfId="1" applyAlignment="1" applyProtection="1">
      <alignment wrapText="1"/>
      <protection locked="0"/>
    </xf>
    <xf numFmtId="49" fontId="3" fillId="0" borderId="0" xfId="1" applyNumberFormat="1" applyBorder="1"/>
    <xf numFmtId="49" fontId="3" fillId="0" borderId="0" xfId="1" applyNumberFormat="1"/>
    <xf numFmtId="49" fontId="3" fillId="0" borderId="0" xfId="1" applyNumberFormat="1" applyAlignment="1">
      <alignment wrapText="1"/>
    </xf>
    <xf numFmtId="0" fontId="0" fillId="0" borderId="0" xfId="0" quotePrefix="1" applyProtection="1">
      <protection locked="0"/>
    </xf>
    <xf numFmtId="0" fontId="0" fillId="5" borderId="0" xfId="0" applyFill="1"/>
    <xf numFmtId="0" fontId="4" fillId="0" borderId="0" xfId="0" applyFont="1"/>
    <xf numFmtId="0" fontId="3" fillId="0" borderId="0" xfId="1" applyProtection="1">
      <protection locked="0"/>
    </xf>
    <xf numFmtId="0" fontId="3" fillId="0" borderId="0" xfId="1" quotePrefix="1"/>
    <xf numFmtId="16" fontId="0" fillId="0" borderId="0" xfId="0" applyNumberFormat="1"/>
    <xf numFmtId="0" fontId="0" fillId="0" borderId="0" xfId="0" applyAlignment="1">
      <alignment horizontal="left"/>
    </xf>
    <xf numFmtId="0" fontId="1" fillId="0" borderId="0" xfId="0" applyFont="1"/>
    <xf numFmtId="0" fontId="0" fillId="5" borderId="0" xfId="0" applyFill="1" applyProtection="1">
      <protection locked="0"/>
    </xf>
    <xf numFmtId="49" fontId="0" fillId="0" borderId="0" xfId="0" applyNumberFormat="1" applyProtection="1">
      <protection locked="0"/>
    </xf>
    <xf numFmtId="49" fontId="0" fillId="5" borderId="0" xfId="0" applyNumberFormat="1" applyFill="1" applyProtection="1">
      <protection locked="0"/>
    </xf>
    <xf numFmtId="0" fontId="1" fillId="0" borderId="0" xfId="0" applyFont="1" applyAlignment="1">
      <alignment horizontal="right"/>
    </xf>
    <xf numFmtId="0" fontId="4" fillId="0" borderId="0" xfId="0" applyFont="1" applyProtection="1">
      <protection locked="0"/>
    </xf>
    <xf numFmtId="0" fontId="4" fillId="0" borderId="0" xfId="0" applyFont="1" applyAlignment="1" applyProtection="1">
      <alignment horizontal="center"/>
      <protection locked="0"/>
    </xf>
    <xf numFmtId="49" fontId="4" fillId="0" borderId="0" xfId="0" applyNumberFormat="1" applyFont="1"/>
    <xf numFmtId="49" fontId="1" fillId="0" borderId="0" xfId="0" applyNumberFormat="1" applyFont="1"/>
    <xf numFmtId="0" fontId="6" fillId="0" borderId="0" xfId="0" applyFont="1"/>
    <xf numFmtId="0" fontId="7" fillId="0" borderId="0" xfId="0" applyFont="1"/>
    <xf numFmtId="0" fontId="3" fillId="0" borderId="0" xfId="1"/>
    <xf numFmtId="0" fontId="1" fillId="0" borderId="0" xfId="0" applyFont="1" applyAlignment="1">
      <alignment horizontal="left"/>
    </xf>
    <xf numFmtId="0" fontId="0" fillId="0" borderId="0" xfId="0" applyAlignment="1">
      <alignment horizontal="center"/>
    </xf>
    <xf numFmtId="0" fontId="1" fillId="5" borderId="0" xfId="0" applyFont="1" applyFill="1" applyProtection="1">
      <protection locked="0"/>
    </xf>
    <xf numFmtId="0" fontId="1" fillId="2" borderId="0" xfId="0" applyFont="1" applyFill="1" applyProtection="1">
      <protection locked="0"/>
    </xf>
    <xf numFmtId="0" fontId="1" fillId="6" borderId="0" xfId="0" applyFont="1" applyFill="1" applyProtection="1">
      <protection locked="0"/>
    </xf>
    <xf numFmtId="0" fontId="0" fillId="7" borderId="0" xfId="0" applyFill="1" applyProtection="1">
      <protection locked="0"/>
    </xf>
    <xf numFmtId="0" fontId="0" fillId="0" borderId="0" xfId="0" applyAlignment="1">
      <alignment wrapText="1"/>
    </xf>
    <xf numFmtId="0" fontId="0" fillId="0" borderId="0" xfId="0" applyAlignment="1">
      <alignment vertical="top"/>
    </xf>
    <xf numFmtId="0" fontId="0" fillId="0" borderId="0" xfId="0" applyAlignment="1">
      <alignment vertical="top" wrapText="1"/>
    </xf>
    <xf numFmtId="49" fontId="1" fillId="0" borderId="0" xfId="0" applyNumberFormat="1" applyFont="1" applyProtection="1">
      <protection locked="0"/>
    </xf>
    <xf numFmtId="0" fontId="1" fillId="0" borderId="1" xfId="0" applyFont="1" applyBorder="1"/>
    <xf numFmtId="0" fontId="0" fillId="2" borderId="0" xfId="0" applyFill="1" applyProtection="1">
      <protection locked="0"/>
    </xf>
    <xf numFmtId="0" fontId="0" fillId="6" borderId="0" xfId="0" applyFill="1" applyProtection="1">
      <protection locked="0"/>
    </xf>
    <xf numFmtId="0" fontId="0" fillId="2" borderId="0" xfId="0" applyFill="1" applyAlignment="1">
      <alignment horizontal="left"/>
    </xf>
    <xf numFmtId="0" fontId="1" fillId="6" borderId="1" xfId="0" applyFont="1" applyFill="1" applyBorder="1"/>
    <xf numFmtId="0" fontId="0" fillId="6" borderId="0" xfId="0" applyFill="1"/>
    <xf numFmtId="0" fontId="0" fillId="8" borderId="0" xfId="0" applyFill="1" applyProtection="1">
      <protection locked="0"/>
    </xf>
    <xf numFmtId="0" fontId="0" fillId="8" borderId="0" xfId="0" applyFill="1"/>
    <xf numFmtId="0" fontId="8" fillId="0" borderId="0" xfId="0" applyFont="1" applyAlignment="1">
      <alignment vertical="center"/>
    </xf>
    <xf numFmtId="0" fontId="8" fillId="0" borderId="0" xfId="0" applyFont="1" applyAlignment="1">
      <alignment horizontal="center" vertical="center"/>
    </xf>
    <xf numFmtId="0" fontId="10" fillId="0" borderId="0" xfId="0" applyFont="1"/>
    <xf numFmtId="0" fontId="1" fillId="2" borderId="0" xfId="0" applyFont="1" applyFill="1" applyAlignment="1">
      <alignment horizontal="left"/>
    </xf>
    <xf numFmtId="0" fontId="0" fillId="9" borderId="0" xfId="0" applyFill="1"/>
    <xf numFmtId="0" fontId="11" fillId="0" borderId="0" xfId="0" applyFont="1"/>
    <xf numFmtId="49" fontId="3" fillId="0" borderId="0" xfId="1" applyNumberFormat="1" applyFill="1"/>
    <xf numFmtId="49" fontId="0" fillId="9" borderId="0" xfId="0" applyNumberFormat="1" applyFill="1"/>
    <xf numFmtId="49" fontId="0" fillId="8" borderId="0" xfId="0" applyNumberFormat="1" applyFill="1"/>
    <xf numFmtId="0" fontId="0" fillId="9" borderId="0" xfId="0" applyFill="1" applyProtection="1">
      <protection locked="0"/>
    </xf>
    <xf numFmtId="0" fontId="14" fillId="0" borderId="0" xfId="0" applyFont="1" applyAlignment="1" applyProtection="1">
      <alignment horizontal="left" vertical="center"/>
      <protection locked="0"/>
    </xf>
    <xf numFmtId="0" fontId="10" fillId="0" borderId="0" xfId="0" applyFont="1" applyProtection="1">
      <protection locked="0"/>
    </xf>
    <xf numFmtId="0" fontId="13" fillId="0" borderId="0" xfId="1" applyFont="1" applyProtection="1">
      <protection locked="0"/>
    </xf>
    <xf numFmtId="0" fontId="15" fillId="0" borderId="0" xfId="1" applyFont="1" applyAlignment="1" applyProtection="1">
      <alignment wrapText="1"/>
      <protection locked="0"/>
    </xf>
    <xf numFmtId="49" fontId="0" fillId="6" borderId="0" xfId="0" applyNumberFormat="1" applyFill="1"/>
    <xf numFmtId="49" fontId="0" fillId="10" borderId="0" xfId="0" applyNumberFormat="1" applyFill="1"/>
    <xf numFmtId="0" fontId="0" fillId="10" borderId="0" xfId="0" applyFill="1"/>
    <xf numFmtId="0" fontId="17" fillId="0" borderId="0" xfId="0" applyFont="1" applyAlignment="1">
      <alignment vertical="center"/>
    </xf>
    <xf numFmtId="0" fontId="13" fillId="0" borderId="0" xfId="0" applyFont="1" applyProtection="1">
      <protection locked="0"/>
    </xf>
    <xf numFmtId="21" fontId="0" fillId="0" borderId="0" xfId="0" applyNumberFormat="1" applyProtection="1">
      <protection locked="0"/>
    </xf>
    <xf numFmtId="49" fontId="0" fillId="2" borderId="0" xfId="0" applyNumberFormat="1" applyFill="1"/>
    <xf numFmtId="0" fontId="0" fillId="4" borderId="0" xfId="0" applyFill="1" applyProtection="1">
      <protection locked="0"/>
    </xf>
    <xf numFmtId="0" fontId="0" fillId="3" borderId="0" xfId="0" applyFill="1" applyProtection="1">
      <protection locked="0"/>
    </xf>
    <xf numFmtId="49" fontId="0" fillId="4" borderId="0" xfId="0" applyNumberFormat="1" applyFill="1" applyProtection="1">
      <protection locked="0"/>
    </xf>
    <xf numFmtId="0" fontId="0" fillId="4" borderId="0" xfId="0" applyFill="1"/>
    <xf numFmtId="49" fontId="5" fillId="0" borderId="0" xfId="0" applyNumberFormat="1" applyFont="1"/>
    <xf numFmtId="0" fontId="1" fillId="4" borderId="0" xfId="0" applyFont="1" applyFill="1" applyProtection="1">
      <protection locked="0"/>
    </xf>
    <xf numFmtId="49" fontId="0" fillId="5" borderId="0" xfId="0" applyNumberFormat="1" applyFill="1" applyAlignment="1" applyProtection="1">
      <alignment horizontal="right"/>
      <protection locked="0"/>
    </xf>
    <xf numFmtId="49" fontId="0" fillId="5" borderId="0" xfId="0" applyNumberFormat="1" applyFill="1" applyAlignment="1" applyProtection="1">
      <alignment horizontal="left"/>
      <protection locked="0"/>
    </xf>
    <xf numFmtId="49" fontId="0" fillId="5" borderId="0" xfId="0" applyNumberFormat="1" applyFill="1" applyAlignment="1">
      <alignment horizontal="left"/>
    </xf>
    <xf numFmtId="49" fontId="0" fillId="5" borderId="0" xfId="0" applyNumberFormat="1" applyFill="1"/>
    <xf numFmtId="0" fontId="9" fillId="0" borderId="0" xfId="0" applyFont="1" applyAlignment="1">
      <alignment vertical="center"/>
    </xf>
    <xf numFmtId="0" fontId="8" fillId="5" borderId="0" xfId="0" applyFont="1" applyFill="1" applyAlignment="1">
      <alignment horizontal="right" vertical="center"/>
    </xf>
    <xf numFmtId="0" fontId="8" fillId="5" borderId="0" xfId="0" applyFont="1" applyFill="1" applyAlignment="1">
      <alignment vertical="center"/>
    </xf>
    <xf numFmtId="0" fontId="9" fillId="5" borderId="0" xfId="0" applyFont="1" applyFill="1" applyAlignment="1">
      <alignment vertical="center"/>
    </xf>
    <xf numFmtId="11" fontId="0" fillId="4" borderId="0" xfId="0" applyNumberFormat="1" applyFill="1" applyProtection="1">
      <protection locked="0"/>
    </xf>
    <xf numFmtId="0" fontId="0" fillId="3" borderId="0" xfId="0" applyFill="1"/>
    <xf numFmtId="49" fontId="0" fillId="3" borderId="0" xfId="0" applyNumberFormat="1" applyFill="1" applyProtection="1">
      <protection locked="0"/>
    </xf>
    <xf numFmtId="11" fontId="0" fillId="3" borderId="0" xfId="0" applyNumberFormat="1" applyFill="1" applyProtection="1">
      <protection locked="0"/>
    </xf>
    <xf numFmtId="49" fontId="0" fillId="3" borderId="0" xfId="0" applyNumberFormat="1" applyFill="1"/>
    <xf numFmtId="0" fontId="8" fillId="4" borderId="0" xfId="0" applyFont="1" applyFill="1" applyAlignment="1">
      <alignment horizontal="right" vertical="center"/>
    </xf>
    <xf numFmtId="0" fontId="9" fillId="4" borderId="0" xfId="0" applyFont="1" applyFill="1" applyAlignment="1">
      <alignment vertical="center"/>
    </xf>
    <xf numFmtId="0" fontId="8" fillId="4" borderId="0" xfId="0" applyFont="1" applyFill="1" applyAlignment="1">
      <alignment vertical="center"/>
    </xf>
    <xf numFmtId="49" fontId="4" fillId="4" borderId="0" xfId="0" applyNumberFormat="1" applyFont="1" applyFill="1"/>
    <xf numFmtId="49" fontId="1" fillId="5" borderId="0" xfId="0" applyNumberFormat="1" applyFont="1" applyFill="1" applyProtection="1">
      <protection locked="0"/>
    </xf>
    <xf numFmtId="49" fontId="1" fillId="4" borderId="0" xfId="0" applyNumberFormat="1" applyFont="1" applyFill="1" applyProtection="1">
      <protection locked="0"/>
    </xf>
    <xf numFmtId="0" fontId="12" fillId="0" borderId="0" xfId="0" applyFont="1" applyAlignment="1" applyProtection="1">
      <alignment horizontal="left" vertical="center"/>
      <protection locked="0"/>
    </xf>
    <xf numFmtId="0" fontId="13" fillId="0" borderId="0" xfId="0" applyFont="1" applyAlignment="1" applyProtection="1">
      <alignment horizontal="left" vertical="center"/>
      <protection locked="0"/>
    </xf>
    <xf numFmtId="11" fontId="0" fillId="5" borderId="0" xfId="0" applyNumberFormat="1" applyFill="1" applyProtection="1">
      <protection locked="0"/>
    </xf>
    <xf numFmtId="0" fontId="0" fillId="0" borderId="0" xfId="0" applyFont="1" applyProtection="1">
      <protection locked="0"/>
    </xf>
    <xf numFmtId="0" fontId="0" fillId="4" borderId="0" xfId="0" applyFont="1" applyFill="1" applyProtection="1">
      <protection locked="0"/>
    </xf>
    <xf numFmtId="0" fontId="0" fillId="5" borderId="0" xfId="0" applyFont="1" applyFill="1" applyProtection="1">
      <protection locked="0"/>
    </xf>
    <xf numFmtId="0" fontId="0" fillId="7" borderId="0" xfId="0" applyFont="1" applyFill="1" applyProtection="1">
      <protection locked="0"/>
    </xf>
    <xf numFmtId="0" fontId="0" fillId="0" borderId="0" xfId="0" applyFont="1"/>
    <xf numFmtId="0" fontId="0" fillId="7" borderId="0" xfId="0" applyFont="1" applyFill="1"/>
    <xf numFmtId="0" fontId="0" fillId="3" borderId="0" xfId="0" applyFont="1" applyFill="1" applyProtection="1">
      <protection locked="0"/>
    </xf>
    <xf numFmtId="49" fontId="0" fillId="0" borderId="0" xfId="0" applyNumberFormat="1" applyFont="1"/>
    <xf numFmtId="0" fontId="0" fillId="0" borderId="0" xfId="0" applyFont="1" applyAlignment="1" applyProtection="1">
      <alignment wrapText="1"/>
      <protection locked="0"/>
    </xf>
    <xf numFmtId="49" fontId="0" fillId="5" borderId="0" xfId="0" applyNumberFormat="1" applyFont="1" applyFill="1" applyProtection="1">
      <protection locked="0"/>
    </xf>
    <xf numFmtId="0" fontId="0" fillId="0" borderId="0" xfId="0" applyFont="1" applyAlignment="1">
      <alignment vertical="top"/>
    </xf>
    <xf numFmtId="49" fontId="0" fillId="4" borderId="0" xfId="0" applyNumberFormat="1" applyFont="1" applyFill="1" applyProtection="1">
      <protection locked="0"/>
    </xf>
    <xf numFmtId="0" fontId="0" fillId="0" borderId="0" xfId="0" applyFont="1" applyAlignment="1">
      <alignment wrapText="1"/>
    </xf>
  </cellXfs>
  <cellStyles count="2">
    <cellStyle name="Hyperlink" xfId="1" builtinId="8"/>
    <cellStyle name="Normal" xfId="0" builtinId="0"/>
  </cellStyles>
  <dxfs count="6">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1466850</xdr:colOff>
          <xdr:row>0</xdr:row>
          <xdr:rowOff>9525</xdr:rowOff>
        </xdr:from>
        <xdr:to>
          <xdr:col>17</xdr:col>
          <xdr:colOff>1962150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733425</xdr:colOff>
          <xdr:row>0</xdr:row>
          <xdr:rowOff>0</xdr:rowOff>
        </xdr:from>
        <xdr:to>
          <xdr:col>17</xdr:col>
          <xdr:colOff>1447800</xdr:colOff>
          <xdr:row>1</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Renumber</a:t>
              </a:r>
            </a:p>
            <a:p>
              <a:pPr algn="ctr" rtl="0">
                <a:defRPr sz="1000"/>
              </a:pPr>
              <a:endParaRPr lang="sv-SE"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1971675</xdr:colOff>
          <xdr:row>0</xdr:row>
          <xdr:rowOff>9525</xdr:rowOff>
        </xdr:from>
        <xdr:to>
          <xdr:col>17</xdr:col>
          <xdr:colOff>2676525</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Add enum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4772025</xdr:colOff>
      <xdr:row>1</xdr:row>
      <xdr:rowOff>0</xdr:rowOff>
    </xdr:from>
    <xdr:ext cx="3619500" cy="160782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5468600" y="180975"/>
          <a:ext cx="3619500" cy="16078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sv-SE" sz="1100">
              <a:solidFill>
                <a:srgbClr val="FF0000"/>
              </a:solidFill>
            </a:rPr>
            <a:t>Error</a:t>
          </a:r>
          <a:r>
            <a:rPr lang="sv-SE" sz="1100" baseline="0">
              <a:solidFill>
                <a:srgbClr val="FF0000"/>
              </a:solidFill>
            </a:rPr>
            <a:t> codes are uint16_t.</a:t>
          </a:r>
        </a:p>
        <a:p>
          <a:r>
            <a:rPr lang="sv-SE" sz="1100" baseline="0">
              <a:solidFill>
                <a:srgbClr val="FF0000"/>
              </a:solidFill>
            </a:rPr>
            <a:t>Different ranges are allocated for different purposes.</a:t>
          </a:r>
        </a:p>
        <a:p>
          <a:r>
            <a:rPr lang="sv-SE" sz="1100" baseline="0">
              <a:solidFill>
                <a:srgbClr val="FF0000"/>
              </a:solidFill>
            </a:rPr>
            <a:t>Within a range, we can also split between alerts/warning codes and error codes.</a:t>
          </a:r>
        </a:p>
        <a:p>
          <a:endParaRPr lang="sv-SE" sz="1100" baseline="0">
            <a:solidFill>
              <a:srgbClr val="FF0000"/>
            </a:solidFill>
          </a:endParaRPr>
        </a:p>
        <a:p>
          <a:r>
            <a:rPr lang="sv-SE" sz="1100" baseline="0">
              <a:solidFill>
                <a:srgbClr val="FF0000"/>
              </a:solidFill>
            </a:rPr>
            <a:t>An empy array (no data) means no active errors</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9</xdr:col>
      <xdr:colOff>171407</xdr:colOff>
      <xdr:row>147</xdr:row>
      <xdr:rowOff>108338</xdr:rowOff>
    </xdr:from>
    <xdr:to>
      <xdr:col>10</xdr:col>
      <xdr:colOff>484807</xdr:colOff>
      <xdr:row>159</xdr:row>
      <xdr:rowOff>104685</xdr:rowOff>
    </xdr:to>
    <xdr:pic>
      <xdr:nvPicPr>
        <xdr:cNvPr id="2" name="Bildobjekt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2876929" y="10776338"/>
          <a:ext cx="1221630" cy="228234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19</xdr:row>
          <xdr:rowOff>0</xdr:rowOff>
        </xdr:from>
        <xdr:to>
          <xdr:col>1</xdr:col>
          <xdr:colOff>1000125</xdr:colOff>
          <xdr:row>20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Renumber</a:t>
              </a:r>
            </a:p>
            <a:p>
              <a:pPr algn="ctr" rtl="0">
                <a:defRPr sz="1000"/>
              </a:pPr>
              <a:endParaRPr lang="sv-SE"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20</xdr:row>
          <xdr:rowOff>9525</xdr:rowOff>
        </xdr:from>
        <xdr:to>
          <xdr:col>1</xdr:col>
          <xdr:colOff>904875</xdr:colOff>
          <xdr:row>21</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21</xdr:row>
          <xdr:rowOff>9525</xdr:rowOff>
        </xdr:from>
        <xdr:to>
          <xdr:col>1</xdr:col>
          <xdr:colOff>1000125</xdr:colOff>
          <xdr:row>22</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9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0" i="0" u="none" strike="noStrike" baseline="0">
                  <a:solidFill>
                    <a:srgbClr val="000000"/>
                  </a:solidFill>
                  <a:latin typeface="Calibri"/>
                  <a:cs typeface="Calibri"/>
                </a:rPr>
                <a:t>Add enum</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nedometic.atlassian.net/wiki/spaces/GC/pages/2705555613/Core+GW0+CFG0+SVC0" TargetMode="External"/><Relationship Id="rId7" Type="http://schemas.openxmlformats.org/officeDocument/2006/relationships/drawing" Target="../drawings/drawing1.xml"/><Relationship Id="rId2" Type="http://schemas.openxmlformats.org/officeDocument/2006/relationships/hyperlink" Target="https://onedometic.atlassian.net/wiki/spaces/GC/pages/2705358919/Bluetooth+LE+BT0+BTWL0" TargetMode="External"/><Relationship Id="rId1" Type="http://schemas.openxmlformats.org/officeDocument/2006/relationships/hyperlink" Target="https://onedometic.atlassian.net/wiki/spaces/GC/pages/2705358919/Bluetooth+LE+BT0+BTWL0"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onedometic.atlassian.net/wiki/spaces/GC/pages/2705555613/Core+GW0+CFG0+SVC0" TargetMode="External"/><Relationship Id="rId10" Type="http://schemas.openxmlformats.org/officeDocument/2006/relationships/ctrlProp" Target="../ctrlProps/ctrlProp2.xml"/><Relationship Id="rId4" Type="http://schemas.openxmlformats.org/officeDocument/2006/relationships/hyperlink" Target="https://onedometic.atlassian.net/wiki/spaces/GC/pages/2705555613/Core+GW0+CFG0+SVC0"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4902C-F25F-429F-9C08-546FA9B68EEA}">
  <sheetPr codeName="Blad1"/>
  <dimension ref="A1:S2453"/>
  <sheetViews>
    <sheetView tabSelected="1" topLeftCell="G1" zoomScaleNormal="100" workbookViewId="0">
      <pane ySplit="1" topLeftCell="A2287" activePane="bottomLeft" state="frozen"/>
      <selection pane="bottomLeft" activeCell="I2300" sqref="I2300"/>
    </sheetView>
  </sheetViews>
  <sheetFormatPr defaultColWidth="9.140625" defaultRowHeight="15"/>
  <cols>
    <col min="1" max="1" width="8.85546875" style="2" bestFit="1" customWidth="1"/>
    <col min="2" max="2" width="14.5703125" style="2" customWidth="1"/>
    <col min="3" max="3" width="7.7109375" style="2" bestFit="1" customWidth="1"/>
    <col min="4" max="4" width="13.140625" style="2" bestFit="1" customWidth="1"/>
    <col min="5" max="5" width="3.85546875" style="4" hidden="1" customWidth="1"/>
    <col min="6" max="6" width="11" style="2" bestFit="1" customWidth="1"/>
    <col min="7" max="7" width="16.5703125" style="2" bestFit="1" customWidth="1"/>
    <col min="8" max="8" width="12.5703125" style="22" bestFit="1" customWidth="1"/>
    <col min="9" max="9" width="18.140625" style="2" bestFit="1" customWidth="1"/>
    <col min="10" max="10" width="13.7109375" style="2" bestFit="1" customWidth="1"/>
    <col min="11" max="11" width="10.28515625" style="2" bestFit="1" customWidth="1"/>
    <col min="12" max="12" width="18.7109375" style="2" customWidth="1"/>
    <col min="13" max="13" width="15.42578125" style="2" customWidth="1"/>
    <col min="14" max="14" width="15.85546875" style="2" bestFit="1" customWidth="1"/>
    <col min="15" max="15" width="20.7109375" style="2" customWidth="1"/>
    <col min="16" max="16" width="8.42578125" style="2" bestFit="1" customWidth="1"/>
    <col min="17" max="17" width="58.28515625" style="2" customWidth="1"/>
    <col min="18" max="18" width="115.42578125" style="2" bestFit="1" customWidth="1"/>
    <col min="19" max="19" width="32.85546875" style="2" bestFit="1" customWidth="1"/>
    <col min="20" max="20" width="8.7109375" style="2" customWidth="1"/>
    <col min="21" max="16384" width="9.140625" style="2"/>
  </cols>
  <sheetData>
    <row r="1" spans="1:18" ht="19.5" customHeight="1">
      <c r="A1" s="1" t="s">
        <v>0</v>
      </c>
      <c r="B1" s="1" t="s">
        <v>1</v>
      </c>
      <c r="C1" s="1" t="s">
        <v>2</v>
      </c>
      <c r="D1" s="1" t="s">
        <v>3</v>
      </c>
      <c r="E1" s="1" t="s">
        <v>4</v>
      </c>
      <c r="F1" s="1" t="s">
        <v>5</v>
      </c>
      <c r="G1" s="1" t="s">
        <v>6</v>
      </c>
      <c r="H1" s="41" t="s">
        <v>7</v>
      </c>
      <c r="I1" s="1" t="s">
        <v>8</v>
      </c>
      <c r="J1" s="35" t="s">
        <v>9</v>
      </c>
      <c r="K1" s="35" t="s">
        <v>10</v>
      </c>
      <c r="L1" s="35" t="s">
        <v>11</v>
      </c>
      <c r="M1" s="36" t="s">
        <v>12</v>
      </c>
      <c r="N1" s="36" t="s">
        <v>13</v>
      </c>
      <c r="O1" s="36" t="s">
        <v>14</v>
      </c>
      <c r="P1" s="1" t="s">
        <v>15</v>
      </c>
      <c r="Q1" s="1" t="s">
        <v>16</v>
      </c>
      <c r="R1" s="1" t="s">
        <v>17</v>
      </c>
    </row>
    <row r="2" spans="1:18" ht="15" customHeight="1">
      <c r="A2" s="21">
        <v>0</v>
      </c>
      <c r="B2" s="2" t="s">
        <v>18</v>
      </c>
      <c r="C2" s="21">
        <v>0</v>
      </c>
      <c r="D2" s="2" t="s">
        <v>19</v>
      </c>
      <c r="E2" s="14">
        <v>0</v>
      </c>
      <c r="F2" s="21">
        <v>0</v>
      </c>
      <c r="G2" s="2" t="s">
        <v>20</v>
      </c>
      <c r="H2" s="23" t="s">
        <v>21</v>
      </c>
      <c r="I2" s="34" t="s">
        <v>22</v>
      </c>
      <c r="J2" s="2" t="s">
        <v>23</v>
      </c>
      <c r="K2" s="2" t="s">
        <v>23</v>
      </c>
      <c r="M2" s="2" t="s">
        <v>24</v>
      </c>
      <c r="N2" s="2" t="s">
        <v>25</v>
      </c>
      <c r="O2" s="2" t="s">
        <v>26</v>
      </c>
      <c r="P2" s="7">
        <v>1</v>
      </c>
      <c r="Q2" s="1" t="s">
        <v>27</v>
      </c>
      <c r="R2" s="16" t="s">
        <v>28</v>
      </c>
    </row>
    <row r="3" spans="1:18" ht="15" customHeight="1">
      <c r="A3" s="71">
        <v>0</v>
      </c>
      <c r="B3" s="2" t="s">
        <v>18</v>
      </c>
      <c r="C3" s="71">
        <v>0</v>
      </c>
      <c r="D3" s="2" t="s">
        <v>19</v>
      </c>
      <c r="E3" s="74">
        <v>0</v>
      </c>
      <c r="F3" s="71">
        <v>1</v>
      </c>
      <c r="G3" s="2" t="s">
        <v>29</v>
      </c>
      <c r="H3" s="73" t="s">
        <v>30</v>
      </c>
      <c r="I3" s="100" t="s">
        <v>31</v>
      </c>
      <c r="J3" s="2" t="s">
        <v>23</v>
      </c>
      <c r="K3" s="2" t="s">
        <v>23</v>
      </c>
      <c r="M3" s="2" t="s">
        <v>8105</v>
      </c>
      <c r="N3" s="2" t="s">
        <v>8148</v>
      </c>
      <c r="O3" s="16" t="s">
        <v>8112</v>
      </c>
      <c r="P3" s="7">
        <v>0</v>
      </c>
      <c r="Q3" s="99" t="s">
        <v>33</v>
      </c>
      <c r="R3" s="2" t="s">
        <v>34</v>
      </c>
    </row>
    <row r="4" spans="1:18" ht="15" customHeight="1">
      <c r="A4" s="21">
        <v>0</v>
      </c>
      <c r="B4" s="2" t="s">
        <v>18</v>
      </c>
      <c r="C4" s="21">
        <v>0</v>
      </c>
      <c r="D4" s="2" t="s">
        <v>19</v>
      </c>
      <c r="E4" s="14">
        <v>0</v>
      </c>
      <c r="F4" s="21">
        <v>2</v>
      </c>
      <c r="G4" s="2" t="s">
        <v>35</v>
      </c>
      <c r="H4" s="23" t="s">
        <v>36</v>
      </c>
      <c r="I4" s="101" t="s">
        <v>37</v>
      </c>
      <c r="J4" s="2" t="s">
        <v>23</v>
      </c>
      <c r="K4" s="2" t="s">
        <v>23</v>
      </c>
      <c r="M4" s="2" t="s">
        <v>38</v>
      </c>
      <c r="N4" s="2" t="s">
        <v>23</v>
      </c>
      <c r="P4" s="7">
        <v>1</v>
      </c>
      <c r="Q4" s="99" t="s">
        <v>39</v>
      </c>
    </row>
    <row r="5" spans="1:18" ht="15" customHeight="1">
      <c r="A5" s="21">
        <v>0</v>
      </c>
      <c r="B5" s="2" t="s">
        <v>18</v>
      </c>
      <c r="C5" s="21">
        <v>0</v>
      </c>
      <c r="D5" s="2" t="s">
        <v>19</v>
      </c>
      <c r="E5" s="14">
        <v>0</v>
      </c>
      <c r="F5" s="21">
        <v>3</v>
      </c>
      <c r="G5" s="2" t="s">
        <v>40</v>
      </c>
      <c r="H5" s="23" t="s">
        <v>41</v>
      </c>
      <c r="I5" s="101" t="s">
        <v>42</v>
      </c>
      <c r="J5" s="2" t="s">
        <v>38</v>
      </c>
      <c r="K5" s="2" t="s">
        <v>23</v>
      </c>
      <c r="L5" s="2" t="s">
        <v>43</v>
      </c>
      <c r="M5" s="2" t="s">
        <v>38</v>
      </c>
      <c r="N5" s="2" t="s">
        <v>23</v>
      </c>
      <c r="O5" s="2" t="s">
        <v>44</v>
      </c>
      <c r="P5" s="7">
        <v>2</v>
      </c>
      <c r="Q5" s="99" t="s">
        <v>45</v>
      </c>
    </row>
    <row r="6" spans="1:18" ht="15" customHeight="1">
      <c r="A6" s="21">
        <v>0</v>
      </c>
      <c r="B6" s="2" t="s">
        <v>18</v>
      </c>
      <c r="C6" s="21">
        <v>0</v>
      </c>
      <c r="D6" s="2" t="s">
        <v>19</v>
      </c>
      <c r="E6" s="14">
        <v>0</v>
      </c>
      <c r="F6" s="21">
        <v>4</v>
      </c>
      <c r="G6" s="2" t="s">
        <v>46</v>
      </c>
      <c r="H6" s="23" t="s">
        <v>47</v>
      </c>
      <c r="I6" s="101" t="s">
        <v>48</v>
      </c>
      <c r="J6" s="2" t="s">
        <v>23</v>
      </c>
      <c r="K6" s="2" t="s">
        <v>23</v>
      </c>
      <c r="L6" s="1"/>
      <c r="M6" s="2" t="s">
        <v>24</v>
      </c>
      <c r="N6" s="2" t="s">
        <v>49</v>
      </c>
      <c r="P6" s="7">
        <v>1</v>
      </c>
      <c r="Q6" s="99" t="s">
        <v>50</v>
      </c>
      <c r="R6" s="2" t="s">
        <v>51</v>
      </c>
    </row>
    <row r="7" spans="1:18" ht="15" customHeight="1">
      <c r="A7" s="71">
        <v>0</v>
      </c>
      <c r="B7" s="2" t="s">
        <v>18</v>
      </c>
      <c r="C7" s="71">
        <v>0</v>
      </c>
      <c r="D7" s="2" t="s">
        <v>19</v>
      </c>
      <c r="E7" s="74">
        <v>0</v>
      </c>
      <c r="F7" s="71">
        <v>5</v>
      </c>
      <c r="G7" s="2" t="s">
        <v>52</v>
      </c>
      <c r="H7" s="73" t="s">
        <v>53</v>
      </c>
      <c r="I7" s="100" t="s">
        <v>54</v>
      </c>
      <c r="J7" s="2" t="s">
        <v>24</v>
      </c>
      <c r="K7" s="2" t="s">
        <v>23</v>
      </c>
      <c r="M7" s="2" t="s">
        <v>24</v>
      </c>
      <c r="N7" s="2" t="s">
        <v>23</v>
      </c>
      <c r="P7" s="7">
        <v>0</v>
      </c>
      <c r="Q7" s="99" t="s">
        <v>55</v>
      </c>
      <c r="R7" s="2" t="s">
        <v>56</v>
      </c>
    </row>
    <row r="8" spans="1:18" ht="15" customHeight="1">
      <c r="A8" s="71">
        <v>0</v>
      </c>
      <c r="B8" s="2" t="s">
        <v>18</v>
      </c>
      <c r="C8" s="71">
        <v>0</v>
      </c>
      <c r="D8" s="2" t="s">
        <v>19</v>
      </c>
      <c r="E8" s="74">
        <v>0</v>
      </c>
      <c r="F8" s="71">
        <v>6</v>
      </c>
      <c r="G8" s="2" t="s">
        <v>57</v>
      </c>
      <c r="H8" s="73" t="s">
        <v>58</v>
      </c>
      <c r="I8" s="100" t="s">
        <v>59</v>
      </c>
      <c r="J8" s="2" t="s">
        <v>60</v>
      </c>
      <c r="K8" s="2" t="s">
        <v>23</v>
      </c>
      <c r="L8" s="2" t="s">
        <v>61</v>
      </c>
      <c r="M8" s="2" t="s">
        <v>32</v>
      </c>
      <c r="N8" s="2" t="s">
        <v>23</v>
      </c>
      <c r="O8" s="2" t="s">
        <v>62</v>
      </c>
      <c r="P8" s="7">
        <v>0</v>
      </c>
      <c r="Q8" s="99" t="s">
        <v>63</v>
      </c>
    </row>
    <row r="9" spans="1:18" ht="15" customHeight="1">
      <c r="A9" s="71">
        <v>0</v>
      </c>
      <c r="B9" s="2" t="s">
        <v>18</v>
      </c>
      <c r="C9" s="71">
        <v>0</v>
      </c>
      <c r="D9" s="2" t="s">
        <v>19</v>
      </c>
      <c r="E9" s="74">
        <v>0</v>
      </c>
      <c r="F9" s="71">
        <v>7</v>
      </c>
      <c r="G9" s="2" t="s">
        <v>64</v>
      </c>
      <c r="H9" s="73" t="s">
        <v>65</v>
      </c>
      <c r="I9" s="100" t="s">
        <v>66</v>
      </c>
      <c r="J9" s="2" t="s">
        <v>60</v>
      </c>
      <c r="K9" s="2" t="s">
        <v>23</v>
      </c>
      <c r="L9" s="2" t="s">
        <v>61</v>
      </c>
      <c r="M9" s="2" t="s">
        <v>32</v>
      </c>
      <c r="N9" s="2" t="s">
        <v>23</v>
      </c>
      <c r="O9" s="2" t="s">
        <v>62</v>
      </c>
      <c r="P9" s="7">
        <v>0</v>
      </c>
      <c r="Q9" s="99" t="s">
        <v>67</v>
      </c>
    </row>
    <row r="10" spans="1:18" ht="15" customHeight="1">
      <c r="A10" s="71">
        <v>0</v>
      </c>
      <c r="B10" s="2" t="s">
        <v>18</v>
      </c>
      <c r="C10" s="71">
        <v>0</v>
      </c>
      <c r="D10" s="2" t="s">
        <v>19</v>
      </c>
      <c r="E10" s="74">
        <v>0</v>
      </c>
      <c r="F10" s="71">
        <v>8</v>
      </c>
      <c r="G10" s="2" t="s">
        <v>68</v>
      </c>
      <c r="H10" s="73" t="s">
        <v>69</v>
      </c>
      <c r="I10" s="100" t="s">
        <v>70</v>
      </c>
      <c r="J10" s="2" t="s">
        <v>60</v>
      </c>
      <c r="K10" s="2" t="s">
        <v>23</v>
      </c>
      <c r="L10" s="2" t="s">
        <v>61</v>
      </c>
      <c r="M10" s="2" t="s">
        <v>32</v>
      </c>
      <c r="N10" s="2" t="s">
        <v>23</v>
      </c>
      <c r="O10" s="2" t="s">
        <v>62</v>
      </c>
      <c r="P10" s="7">
        <v>0</v>
      </c>
      <c r="Q10" s="99" t="s">
        <v>71</v>
      </c>
    </row>
    <row r="11" spans="1:18" ht="15" customHeight="1">
      <c r="A11" s="71">
        <v>0</v>
      </c>
      <c r="B11" s="2" t="s">
        <v>18</v>
      </c>
      <c r="C11" s="71">
        <v>0</v>
      </c>
      <c r="D11" s="2" t="s">
        <v>19</v>
      </c>
      <c r="E11" s="74">
        <v>0</v>
      </c>
      <c r="F11" s="71">
        <v>9</v>
      </c>
      <c r="G11" s="2" t="s">
        <v>72</v>
      </c>
      <c r="H11" s="73" t="s">
        <v>73</v>
      </c>
      <c r="I11" s="100" t="s">
        <v>74</v>
      </c>
      <c r="J11" s="2" t="s">
        <v>60</v>
      </c>
      <c r="K11" s="2" t="s">
        <v>23</v>
      </c>
      <c r="L11" s="2" t="s">
        <v>61</v>
      </c>
      <c r="M11" s="2" t="s">
        <v>32</v>
      </c>
      <c r="N11" s="2" t="s">
        <v>23</v>
      </c>
      <c r="O11" s="2" t="s">
        <v>62</v>
      </c>
      <c r="P11" s="7">
        <v>0</v>
      </c>
      <c r="Q11" s="99" t="s">
        <v>75</v>
      </c>
    </row>
    <row r="12" spans="1:18" ht="15" customHeight="1">
      <c r="A12" s="71">
        <v>0</v>
      </c>
      <c r="B12" s="2" t="s">
        <v>18</v>
      </c>
      <c r="C12" s="71">
        <v>0</v>
      </c>
      <c r="D12" s="2" t="s">
        <v>19</v>
      </c>
      <c r="E12" s="74">
        <v>0</v>
      </c>
      <c r="F12" s="71">
        <v>10</v>
      </c>
      <c r="G12" s="2" t="s">
        <v>76</v>
      </c>
      <c r="H12" s="73" t="s">
        <v>77</v>
      </c>
      <c r="I12" s="100" t="s">
        <v>78</v>
      </c>
      <c r="J12" s="2" t="s">
        <v>60</v>
      </c>
      <c r="K12" s="2" t="s">
        <v>23</v>
      </c>
      <c r="L12" s="2" t="s">
        <v>61</v>
      </c>
      <c r="M12" s="2" t="s">
        <v>32</v>
      </c>
      <c r="N12" s="2" t="s">
        <v>23</v>
      </c>
      <c r="O12" s="2" t="s">
        <v>62</v>
      </c>
      <c r="P12" s="7">
        <v>0</v>
      </c>
      <c r="Q12" s="99" t="s">
        <v>79</v>
      </c>
    </row>
    <row r="13" spans="1:18" ht="15" customHeight="1">
      <c r="A13" s="71">
        <v>0</v>
      </c>
      <c r="B13" s="2" t="s">
        <v>18</v>
      </c>
      <c r="C13" s="71">
        <v>0</v>
      </c>
      <c r="D13" s="2" t="s">
        <v>19</v>
      </c>
      <c r="E13" s="74">
        <v>0</v>
      </c>
      <c r="F13" s="71">
        <v>11</v>
      </c>
      <c r="G13" s="2" t="s">
        <v>80</v>
      </c>
      <c r="H13" s="73" t="s">
        <v>81</v>
      </c>
      <c r="I13" s="100" t="s">
        <v>82</v>
      </c>
      <c r="J13" s="2" t="s">
        <v>60</v>
      </c>
      <c r="K13" s="2" t="s">
        <v>23</v>
      </c>
      <c r="L13" s="2" t="s">
        <v>61</v>
      </c>
      <c r="M13" s="2" t="s">
        <v>32</v>
      </c>
      <c r="N13" s="2" t="s">
        <v>23</v>
      </c>
      <c r="O13" s="2" t="s">
        <v>62</v>
      </c>
      <c r="P13" s="7">
        <v>0</v>
      </c>
      <c r="Q13" s="99" t="s">
        <v>83</v>
      </c>
    </row>
    <row r="14" spans="1:18" ht="15" customHeight="1">
      <c r="A14" s="71">
        <v>0</v>
      </c>
      <c r="B14" s="2" t="s">
        <v>18</v>
      </c>
      <c r="C14" s="71">
        <v>0</v>
      </c>
      <c r="D14" s="2" t="s">
        <v>19</v>
      </c>
      <c r="E14" s="74">
        <v>0</v>
      </c>
      <c r="F14" s="71">
        <v>12</v>
      </c>
      <c r="G14" s="2" t="s">
        <v>84</v>
      </c>
      <c r="H14" s="73" t="s">
        <v>85</v>
      </c>
      <c r="I14" s="100" t="s">
        <v>86</v>
      </c>
      <c r="J14" s="2" t="s">
        <v>60</v>
      </c>
      <c r="K14" s="2" t="s">
        <v>23</v>
      </c>
      <c r="L14" s="2" t="s">
        <v>61</v>
      </c>
      <c r="M14" s="2" t="s">
        <v>32</v>
      </c>
      <c r="N14" s="2" t="s">
        <v>23</v>
      </c>
      <c r="O14" s="2" t="s">
        <v>62</v>
      </c>
      <c r="P14" s="7">
        <v>0</v>
      </c>
      <c r="Q14" s="99" t="s">
        <v>87</v>
      </c>
    </row>
    <row r="15" spans="1:18" ht="15" customHeight="1">
      <c r="A15" s="71">
        <v>0</v>
      </c>
      <c r="B15" s="2" t="s">
        <v>18</v>
      </c>
      <c r="C15" s="71">
        <v>0</v>
      </c>
      <c r="D15" s="2" t="s">
        <v>19</v>
      </c>
      <c r="E15" s="74">
        <v>0</v>
      </c>
      <c r="F15" s="71">
        <v>13</v>
      </c>
      <c r="G15" s="2" t="s">
        <v>88</v>
      </c>
      <c r="H15" s="73" t="s">
        <v>89</v>
      </c>
      <c r="I15" s="100" t="s">
        <v>90</v>
      </c>
      <c r="J15" s="2" t="s">
        <v>60</v>
      </c>
      <c r="K15" s="2" t="s">
        <v>23</v>
      </c>
      <c r="L15" s="2" t="s">
        <v>61</v>
      </c>
      <c r="M15" s="2" t="s">
        <v>32</v>
      </c>
      <c r="N15" s="2" t="s">
        <v>23</v>
      </c>
      <c r="O15" s="2" t="s">
        <v>62</v>
      </c>
      <c r="P15" s="7">
        <v>0</v>
      </c>
      <c r="Q15" s="99" t="s">
        <v>91</v>
      </c>
    </row>
    <row r="16" spans="1:18" ht="15" customHeight="1">
      <c r="A16" s="21">
        <v>0</v>
      </c>
      <c r="B16" s="2" t="s">
        <v>18</v>
      </c>
      <c r="C16" s="21">
        <v>0</v>
      </c>
      <c r="D16" s="2" t="s">
        <v>19</v>
      </c>
      <c r="E16" s="14">
        <v>0</v>
      </c>
      <c r="F16" s="21">
        <v>14</v>
      </c>
      <c r="G16" s="2" t="s">
        <v>92</v>
      </c>
      <c r="H16" s="23" t="s">
        <v>93</v>
      </c>
      <c r="I16" s="101" t="s">
        <v>94</v>
      </c>
      <c r="J16" s="2" t="s">
        <v>38</v>
      </c>
      <c r="K16" s="2" t="s">
        <v>23</v>
      </c>
      <c r="M16" s="2" t="s">
        <v>38</v>
      </c>
      <c r="N16" s="2" t="s">
        <v>23</v>
      </c>
      <c r="P16" s="7">
        <v>1</v>
      </c>
      <c r="Q16" s="99" t="s">
        <v>95</v>
      </c>
    </row>
    <row r="17" spans="1:18" ht="15" customHeight="1">
      <c r="A17" s="21">
        <v>0</v>
      </c>
      <c r="B17" s="2" t="s">
        <v>18</v>
      </c>
      <c r="C17" s="21">
        <v>0</v>
      </c>
      <c r="D17" s="2" t="s">
        <v>19</v>
      </c>
      <c r="E17" s="14">
        <v>0</v>
      </c>
      <c r="F17" s="21">
        <v>15</v>
      </c>
      <c r="G17" s="2" t="s">
        <v>96</v>
      </c>
      <c r="H17" s="23" t="s">
        <v>97</v>
      </c>
      <c r="I17" s="101" t="s">
        <v>98</v>
      </c>
      <c r="J17" s="2" t="s">
        <v>38</v>
      </c>
      <c r="K17" s="2" t="s">
        <v>23</v>
      </c>
      <c r="M17" s="2" t="s">
        <v>38</v>
      </c>
      <c r="N17" s="2" t="s">
        <v>23</v>
      </c>
      <c r="P17" s="7">
        <v>1</v>
      </c>
      <c r="Q17" s="99" t="s">
        <v>99</v>
      </c>
    </row>
    <row r="18" spans="1:18" ht="15" customHeight="1">
      <c r="A18" s="21">
        <v>0</v>
      </c>
      <c r="B18" s="2" t="s">
        <v>18</v>
      </c>
      <c r="C18" s="21">
        <v>0</v>
      </c>
      <c r="D18" s="2" t="s">
        <v>19</v>
      </c>
      <c r="E18" s="14">
        <v>0</v>
      </c>
      <c r="F18" s="21">
        <v>16</v>
      </c>
      <c r="G18" s="2" t="s">
        <v>100</v>
      </c>
      <c r="H18" s="23" t="s">
        <v>101</v>
      </c>
      <c r="I18" s="101" t="s">
        <v>102</v>
      </c>
      <c r="J18" s="2" t="s">
        <v>38</v>
      </c>
      <c r="K18" s="2" t="s">
        <v>23</v>
      </c>
      <c r="M18" s="2" t="s">
        <v>38</v>
      </c>
      <c r="N18" s="2" t="s">
        <v>23</v>
      </c>
      <c r="P18" s="7">
        <v>1</v>
      </c>
      <c r="Q18" s="99" t="s">
        <v>103</v>
      </c>
    </row>
    <row r="19" spans="1:18" ht="15" customHeight="1">
      <c r="A19" s="21">
        <v>0</v>
      </c>
      <c r="B19" s="2" t="s">
        <v>18</v>
      </c>
      <c r="C19" s="21">
        <v>0</v>
      </c>
      <c r="D19" s="2" t="s">
        <v>19</v>
      </c>
      <c r="E19" s="14">
        <v>0</v>
      </c>
      <c r="F19" s="21">
        <v>17</v>
      </c>
      <c r="G19" s="2" t="s">
        <v>104</v>
      </c>
      <c r="H19" s="23" t="s">
        <v>105</v>
      </c>
      <c r="I19" s="101" t="s">
        <v>106</v>
      </c>
      <c r="J19" s="2" t="s">
        <v>23</v>
      </c>
      <c r="K19" s="2" t="s">
        <v>23</v>
      </c>
      <c r="M19" s="2" t="s">
        <v>32</v>
      </c>
      <c r="N19" s="2" t="s">
        <v>23</v>
      </c>
      <c r="P19" s="7">
        <v>1</v>
      </c>
      <c r="Q19" s="99" t="s">
        <v>107</v>
      </c>
      <c r="R19" s="2" t="s">
        <v>108</v>
      </c>
    </row>
    <row r="20" spans="1:18" ht="15" customHeight="1">
      <c r="A20" s="71">
        <v>0</v>
      </c>
      <c r="B20" s="2" t="s">
        <v>18</v>
      </c>
      <c r="C20" s="71">
        <v>0</v>
      </c>
      <c r="D20" s="2" t="s">
        <v>19</v>
      </c>
      <c r="E20" s="74">
        <v>0</v>
      </c>
      <c r="F20" s="71">
        <v>18</v>
      </c>
      <c r="G20" s="2" t="s">
        <v>109</v>
      </c>
      <c r="H20" s="73" t="s">
        <v>110</v>
      </c>
      <c r="I20" s="100" t="s">
        <v>111</v>
      </c>
      <c r="J20" s="2" t="s">
        <v>38</v>
      </c>
      <c r="K20" s="2" t="s">
        <v>23</v>
      </c>
      <c r="M20" s="2" t="s">
        <v>38</v>
      </c>
      <c r="N20" s="2" t="s">
        <v>23</v>
      </c>
      <c r="P20" s="7">
        <v>0</v>
      </c>
      <c r="Q20" s="99" t="s">
        <v>112</v>
      </c>
    </row>
    <row r="21" spans="1:18" ht="15" customHeight="1">
      <c r="A21" s="21">
        <v>0</v>
      </c>
      <c r="B21" s="2" t="s">
        <v>18</v>
      </c>
      <c r="C21" s="21">
        <v>0</v>
      </c>
      <c r="D21" s="2" t="s">
        <v>19</v>
      </c>
      <c r="E21" s="14">
        <v>0</v>
      </c>
      <c r="F21" s="21">
        <v>19</v>
      </c>
      <c r="G21" s="2" t="s">
        <v>113</v>
      </c>
      <c r="H21" s="23" t="s">
        <v>114</v>
      </c>
      <c r="I21" s="101" t="s">
        <v>115</v>
      </c>
      <c r="J21" s="2" t="s">
        <v>23</v>
      </c>
      <c r="K21" s="2" t="s">
        <v>23</v>
      </c>
      <c r="M21" s="2" t="s">
        <v>24</v>
      </c>
      <c r="N21" s="2" t="s">
        <v>116</v>
      </c>
      <c r="O21" s="16" t="s">
        <v>115</v>
      </c>
      <c r="P21" s="7">
        <v>1</v>
      </c>
      <c r="Q21" s="99" t="s">
        <v>117</v>
      </c>
    </row>
    <row r="22" spans="1:18" ht="15" customHeight="1">
      <c r="A22" s="21">
        <v>0</v>
      </c>
      <c r="B22" s="2" t="s">
        <v>18</v>
      </c>
      <c r="C22" s="21">
        <v>0</v>
      </c>
      <c r="D22" s="2" t="s">
        <v>19</v>
      </c>
      <c r="E22" s="14">
        <v>0</v>
      </c>
      <c r="F22" s="21">
        <v>20</v>
      </c>
      <c r="G22" s="2" t="s">
        <v>118</v>
      </c>
      <c r="H22" s="23" t="s">
        <v>119</v>
      </c>
      <c r="I22" s="101" t="s">
        <v>120</v>
      </c>
      <c r="J22" s="2" t="s">
        <v>24</v>
      </c>
      <c r="K22" s="2" t="s">
        <v>121</v>
      </c>
      <c r="M22" s="2" t="s">
        <v>24</v>
      </c>
      <c r="N22" s="2" t="s">
        <v>121</v>
      </c>
      <c r="P22" s="7">
        <v>1</v>
      </c>
      <c r="Q22" s="102" t="s">
        <v>122</v>
      </c>
    </row>
    <row r="23" spans="1:18" ht="15" customHeight="1">
      <c r="A23" s="21">
        <v>0</v>
      </c>
      <c r="B23" s="2" t="s">
        <v>18</v>
      </c>
      <c r="C23" s="21">
        <v>0</v>
      </c>
      <c r="D23" s="2" t="s">
        <v>19</v>
      </c>
      <c r="E23" s="14">
        <v>0</v>
      </c>
      <c r="F23" s="21">
        <v>21</v>
      </c>
      <c r="G23" s="2" t="s">
        <v>123</v>
      </c>
      <c r="H23" s="23" t="s">
        <v>124</v>
      </c>
      <c r="I23" s="101" t="s">
        <v>125</v>
      </c>
      <c r="J23" s="2" t="s">
        <v>23</v>
      </c>
      <c r="K23" s="2" t="s">
        <v>23</v>
      </c>
      <c r="L23" s="2" t="s">
        <v>23</v>
      </c>
      <c r="M23" s="2" t="s">
        <v>24</v>
      </c>
      <c r="N23" s="2" t="s">
        <v>116</v>
      </c>
      <c r="O23" s="16" t="s">
        <v>125</v>
      </c>
      <c r="P23" s="7">
        <v>1</v>
      </c>
      <c r="Q23" s="99" t="s">
        <v>126</v>
      </c>
    </row>
    <row r="24" spans="1:18" ht="15" customHeight="1">
      <c r="A24" s="71">
        <v>0</v>
      </c>
      <c r="B24" s="2" t="s">
        <v>18</v>
      </c>
      <c r="C24" s="71">
        <v>0</v>
      </c>
      <c r="D24" s="2" t="s">
        <v>19</v>
      </c>
      <c r="E24" s="74">
        <v>0</v>
      </c>
      <c r="F24" s="71">
        <v>22</v>
      </c>
      <c r="G24" s="2" t="s">
        <v>127</v>
      </c>
      <c r="H24" s="73" t="s">
        <v>128</v>
      </c>
      <c r="I24" s="100" t="s">
        <v>129</v>
      </c>
      <c r="J24" s="2" t="s">
        <v>23</v>
      </c>
      <c r="K24" s="2" t="s">
        <v>23</v>
      </c>
      <c r="L24" s="2" t="s">
        <v>23</v>
      </c>
      <c r="M24" s="2" t="s">
        <v>23</v>
      </c>
      <c r="N24" s="2" t="s">
        <v>23</v>
      </c>
      <c r="O24" s="2" t="s">
        <v>23</v>
      </c>
      <c r="P24" s="7">
        <v>0</v>
      </c>
      <c r="Q24" s="103" t="s">
        <v>127</v>
      </c>
    </row>
    <row r="25" spans="1:18" ht="15" customHeight="1">
      <c r="A25" s="21">
        <v>0</v>
      </c>
      <c r="B25" s="2" t="s">
        <v>18</v>
      </c>
      <c r="C25" s="21">
        <v>0</v>
      </c>
      <c r="D25" s="2" t="s">
        <v>19</v>
      </c>
      <c r="E25" s="14">
        <v>0</v>
      </c>
      <c r="F25" s="21">
        <v>23</v>
      </c>
      <c r="G25" s="2" t="s">
        <v>130</v>
      </c>
      <c r="H25" s="23" t="s">
        <v>131</v>
      </c>
      <c r="I25" s="101" t="s">
        <v>132</v>
      </c>
      <c r="J25" s="2" t="s">
        <v>24</v>
      </c>
      <c r="K25" s="2" t="s">
        <v>133</v>
      </c>
      <c r="M25" s="2" t="s">
        <v>24</v>
      </c>
      <c r="N25" s="2" t="s">
        <v>133</v>
      </c>
      <c r="O25" s="16"/>
      <c r="P25" s="7">
        <v>1</v>
      </c>
      <c r="Q25" s="102" t="s">
        <v>134</v>
      </c>
      <c r="R25" t="s">
        <v>135</v>
      </c>
    </row>
    <row r="26" spans="1:18" ht="15" customHeight="1">
      <c r="A26" s="21">
        <v>0</v>
      </c>
      <c r="B26" s="2" t="s">
        <v>18</v>
      </c>
      <c r="C26" s="21">
        <v>0</v>
      </c>
      <c r="D26" s="2" t="s">
        <v>19</v>
      </c>
      <c r="E26" s="14">
        <v>0</v>
      </c>
      <c r="F26" s="21">
        <v>24</v>
      </c>
      <c r="G26" s="2" t="s">
        <v>136</v>
      </c>
      <c r="H26" s="23" t="s">
        <v>137</v>
      </c>
      <c r="I26" s="101" t="s">
        <v>138</v>
      </c>
      <c r="J26" s="2" t="s">
        <v>24</v>
      </c>
      <c r="K26" s="2" t="s">
        <v>139</v>
      </c>
      <c r="M26" s="2" t="s">
        <v>24</v>
      </c>
      <c r="N26" s="2" t="s">
        <v>139</v>
      </c>
      <c r="O26" s="16"/>
      <c r="P26" s="7">
        <v>1</v>
      </c>
      <c r="Q26" s="102" t="s">
        <v>140</v>
      </c>
      <c r="R26" t="s">
        <v>141</v>
      </c>
    </row>
    <row r="27" spans="1:18" ht="15" customHeight="1">
      <c r="A27" s="21">
        <v>0</v>
      </c>
      <c r="B27" s="2" t="s">
        <v>18</v>
      </c>
      <c r="C27" s="21">
        <v>0</v>
      </c>
      <c r="D27" s="2" t="s">
        <v>19</v>
      </c>
      <c r="E27" s="14">
        <v>0</v>
      </c>
      <c r="F27" s="21">
        <v>25</v>
      </c>
      <c r="G27" s="2" t="s">
        <v>142</v>
      </c>
      <c r="H27" s="23" t="s">
        <v>143</v>
      </c>
      <c r="I27" s="101" t="s">
        <v>144</v>
      </c>
      <c r="J27" s="2" t="s">
        <v>24</v>
      </c>
      <c r="K27" s="2" t="s">
        <v>145</v>
      </c>
      <c r="M27" s="2" t="s">
        <v>24</v>
      </c>
      <c r="N27" s="2" t="s">
        <v>145</v>
      </c>
      <c r="O27" s="16"/>
      <c r="P27" s="7">
        <v>1</v>
      </c>
      <c r="Q27" s="102" t="s">
        <v>146</v>
      </c>
      <c r="R27" t="s">
        <v>147</v>
      </c>
    </row>
    <row r="28" spans="1:18" ht="15" customHeight="1">
      <c r="A28" s="21">
        <v>0</v>
      </c>
      <c r="B28" s="2" t="s">
        <v>18</v>
      </c>
      <c r="C28" s="21">
        <v>0</v>
      </c>
      <c r="D28" s="2" t="s">
        <v>19</v>
      </c>
      <c r="E28" s="14">
        <v>0</v>
      </c>
      <c r="F28" s="21">
        <v>26</v>
      </c>
      <c r="G28" s="2" t="s">
        <v>148</v>
      </c>
      <c r="H28" s="23" t="s">
        <v>149</v>
      </c>
      <c r="I28" s="101" t="s">
        <v>150</v>
      </c>
      <c r="J28" s="2" t="s">
        <v>24</v>
      </c>
      <c r="K28" s="2" t="s">
        <v>116</v>
      </c>
      <c r="L28" s="16" t="s">
        <v>150</v>
      </c>
      <c r="M28" s="2" t="s">
        <v>24</v>
      </c>
      <c r="N28" s="2" t="s">
        <v>116</v>
      </c>
      <c r="O28" s="16" t="s">
        <v>150</v>
      </c>
      <c r="P28" s="7">
        <v>1</v>
      </c>
      <c r="Q28" s="102" t="s">
        <v>151</v>
      </c>
      <c r="R28" t="s">
        <v>5773</v>
      </c>
    </row>
    <row r="29" spans="1:18" ht="15" customHeight="1">
      <c r="A29" s="21">
        <v>0</v>
      </c>
      <c r="B29" s="2" t="s">
        <v>18</v>
      </c>
      <c r="C29" s="21">
        <v>0</v>
      </c>
      <c r="D29" s="2" t="s">
        <v>19</v>
      </c>
      <c r="E29" s="14">
        <v>0</v>
      </c>
      <c r="F29" s="21">
        <v>27</v>
      </c>
      <c r="G29" s="2" t="s">
        <v>152</v>
      </c>
      <c r="H29" s="23" t="s">
        <v>153</v>
      </c>
      <c r="I29" s="101" t="s">
        <v>154</v>
      </c>
      <c r="J29" s="2" t="s">
        <v>24</v>
      </c>
      <c r="K29" s="2" t="s">
        <v>23</v>
      </c>
      <c r="M29" s="2" t="s">
        <v>24</v>
      </c>
      <c r="N29" s="2" t="s">
        <v>23</v>
      </c>
      <c r="P29" s="7">
        <v>1</v>
      </c>
      <c r="Q29" s="99" t="s">
        <v>155</v>
      </c>
    </row>
    <row r="30" spans="1:18" ht="15" customHeight="1">
      <c r="A30" s="21">
        <v>0</v>
      </c>
      <c r="B30" s="2" t="s">
        <v>18</v>
      </c>
      <c r="C30" s="21">
        <v>0</v>
      </c>
      <c r="D30" s="2" t="s">
        <v>19</v>
      </c>
      <c r="E30" s="14">
        <v>0</v>
      </c>
      <c r="F30" s="21">
        <v>28</v>
      </c>
      <c r="G30" s="2" t="s">
        <v>156</v>
      </c>
      <c r="H30" s="23" t="s">
        <v>157</v>
      </c>
      <c r="I30" s="101" t="s">
        <v>158</v>
      </c>
      <c r="J30" s="2" t="s">
        <v>23</v>
      </c>
      <c r="K30" s="2" t="s">
        <v>23</v>
      </c>
      <c r="M30" s="2" t="s">
        <v>24</v>
      </c>
      <c r="N30" s="2" t="s">
        <v>23</v>
      </c>
      <c r="O30" s="16"/>
      <c r="P30" s="7">
        <v>1</v>
      </c>
      <c r="Q30" s="103" t="s">
        <v>159</v>
      </c>
    </row>
    <row r="31" spans="1:18" ht="15" customHeight="1">
      <c r="A31" s="71">
        <v>0</v>
      </c>
      <c r="B31" s="2" t="s">
        <v>18</v>
      </c>
      <c r="C31" s="71">
        <v>0</v>
      </c>
      <c r="D31" s="2" t="s">
        <v>19</v>
      </c>
      <c r="E31" s="74">
        <v>0</v>
      </c>
      <c r="F31" s="71">
        <v>29</v>
      </c>
      <c r="G31" s="2" t="s">
        <v>160</v>
      </c>
      <c r="H31" s="73" t="s">
        <v>161</v>
      </c>
      <c r="I31" s="100" t="s">
        <v>162</v>
      </c>
      <c r="J31" s="2" t="s">
        <v>163</v>
      </c>
      <c r="K31" s="2" t="s">
        <v>23</v>
      </c>
      <c r="M31" s="2" t="s">
        <v>24</v>
      </c>
      <c r="N31" s="2" t="s">
        <v>25</v>
      </c>
      <c r="O31" s="2" t="s">
        <v>164</v>
      </c>
      <c r="P31" s="7">
        <v>0</v>
      </c>
      <c r="Q31" s="102" t="s">
        <v>165</v>
      </c>
      <c r="R31" s="2" t="s">
        <v>166</v>
      </c>
    </row>
    <row r="32" spans="1:18" ht="15" customHeight="1">
      <c r="A32" s="21">
        <v>0</v>
      </c>
      <c r="B32" s="2" t="s">
        <v>18</v>
      </c>
      <c r="C32" s="21">
        <v>0</v>
      </c>
      <c r="D32" s="2" t="s">
        <v>19</v>
      </c>
      <c r="E32" s="14">
        <v>0</v>
      </c>
      <c r="F32" s="21">
        <v>30</v>
      </c>
      <c r="G32" s="2" t="s">
        <v>167</v>
      </c>
      <c r="H32" s="23" t="s">
        <v>168</v>
      </c>
      <c r="I32" s="101" t="s">
        <v>169</v>
      </c>
      <c r="J32" s="2" t="s">
        <v>23</v>
      </c>
      <c r="K32" s="2" t="s">
        <v>23</v>
      </c>
      <c r="M32" s="2" t="s">
        <v>24</v>
      </c>
      <c r="N32" s="2" t="s">
        <v>23</v>
      </c>
      <c r="P32" s="7">
        <v>1</v>
      </c>
      <c r="Q32" s="102" t="s">
        <v>170</v>
      </c>
      <c r="R32" s="2" t="s">
        <v>171</v>
      </c>
    </row>
    <row r="33" spans="1:18" ht="15" customHeight="1">
      <c r="A33" s="21">
        <v>0</v>
      </c>
      <c r="B33" s="2" t="s">
        <v>18</v>
      </c>
      <c r="C33" s="21">
        <v>0</v>
      </c>
      <c r="D33" s="2" t="s">
        <v>19</v>
      </c>
      <c r="E33" s="14">
        <v>0</v>
      </c>
      <c r="F33" s="21">
        <v>31</v>
      </c>
      <c r="G33" s="2" t="s">
        <v>172</v>
      </c>
      <c r="H33" s="23" t="s">
        <v>173</v>
      </c>
      <c r="I33" s="101" t="s">
        <v>174</v>
      </c>
      <c r="J33" s="2" t="s">
        <v>23</v>
      </c>
      <c r="K33" s="2" t="s">
        <v>23</v>
      </c>
      <c r="M33" s="2" t="s">
        <v>24</v>
      </c>
      <c r="N33" s="2" t="s">
        <v>23</v>
      </c>
      <c r="P33" s="7">
        <v>1</v>
      </c>
      <c r="Q33" s="102" t="s">
        <v>175</v>
      </c>
      <c r="R33" s="2" t="s">
        <v>176</v>
      </c>
    </row>
    <row r="34" spans="1:18" ht="15" customHeight="1">
      <c r="A34" s="71">
        <v>0</v>
      </c>
      <c r="B34" s="2" t="s">
        <v>18</v>
      </c>
      <c r="C34" s="71">
        <v>0</v>
      </c>
      <c r="D34" s="2" t="s">
        <v>19</v>
      </c>
      <c r="E34" s="74">
        <v>0</v>
      </c>
      <c r="F34" s="71">
        <v>32</v>
      </c>
      <c r="G34" s="2" t="s">
        <v>177</v>
      </c>
      <c r="H34" s="73" t="s">
        <v>178</v>
      </c>
      <c r="I34" s="100" t="s">
        <v>179</v>
      </c>
      <c r="J34" s="2" t="s">
        <v>23</v>
      </c>
      <c r="K34" s="2" t="s">
        <v>23</v>
      </c>
      <c r="M34" s="2" t="s">
        <v>38</v>
      </c>
      <c r="N34" s="2" t="s">
        <v>23</v>
      </c>
      <c r="P34" s="7">
        <v>0</v>
      </c>
      <c r="Q34" s="102" t="s">
        <v>180</v>
      </c>
    </row>
    <row r="35" spans="1:18" ht="15" customHeight="1">
      <c r="A35" s="71">
        <v>0</v>
      </c>
      <c r="B35" s="2" t="s">
        <v>18</v>
      </c>
      <c r="C35" s="71">
        <v>0</v>
      </c>
      <c r="D35" s="2" t="s">
        <v>19</v>
      </c>
      <c r="E35" s="74">
        <v>0</v>
      </c>
      <c r="F35" s="71">
        <v>33</v>
      </c>
      <c r="G35" s="2" t="s">
        <v>181</v>
      </c>
      <c r="H35" s="73" t="s">
        <v>182</v>
      </c>
      <c r="I35" s="100" t="s">
        <v>183</v>
      </c>
      <c r="J35" s="2" t="s">
        <v>38</v>
      </c>
      <c r="K35" s="2" t="s">
        <v>23</v>
      </c>
      <c r="M35" s="2" t="s">
        <v>38</v>
      </c>
      <c r="N35" s="2" t="s">
        <v>23</v>
      </c>
      <c r="P35" s="7">
        <v>0</v>
      </c>
      <c r="Q35" s="102" t="s">
        <v>184</v>
      </c>
    </row>
    <row r="36" spans="1:18" ht="15" customHeight="1">
      <c r="A36" s="71">
        <v>0</v>
      </c>
      <c r="B36" s="2" t="s">
        <v>18</v>
      </c>
      <c r="C36" s="71">
        <v>0</v>
      </c>
      <c r="D36" s="2" t="s">
        <v>19</v>
      </c>
      <c r="E36" s="74">
        <v>0</v>
      </c>
      <c r="F36" s="71">
        <v>34</v>
      </c>
      <c r="G36" s="2" t="s">
        <v>5725</v>
      </c>
      <c r="H36" s="73" t="s">
        <v>5726</v>
      </c>
      <c r="I36" s="100" t="s">
        <v>5727</v>
      </c>
      <c r="J36" s="2" t="s">
        <v>38</v>
      </c>
      <c r="K36" s="2" t="s">
        <v>23</v>
      </c>
      <c r="L36" s="2" t="s">
        <v>43</v>
      </c>
      <c r="M36" s="2" t="s">
        <v>38</v>
      </c>
      <c r="N36" s="2" t="s">
        <v>23</v>
      </c>
      <c r="O36" s="16"/>
      <c r="P36" s="7">
        <v>0</v>
      </c>
      <c r="Q36" s="103" t="s">
        <v>5728</v>
      </c>
      <c r="R36" s="2" t="s">
        <v>5729</v>
      </c>
    </row>
    <row r="37" spans="1:18" ht="15" customHeight="1">
      <c r="A37" s="21">
        <v>0</v>
      </c>
      <c r="B37" s="2" t="s">
        <v>18</v>
      </c>
      <c r="C37" s="21">
        <v>1</v>
      </c>
      <c r="D37" s="2" t="s">
        <v>185</v>
      </c>
      <c r="E37" s="14">
        <v>0</v>
      </c>
      <c r="F37" s="21">
        <v>0</v>
      </c>
      <c r="G37" s="2" t="s">
        <v>20</v>
      </c>
      <c r="H37" s="23" t="s">
        <v>186</v>
      </c>
      <c r="I37" s="34" t="s">
        <v>187</v>
      </c>
      <c r="J37" s="2" t="s">
        <v>23</v>
      </c>
      <c r="K37" s="2" t="s">
        <v>23</v>
      </c>
      <c r="M37" s="2" t="s">
        <v>24</v>
      </c>
      <c r="N37" s="2" t="s">
        <v>25</v>
      </c>
      <c r="O37" s="2" t="s">
        <v>26</v>
      </c>
      <c r="P37" s="7">
        <v>1</v>
      </c>
      <c r="Q37" s="1" t="s">
        <v>188</v>
      </c>
      <c r="R37" s="31" t="s">
        <v>189</v>
      </c>
    </row>
    <row r="38" spans="1:18" ht="15" customHeight="1">
      <c r="A38" s="21">
        <v>0</v>
      </c>
      <c r="B38" s="2" t="s">
        <v>18</v>
      </c>
      <c r="C38" s="21">
        <v>1</v>
      </c>
      <c r="D38" s="2" t="s">
        <v>185</v>
      </c>
      <c r="E38" s="14">
        <v>0</v>
      </c>
      <c r="F38" s="21">
        <v>1</v>
      </c>
      <c r="G38" s="2" t="s">
        <v>190</v>
      </c>
      <c r="H38" s="23" t="s">
        <v>191</v>
      </c>
      <c r="I38" s="101" t="s">
        <v>192</v>
      </c>
      <c r="J38" s="2" t="s">
        <v>38</v>
      </c>
      <c r="K38" s="2" t="s">
        <v>23</v>
      </c>
      <c r="M38" s="2" t="s">
        <v>38</v>
      </c>
      <c r="N38" s="2" t="s">
        <v>23</v>
      </c>
      <c r="O38" s="16"/>
      <c r="P38" s="7">
        <v>1</v>
      </c>
      <c r="Q38" s="104" t="s">
        <v>193</v>
      </c>
      <c r="R38" s="2" t="s">
        <v>194</v>
      </c>
    </row>
    <row r="39" spans="1:18" ht="15" customHeight="1">
      <c r="A39" s="21">
        <v>0</v>
      </c>
      <c r="B39" s="2" t="s">
        <v>18</v>
      </c>
      <c r="C39" s="21">
        <v>1</v>
      </c>
      <c r="D39" s="2" t="s">
        <v>185</v>
      </c>
      <c r="E39" s="14">
        <v>0</v>
      </c>
      <c r="F39" s="21">
        <v>2</v>
      </c>
      <c r="G39" s="2" t="s">
        <v>195</v>
      </c>
      <c r="H39" s="23" t="s">
        <v>196</v>
      </c>
      <c r="I39" s="101" t="s">
        <v>197</v>
      </c>
      <c r="J39" s="2" t="s">
        <v>24</v>
      </c>
      <c r="K39" s="2" t="s">
        <v>23</v>
      </c>
      <c r="M39" s="2" t="s">
        <v>24</v>
      </c>
      <c r="N39" s="2" t="s">
        <v>23</v>
      </c>
      <c r="O39" s="16"/>
      <c r="P39" s="7">
        <v>1</v>
      </c>
      <c r="Q39" s="104" t="s">
        <v>198</v>
      </c>
    </row>
    <row r="40" spans="1:18" ht="15" customHeight="1">
      <c r="A40" s="21">
        <v>0</v>
      </c>
      <c r="B40" s="2" t="s">
        <v>18</v>
      </c>
      <c r="C40" s="21">
        <v>1</v>
      </c>
      <c r="D40" s="2" t="s">
        <v>185</v>
      </c>
      <c r="E40" s="14">
        <v>0</v>
      </c>
      <c r="F40" s="21">
        <v>3</v>
      </c>
      <c r="G40" s="2" t="s">
        <v>199</v>
      </c>
      <c r="H40" s="23" t="s">
        <v>200</v>
      </c>
      <c r="I40" s="101" t="s">
        <v>201</v>
      </c>
      <c r="J40" s="2" t="s">
        <v>24</v>
      </c>
      <c r="K40" s="2" t="s">
        <v>139</v>
      </c>
      <c r="M40" s="2" t="s">
        <v>24</v>
      </c>
      <c r="N40" s="2" t="s">
        <v>139</v>
      </c>
      <c r="O40" s="16"/>
      <c r="P40" s="7">
        <v>1</v>
      </c>
      <c r="Q40" s="104" t="s">
        <v>202</v>
      </c>
    </row>
    <row r="41" spans="1:18" ht="15" customHeight="1">
      <c r="A41" s="21">
        <v>0</v>
      </c>
      <c r="B41" s="2" t="s">
        <v>18</v>
      </c>
      <c r="C41" s="21">
        <v>1</v>
      </c>
      <c r="D41" s="2" t="s">
        <v>185</v>
      </c>
      <c r="E41" s="14">
        <v>0</v>
      </c>
      <c r="F41" s="21">
        <v>4</v>
      </c>
      <c r="G41" s="2" t="s">
        <v>203</v>
      </c>
      <c r="H41" s="23" t="s">
        <v>204</v>
      </c>
      <c r="I41" s="101" t="s">
        <v>205</v>
      </c>
      <c r="J41" s="2" t="s">
        <v>24</v>
      </c>
      <c r="K41" s="2" t="s">
        <v>206</v>
      </c>
      <c r="M41" s="2" t="s">
        <v>24</v>
      </c>
      <c r="N41" s="2" t="s">
        <v>206</v>
      </c>
      <c r="O41" s="16"/>
      <c r="P41" s="7">
        <v>1</v>
      </c>
      <c r="Q41" s="104" t="s">
        <v>207</v>
      </c>
    </row>
    <row r="42" spans="1:18" ht="15" customHeight="1">
      <c r="A42" s="21">
        <v>0</v>
      </c>
      <c r="B42" s="2" t="s">
        <v>18</v>
      </c>
      <c r="C42" s="21">
        <v>1</v>
      </c>
      <c r="D42" s="2" t="s">
        <v>185</v>
      </c>
      <c r="E42" s="14">
        <v>0</v>
      </c>
      <c r="F42" s="21">
        <v>5</v>
      </c>
      <c r="G42" s="2" t="s">
        <v>208</v>
      </c>
      <c r="H42" s="23" t="s">
        <v>209</v>
      </c>
      <c r="I42" s="101" t="s">
        <v>210</v>
      </c>
      <c r="J42" s="2" t="s">
        <v>24</v>
      </c>
      <c r="K42" s="2" t="s">
        <v>206</v>
      </c>
      <c r="M42" s="2" t="s">
        <v>24</v>
      </c>
      <c r="N42" s="2" t="s">
        <v>206</v>
      </c>
      <c r="O42" s="16"/>
      <c r="P42" s="7">
        <v>1</v>
      </c>
      <c r="Q42" s="104" t="s">
        <v>211</v>
      </c>
    </row>
    <row r="43" spans="1:18" ht="15" customHeight="1">
      <c r="A43" s="21">
        <v>0</v>
      </c>
      <c r="B43" s="2" t="s">
        <v>18</v>
      </c>
      <c r="C43" s="21">
        <v>1</v>
      </c>
      <c r="D43" s="2" t="s">
        <v>185</v>
      </c>
      <c r="E43" s="14">
        <v>0</v>
      </c>
      <c r="F43" s="21">
        <v>6</v>
      </c>
      <c r="G43" s="2" t="s">
        <v>212</v>
      </c>
      <c r="H43" s="23" t="s">
        <v>213</v>
      </c>
      <c r="I43" s="101" t="s">
        <v>214</v>
      </c>
      <c r="J43" s="2" t="s">
        <v>24</v>
      </c>
      <c r="K43" s="2" t="s">
        <v>206</v>
      </c>
      <c r="M43" s="2" t="s">
        <v>24</v>
      </c>
      <c r="N43" s="2" t="s">
        <v>206</v>
      </c>
      <c r="O43" s="16"/>
      <c r="P43" s="7">
        <v>1</v>
      </c>
      <c r="Q43" s="104" t="s">
        <v>215</v>
      </c>
    </row>
    <row r="44" spans="1:18" ht="15" customHeight="1">
      <c r="A44" s="21">
        <v>0</v>
      </c>
      <c r="B44" s="2" t="s">
        <v>18</v>
      </c>
      <c r="C44" s="21">
        <v>1</v>
      </c>
      <c r="D44" s="2" t="s">
        <v>185</v>
      </c>
      <c r="E44" s="14">
        <v>0</v>
      </c>
      <c r="F44" s="21">
        <v>7</v>
      </c>
      <c r="G44" s="2" t="s">
        <v>216</v>
      </c>
      <c r="H44" s="23" t="s">
        <v>217</v>
      </c>
      <c r="I44" s="101" t="s">
        <v>218</v>
      </c>
      <c r="J44" s="2" t="s">
        <v>23</v>
      </c>
      <c r="K44" s="2" t="s">
        <v>23</v>
      </c>
      <c r="M44" s="2" t="s">
        <v>38</v>
      </c>
      <c r="N44" s="2" t="s">
        <v>23</v>
      </c>
      <c r="O44" s="16"/>
      <c r="P44" s="7">
        <v>1</v>
      </c>
      <c r="Q44" s="103" t="s">
        <v>219</v>
      </c>
    </row>
    <row r="45" spans="1:18" ht="15" customHeight="1">
      <c r="A45" s="21">
        <v>0</v>
      </c>
      <c r="B45" s="2" t="s">
        <v>18</v>
      </c>
      <c r="C45" s="21">
        <v>1</v>
      </c>
      <c r="D45" s="2" t="s">
        <v>185</v>
      </c>
      <c r="E45" s="14">
        <v>0</v>
      </c>
      <c r="F45" s="21">
        <v>8</v>
      </c>
      <c r="G45" s="2" t="s">
        <v>220</v>
      </c>
      <c r="H45" s="23" t="s">
        <v>221</v>
      </c>
      <c r="I45" s="101" t="s">
        <v>222</v>
      </c>
      <c r="J45" s="2" t="s">
        <v>38</v>
      </c>
      <c r="K45" s="2" t="s">
        <v>23</v>
      </c>
      <c r="M45" s="2" t="s">
        <v>38</v>
      </c>
      <c r="N45" s="2" t="s">
        <v>23</v>
      </c>
      <c r="P45" s="7">
        <v>1</v>
      </c>
      <c r="Q45" s="103" t="s">
        <v>223</v>
      </c>
      <c r="R45" s="2" t="s">
        <v>224</v>
      </c>
    </row>
    <row r="46" spans="1:18" ht="15" customHeight="1">
      <c r="A46" s="21">
        <v>0</v>
      </c>
      <c r="B46" s="2" t="s">
        <v>18</v>
      </c>
      <c r="C46" s="21">
        <v>1</v>
      </c>
      <c r="D46" s="2" t="s">
        <v>185</v>
      </c>
      <c r="E46" s="14">
        <v>0</v>
      </c>
      <c r="F46" s="21">
        <v>9</v>
      </c>
      <c r="G46" s="2" t="s">
        <v>225</v>
      </c>
      <c r="H46" s="23" t="s">
        <v>226</v>
      </c>
      <c r="I46" s="101" t="s">
        <v>227</v>
      </c>
      <c r="J46" s="2" t="s">
        <v>23</v>
      </c>
      <c r="K46" s="2" t="s">
        <v>23</v>
      </c>
      <c r="M46" s="2" t="s">
        <v>24</v>
      </c>
      <c r="N46" s="2" t="s">
        <v>116</v>
      </c>
      <c r="O46" s="16" t="s">
        <v>227</v>
      </c>
      <c r="P46" s="7">
        <v>1</v>
      </c>
      <c r="Q46" s="103" t="s">
        <v>228</v>
      </c>
    </row>
    <row r="47" spans="1:18" ht="15" customHeight="1">
      <c r="A47" s="71">
        <v>0</v>
      </c>
      <c r="B47" s="2" t="s">
        <v>18</v>
      </c>
      <c r="C47" s="71">
        <v>1</v>
      </c>
      <c r="D47" s="2" t="s">
        <v>185</v>
      </c>
      <c r="E47" s="74">
        <v>0</v>
      </c>
      <c r="F47" s="71">
        <v>10</v>
      </c>
      <c r="G47" s="2" t="s">
        <v>229</v>
      </c>
      <c r="H47" s="73" t="s">
        <v>230</v>
      </c>
      <c r="I47" s="100" t="s">
        <v>231</v>
      </c>
      <c r="J47" s="2" t="s">
        <v>24</v>
      </c>
      <c r="K47" s="2" t="s">
        <v>23</v>
      </c>
      <c r="M47" s="2" t="s">
        <v>24</v>
      </c>
      <c r="N47" s="2" t="s">
        <v>23</v>
      </c>
      <c r="P47" s="7">
        <v>0</v>
      </c>
      <c r="Q47" s="103" t="s">
        <v>232</v>
      </c>
      <c r="R47" s="2" t="s">
        <v>233</v>
      </c>
    </row>
    <row r="48" spans="1:18" ht="15" customHeight="1">
      <c r="A48" s="71">
        <v>0</v>
      </c>
      <c r="B48" s="2" t="s">
        <v>18</v>
      </c>
      <c r="C48" s="71">
        <v>1</v>
      </c>
      <c r="D48" s="2" t="s">
        <v>185</v>
      </c>
      <c r="E48" s="74">
        <v>0</v>
      </c>
      <c r="F48" s="71">
        <v>11</v>
      </c>
      <c r="G48" s="2" t="s">
        <v>8953</v>
      </c>
      <c r="H48" s="73" t="s">
        <v>8955</v>
      </c>
      <c r="I48" s="100" t="s">
        <v>8956</v>
      </c>
      <c r="J48" s="2" t="s">
        <v>38</v>
      </c>
      <c r="K48" s="2" t="s">
        <v>23</v>
      </c>
      <c r="L48" s="2" t="s">
        <v>8957</v>
      </c>
      <c r="M48" s="2" t="s">
        <v>38</v>
      </c>
      <c r="N48" s="2" t="s">
        <v>23</v>
      </c>
      <c r="O48" s="2" t="s">
        <v>8957</v>
      </c>
      <c r="P48" s="7">
        <v>0</v>
      </c>
      <c r="Q48" s="103" t="s">
        <v>8954</v>
      </c>
      <c r="R48" s="2" t="s">
        <v>8958</v>
      </c>
    </row>
    <row r="49" spans="1:18" ht="15" customHeight="1">
      <c r="A49" s="72"/>
      <c r="C49" s="72"/>
      <c r="E49" s="86"/>
      <c r="F49" s="72"/>
      <c r="H49" s="87" t="s">
        <v>234</v>
      </c>
      <c r="I49" s="105"/>
      <c r="P49" s="7"/>
      <c r="Q49" s="99"/>
    </row>
    <row r="50" spans="1:18" ht="15" customHeight="1">
      <c r="A50" s="21">
        <v>1</v>
      </c>
      <c r="B50" s="2" t="s">
        <v>235</v>
      </c>
      <c r="C50" s="21">
        <v>0</v>
      </c>
      <c r="D50" s="2" t="s">
        <v>236</v>
      </c>
      <c r="E50" s="14">
        <v>0</v>
      </c>
      <c r="F50" s="21">
        <v>0</v>
      </c>
      <c r="G50" s="2" t="s">
        <v>20</v>
      </c>
      <c r="H50" s="23" t="s">
        <v>237</v>
      </c>
      <c r="I50" s="34" t="s">
        <v>238</v>
      </c>
      <c r="J50" s="2" t="s">
        <v>23</v>
      </c>
      <c r="K50" s="2" t="s">
        <v>23</v>
      </c>
      <c r="M50" s="2" t="s">
        <v>24</v>
      </c>
      <c r="N50" s="2" t="s">
        <v>25</v>
      </c>
      <c r="O50" s="5" t="s">
        <v>26</v>
      </c>
      <c r="P50" s="7">
        <v>1</v>
      </c>
      <c r="Q50" s="28" t="s">
        <v>239</v>
      </c>
    </row>
    <row r="51" spans="1:18" ht="15" customHeight="1">
      <c r="A51" s="21">
        <v>1</v>
      </c>
      <c r="B51" s="2" t="s">
        <v>235</v>
      </c>
      <c r="C51" s="21">
        <v>0</v>
      </c>
      <c r="D51" s="2" t="s">
        <v>236</v>
      </c>
      <c r="E51" s="14">
        <v>0</v>
      </c>
      <c r="F51" s="21">
        <v>1</v>
      </c>
      <c r="G51" s="2" t="s">
        <v>240</v>
      </c>
      <c r="H51" s="23" t="s">
        <v>241</v>
      </c>
      <c r="I51" s="101" t="s">
        <v>242</v>
      </c>
      <c r="J51" s="2" t="s">
        <v>23</v>
      </c>
      <c r="K51" s="2" t="s">
        <v>23</v>
      </c>
      <c r="M51" s="2" t="s">
        <v>24</v>
      </c>
      <c r="N51" s="2" t="s">
        <v>23</v>
      </c>
      <c r="O51" s="5" t="s">
        <v>243</v>
      </c>
      <c r="P51" s="7">
        <v>1</v>
      </c>
      <c r="Q51" s="99" t="s">
        <v>244</v>
      </c>
      <c r="R51" s="2" t="s">
        <v>245</v>
      </c>
    </row>
    <row r="52" spans="1:18" ht="15" customHeight="1">
      <c r="A52" s="21">
        <v>1</v>
      </c>
      <c r="B52" s="2" t="s">
        <v>235</v>
      </c>
      <c r="C52" s="21">
        <v>0</v>
      </c>
      <c r="D52" s="2" t="s">
        <v>236</v>
      </c>
      <c r="E52" s="14">
        <v>0</v>
      </c>
      <c r="F52" s="21">
        <v>2</v>
      </c>
      <c r="G52" s="2" t="s">
        <v>246</v>
      </c>
      <c r="H52" s="23" t="s">
        <v>247</v>
      </c>
      <c r="I52" s="101" t="s">
        <v>248</v>
      </c>
      <c r="J52" s="2" t="s">
        <v>23</v>
      </c>
      <c r="K52" s="2" t="s">
        <v>23</v>
      </c>
      <c r="M52" s="2" t="s">
        <v>24</v>
      </c>
      <c r="N52" s="2" t="s">
        <v>133</v>
      </c>
      <c r="O52" s="5" t="s">
        <v>249</v>
      </c>
      <c r="P52" s="7">
        <v>1</v>
      </c>
      <c r="Q52" s="99" t="s">
        <v>250</v>
      </c>
    </row>
    <row r="53" spans="1:18" ht="15" customHeight="1">
      <c r="A53" s="21">
        <v>1</v>
      </c>
      <c r="B53" s="2" t="s">
        <v>235</v>
      </c>
      <c r="C53" s="21">
        <v>0</v>
      </c>
      <c r="D53" s="2" t="s">
        <v>236</v>
      </c>
      <c r="E53" s="14">
        <v>0</v>
      </c>
      <c r="F53" s="21">
        <v>3</v>
      </c>
      <c r="G53" s="2" t="s">
        <v>251</v>
      </c>
      <c r="H53" s="23" t="s">
        <v>252</v>
      </c>
      <c r="I53" s="101" t="s">
        <v>253</v>
      </c>
      <c r="J53" s="2" t="s">
        <v>23</v>
      </c>
      <c r="K53" s="2" t="s">
        <v>23</v>
      </c>
      <c r="M53" s="2" t="s">
        <v>24</v>
      </c>
      <c r="N53" s="2" t="s">
        <v>145</v>
      </c>
      <c r="P53" s="7">
        <v>1</v>
      </c>
      <c r="Q53" s="99" t="s">
        <v>254</v>
      </c>
      <c r="R53" s="2" t="s">
        <v>255</v>
      </c>
    </row>
    <row r="54" spans="1:18" ht="15" customHeight="1">
      <c r="A54" s="21">
        <v>1</v>
      </c>
      <c r="B54" s="2" t="s">
        <v>235</v>
      </c>
      <c r="C54" s="21">
        <v>1</v>
      </c>
      <c r="D54" s="2" t="s">
        <v>256</v>
      </c>
      <c r="E54" s="14">
        <v>0</v>
      </c>
      <c r="F54" s="21">
        <v>0</v>
      </c>
      <c r="G54" s="2" t="s">
        <v>20</v>
      </c>
      <c r="H54" s="23" t="s">
        <v>257</v>
      </c>
      <c r="I54" s="34" t="s">
        <v>258</v>
      </c>
      <c r="J54" s="2" t="s">
        <v>23</v>
      </c>
      <c r="K54" s="2" t="s">
        <v>23</v>
      </c>
      <c r="M54" s="2" t="s">
        <v>24</v>
      </c>
      <c r="N54" s="2" t="s">
        <v>25</v>
      </c>
      <c r="O54" s="5" t="s">
        <v>26</v>
      </c>
      <c r="P54" s="7">
        <v>1</v>
      </c>
      <c r="Q54" s="28" t="s">
        <v>259</v>
      </c>
    </row>
    <row r="55" spans="1:18" ht="15" customHeight="1">
      <c r="A55" s="21">
        <v>1</v>
      </c>
      <c r="B55" s="2" t="s">
        <v>235</v>
      </c>
      <c r="C55" s="21">
        <v>1</v>
      </c>
      <c r="D55" s="2" t="s">
        <v>256</v>
      </c>
      <c r="E55" s="14">
        <v>0</v>
      </c>
      <c r="F55" s="21">
        <v>1</v>
      </c>
      <c r="G55" s="2" t="s">
        <v>260</v>
      </c>
      <c r="H55" s="23" t="s">
        <v>261</v>
      </c>
      <c r="I55" s="101" t="s">
        <v>262</v>
      </c>
      <c r="J55" s="2" t="s">
        <v>23</v>
      </c>
      <c r="K55" s="2" t="s">
        <v>23</v>
      </c>
      <c r="M55" s="2" t="s">
        <v>24</v>
      </c>
      <c r="N55" s="2" t="s">
        <v>263</v>
      </c>
      <c r="P55" s="7">
        <v>1</v>
      </c>
      <c r="Q55" s="99" t="s">
        <v>264</v>
      </c>
    </row>
    <row r="56" spans="1:18" ht="15" customHeight="1">
      <c r="A56" s="21">
        <v>1</v>
      </c>
      <c r="B56" s="2" t="s">
        <v>235</v>
      </c>
      <c r="C56" s="21">
        <v>1</v>
      </c>
      <c r="D56" s="2" t="s">
        <v>256</v>
      </c>
      <c r="E56" s="14">
        <v>0</v>
      </c>
      <c r="F56" s="21">
        <v>2</v>
      </c>
      <c r="G56" s="2" t="s">
        <v>265</v>
      </c>
      <c r="H56" s="23" t="s">
        <v>266</v>
      </c>
      <c r="I56" s="101" t="s">
        <v>267</v>
      </c>
      <c r="J56" s="2" t="s">
        <v>23</v>
      </c>
      <c r="K56" s="2" t="s">
        <v>23</v>
      </c>
      <c r="M56" s="2" t="s">
        <v>24</v>
      </c>
      <c r="N56" s="2" t="s">
        <v>133</v>
      </c>
      <c r="P56" s="7">
        <v>1</v>
      </c>
      <c r="Q56" s="99" t="s">
        <v>244</v>
      </c>
    </row>
    <row r="57" spans="1:18" ht="15" customHeight="1">
      <c r="A57" s="21">
        <v>1</v>
      </c>
      <c r="B57" s="2" t="s">
        <v>235</v>
      </c>
      <c r="C57" s="21">
        <v>1</v>
      </c>
      <c r="D57" s="2" t="s">
        <v>256</v>
      </c>
      <c r="E57" s="14">
        <v>0</v>
      </c>
      <c r="F57" s="21">
        <v>3</v>
      </c>
      <c r="G57" s="2" t="s">
        <v>268</v>
      </c>
      <c r="H57" s="23" t="s">
        <v>269</v>
      </c>
      <c r="I57" s="101" t="s">
        <v>270</v>
      </c>
      <c r="J57" s="2" t="s">
        <v>23</v>
      </c>
      <c r="K57" s="2" t="s">
        <v>23</v>
      </c>
      <c r="M57" s="2" t="s">
        <v>24</v>
      </c>
      <c r="N57" s="2" t="s">
        <v>206</v>
      </c>
      <c r="O57" s="2" t="s">
        <v>271</v>
      </c>
      <c r="P57" s="7">
        <v>1</v>
      </c>
      <c r="Q57" s="99" t="s">
        <v>272</v>
      </c>
      <c r="R57" s="2" t="s">
        <v>206</v>
      </c>
    </row>
    <row r="58" spans="1:18" ht="15" customHeight="1">
      <c r="A58" s="21">
        <v>1</v>
      </c>
      <c r="B58" s="2" t="s">
        <v>235</v>
      </c>
      <c r="C58" s="21">
        <v>1</v>
      </c>
      <c r="D58" s="2" t="s">
        <v>256</v>
      </c>
      <c r="E58" s="14">
        <v>0</v>
      </c>
      <c r="F58" s="21">
        <v>4</v>
      </c>
      <c r="G58" s="2" t="s">
        <v>273</v>
      </c>
      <c r="H58" s="23" t="s">
        <v>274</v>
      </c>
      <c r="I58" s="101" t="s">
        <v>275</v>
      </c>
      <c r="J58" s="2" t="s">
        <v>23</v>
      </c>
      <c r="K58" s="2" t="s">
        <v>23</v>
      </c>
      <c r="M58" s="2" t="s">
        <v>24</v>
      </c>
      <c r="N58" s="2" t="s">
        <v>139</v>
      </c>
      <c r="O58" s="2" t="s">
        <v>276</v>
      </c>
      <c r="P58" s="7">
        <v>1</v>
      </c>
      <c r="Q58" s="99" t="s">
        <v>277</v>
      </c>
    </row>
    <row r="59" spans="1:18" ht="15" customHeight="1">
      <c r="A59" s="21">
        <v>1</v>
      </c>
      <c r="B59" s="2" t="s">
        <v>235</v>
      </c>
      <c r="C59" s="21">
        <v>1</v>
      </c>
      <c r="D59" s="2" t="s">
        <v>256</v>
      </c>
      <c r="E59" s="14">
        <v>0</v>
      </c>
      <c r="F59" s="21">
        <v>5</v>
      </c>
      <c r="G59" s="2" t="s">
        <v>278</v>
      </c>
      <c r="H59" s="23" t="s">
        <v>279</v>
      </c>
      <c r="I59" s="101" t="s">
        <v>280</v>
      </c>
      <c r="J59" s="2" t="s">
        <v>23</v>
      </c>
      <c r="K59" s="2" t="s">
        <v>23</v>
      </c>
      <c r="M59" s="2" t="s">
        <v>24</v>
      </c>
      <c r="N59" s="2" t="s">
        <v>25</v>
      </c>
      <c r="O59" s="5" t="s">
        <v>281</v>
      </c>
      <c r="P59" s="7">
        <v>1</v>
      </c>
      <c r="Q59" s="99" t="s">
        <v>282</v>
      </c>
    </row>
    <row r="60" spans="1:18" ht="15" customHeight="1">
      <c r="A60" s="71">
        <v>1</v>
      </c>
      <c r="B60" s="2" t="s">
        <v>235</v>
      </c>
      <c r="C60" s="71">
        <v>1</v>
      </c>
      <c r="D60" s="2" t="s">
        <v>256</v>
      </c>
      <c r="E60" s="74">
        <v>0</v>
      </c>
      <c r="F60" s="71">
        <v>6</v>
      </c>
      <c r="G60" s="2" t="s">
        <v>283</v>
      </c>
      <c r="H60" s="73" t="s">
        <v>284</v>
      </c>
      <c r="I60" s="100" t="s">
        <v>285</v>
      </c>
      <c r="J60" s="2" t="s">
        <v>23</v>
      </c>
      <c r="K60" s="2" t="s">
        <v>23</v>
      </c>
      <c r="M60" s="2" t="s">
        <v>24</v>
      </c>
      <c r="N60" s="2" t="s">
        <v>23</v>
      </c>
      <c r="O60" s="5" t="s">
        <v>243</v>
      </c>
      <c r="P60" s="7">
        <v>0</v>
      </c>
      <c r="Q60" s="99" t="s">
        <v>286</v>
      </c>
      <c r="R60" s="2" t="s">
        <v>245</v>
      </c>
    </row>
    <row r="61" spans="1:18" ht="15" customHeight="1">
      <c r="A61" s="21">
        <v>1</v>
      </c>
      <c r="B61" s="2" t="s">
        <v>235</v>
      </c>
      <c r="C61" s="21">
        <v>1</v>
      </c>
      <c r="D61" s="2" t="s">
        <v>256</v>
      </c>
      <c r="E61" s="14">
        <v>0</v>
      </c>
      <c r="F61" s="21">
        <v>7</v>
      </c>
      <c r="G61" s="2" t="s">
        <v>287</v>
      </c>
      <c r="H61" s="23" t="s">
        <v>288</v>
      </c>
      <c r="I61" s="101" t="s">
        <v>289</v>
      </c>
      <c r="J61" s="2" t="s">
        <v>24</v>
      </c>
      <c r="K61" s="2" t="s">
        <v>116</v>
      </c>
      <c r="L61" s="9" t="s">
        <v>289</v>
      </c>
      <c r="M61" s="2" t="s">
        <v>24</v>
      </c>
      <c r="N61" s="2" t="s">
        <v>116</v>
      </c>
      <c r="O61" s="9" t="s">
        <v>289</v>
      </c>
      <c r="P61" s="7">
        <v>1</v>
      </c>
      <c r="Q61" s="99" t="s">
        <v>290</v>
      </c>
    </row>
    <row r="62" spans="1:18" ht="15" customHeight="1">
      <c r="A62" s="21">
        <v>1</v>
      </c>
      <c r="B62" s="2" t="s">
        <v>235</v>
      </c>
      <c r="C62" s="21">
        <v>1</v>
      </c>
      <c r="D62" s="2" t="s">
        <v>256</v>
      </c>
      <c r="E62" s="14">
        <v>0</v>
      </c>
      <c r="F62" s="21">
        <v>8</v>
      </c>
      <c r="G62" s="2" t="s">
        <v>291</v>
      </c>
      <c r="H62" s="23" t="s">
        <v>292</v>
      </c>
      <c r="I62" s="101" t="s">
        <v>293</v>
      </c>
      <c r="J62" s="2" t="s">
        <v>23</v>
      </c>
      <c r="K62" s="2" t="s">
        <v>23</v>
      </c>
      <c r="L62" s="9"/>
      <c r="M62" s="2" t="s">
        <v>24</v>
      </c>
      <c r="N62" s="2" t="s">
        <v>206</v>
      </c>
      <c r="O62" s="2" t="s">
        <v>271</v>
      </c>
      <c r="P62" s="7">
        <v>1</v>
      </c>
      <c r="Q62" s="99" t="s">
        <v>294</v>
      </c>
    </row>
    <row r="63" spans="1:18" ht="15" customHeight="1">
      <c r="A63" s="21">
        <v>1</v>
      </c>
      <c r="B63" s="2" t="s">
        <v>235</v>
      </c>
      <c r="C63" s="21">
        <v>1</v>
      </c>
      <c r="D63" s="2" t="s">
        <v>256</v>
      </c>
      <c r="E63" s="14">
        <v>0</v>
      </c>
      <c r="F63" s="21">
        <v>9</v>
      </c>
      <c r="G63" s="2" t="s">
        <v>295</v>
      </c>
      <c r="H63" s="23" t="s">
        <v>296</v>
      </c>
      <c r="I63" s="101" t="s">
        <v>297</v>
      </c>
      <c r="J63" s="2" t="s">
        <v>24</v>
      </c>
      <c r="K63" s="2" t="s">
        <v>298</v>
      </c>
      <c r="L63" s="9"/>
      <c r="M63" s="2" t="s">
        <v>24</v>
      </c>
      <c r="N63" s="2" t="s">
        <v>298</v>
      </c>
      <c r="P63" s="7">
        <v>1</v>
      </c>
      <c r="Q63" s="99" t="s">
        <v>299</v>
      </c>
      <c r="R63" s="2" t="s">
        <v>300</v>
      </c>
    </row>
    <row r="64" spans="1:18" ht="15" customHeight="1">
      <c r="A64" s="21">
        <v>1</v>
      </c>
      <c r="B64" s="2" t="s">
        <v>235</v>
      </c>
      <c r="C64" s="21">
        <v>2</v>
      </c>
      <c r="D64" s="2" t="s">
        <v>301</v>
      </c>
      <c r="E64" s="14">
        <v>0</v>
      </c>
      <c r="F64" s="21">
        <v>0</v>
      </c>
      <c r="G64" s="2" t="s">
        <v>20</v>
      </c>
      <c r="H64" s="23" t="s">
        <v>302</v>
      </c>
      <c r="I64" s="34" t="s">
        <v>303</v>
      </c>
      <c r="J64" s="2" t="s">
        <v>23</v>
      </c>
      <c r="K64" s="2" t="s">
        <v>23</v>
      </c>
      <c r="M64" s="2" t="s">
        <v>24</v>
      </c>
      <c r="N64" s="2" t="s">
        <v>25</v>
      </c>
      <c r="O64" s="5" t="s">
        <v>26</v>
      </c>
      <c r="P64" s="7">
        <v>1</v>
      </c>
      <c r="Q64" s="28" t="s">
        <v>304</v>
      </c>
    </row>
    <row r="65" spans="1:17" ht="15" customHeight="1">
      <c r="A65" s="21">
        <v>1</v>
      </c>
      <c r="B65" s="2" t="s">
        <v>235</v>
      </c>
      <c r="C65" s="21">
        <v>2</v>
      </c>
      <c r="D65" s="2" t="s">
        <v>301</v>
      </c>
      <c r="E65" s="14">
        <v>0</v>
      </c>
      <c r="F65" s="21">
        <v>1</v>
      </c>
      <c r="G65" s="2" t="s">
        <v>305</v>
      </c>
      <c r="H65" s="23" t="s">
        <v>306</v>
      </c>
      <c r="I65" s="101" t="s">
        <v>307</v>
      </c>
      <c r="J65" s="2" t="s">
        <v>24</v>
      </c>
      <c r="K65" s="2" t="s">
        <v>25</v>
      </c>
      <c r="L65" s="2" t="s">
        <v>308</v>
      </c>
      <c r="M65" s="2" t="s">
        <v>24</v>
      </c>
      <c r="N65" s="2" t="s">
        <v>25</v>
      </c>
      <c r="O65" s="2" t="s">
        <v>308</v>
      </c>
      <c r="P65" s="7">
        <v>1</v>
      </c>
      <c r="Q65" s="99" t="s">
        <v>309</v>
      </c>
    </row>
    <row r="66" spans="1:17" ht="15" customHeight="1">
      <c r="A66" s="21">
        <v>1</v>
      </c>
      <c r="B66" s="2" t="s">
        <v>235</v>
      </c>
      <c r="C66" s="21">
        <v>2</v>
      </c>
      <c r="D66" s="2" t="s">
        <v>301</v>
      </c>
      <c r="E66" s="14">
        <v>0</v>
      </c>
      <c r="F66" s="21">
        <v>2</v>
      </c>
      <c r="G66" s="2" t="s">
        <v>310</v>
      </c>
      <c r="H66" s="23" t="s">
        <v>311</v>
      </c>
      <c r="I66" s="101" t="s">
        <v>312</v>
      </c>
      <c r="J66" s="2" t="s">
        <v>24</v>
      </c>
      <c r="K66" s="2" t="s">
        <v>116</v>
      </c>
      <c r="L66" s="8" t="s">
        <v>312</v>
      </c>
      <c r="M66" s="2" t="s">
        <v>24</v>
      </c>
      <c r="N66" s="2" t="s">
        <v>116</v>
      </c>
      <c r="O66" s="8" t="s">
        <v>312</v>
      </c>
      <c r="P66" s="7">
        <v>1</v>
      </c>
      <c r="Q66" s="99" t="s">
        <v>313</v>
      </c>
    </row>
    <row r="67" spans="1:17" ht="15" customHeight="1">
      <c r="A67" s="21">
        <v>1</v>
      </c>
      <c r="B67" s="2" t="s">
        <v>235</v>
      </c>
      <c r="C67" s="21">
        <v>2</v>
      </c>
      <c r="D67" s="2" t="s">
        <v>301</v>
      </c>
      <c r="E67" s="14">
        <v>0</v>
      </c>
      <c r="F67" s="21">
        <v>3</v>
      </c>
      <c r="G67" s="2" t="s">
        <v>314</v>
      </c>
      <c r="H67" s="23" t="s">
        <v>315</v>
      </c>
      <c r="I67" s="101" t="s">
        <v>316</v>
      </c>
      <c r="J67" s="2" t="s">
        <v>24</v>
      </c>
      <c r="K67" s="2" t="s">
        <v>116</v>
      </c>
      <c r="L67" s="8" t="s">
        <v>316</v>
      </c>
      <c r="M67" s="2" t="s">
        <v>24</v>
      </c>
      <c r="N67" s="2" t="s">
        <v>116</v>
      </c>
      <c r="O67" s="8" t="s">
        <v>316</v>
      </c>
      <c r="P67" s="7">
        <v>1</v>
      </c>
      <c r="Q67" s="99" t="s">
        <v>317</v>
      </c>
    </row>
    <row r="68" spans="1:17" ht="15" customHeight="1">
      <c r="A68" s="21">
        <v>1</v>
      </c>
      <c r="B68" s="2" t="s">
        <v>235</v>
      </c>
      <c r="C68" s="21">
        <v>2</v>
      </c>
      <c r="D68" s="2" t="s">
        <v>301</v>
      </c>
      <c r="E68" s="14">
        <v>0</v>
      </c>
      <c r="F68" s="21">
        <v>4</v>
      </c>
      <c r="G68" s="2" t="s">
        <v>318</v>
      </c>
      <c r="H68" s="23" t="s">
        <v>319</v>
      </c>
      <c r="I68" s="101" t="s">
        <v>320</v>
      </c>
      <c r="J68" s="2" t="s">
        <v>24</v>
      </c>
      <c r="K68" s="2" t="s">
        <v>139</v>
      </c>
      <c r="L68" s="2" t="s">
        <v>321</v>
      </c>
      <c r="M68" s="2" t="s">
        <v>24</v>
      </c>
      <c r="N68" s="2" t="s">
        <v>139</v>
      </c>
      <c r="O68" s="2" t="s">
        <v>321</v>
      </c>
      <c r="P68" s="7">
        <v>1</v>
      </c>
      <c r="Q68" s="99" t="s">
        <v>322</v>
      </c>
    </row>
    <row r="69" spans="1:17" ht="15" customHeight="1">
      <c r="A69" s="21">
        <v>1</v>
      </c>
      <c r="B69" s="2" t="s">
        <v>235</v>
      </c>
      <c r="C69" s="21">
        <v>2</v>
      </c>
      <c r="D69" s="2" t="s">
        <v>301</v>
      </c>
      <c r="E69" s="14">
        <v>0</v>
      </c>
      <c r="F69" s="21">
        <v>5</v>
      </c>
      <c r="G69" s="2" t="s">
        <v>323</v>
      </c>
      <c r="H69" s="23" t="s">
        <v>324</v>
      </c>
      <c r="I69" s="101" t="s">
        <v>325</v>
      </c>
      <c r="J69" s="2" t="s">
        <v>24</v>
      </c>
      <c r="K69" s="2" t="s">
        <v>25</v>
      </c>
      <c r="L69" s="5" t="s">
        <v>308</v>
      </c>
      <c r="M69" s="2" t="s">
        <v>24</v>
      </c>
      <c r="N69" s="2" t="s">
        <v>25</v>
      </c>
      <c r="O69" s="5" t="s">
        <v>308</v>
      </c>
      <c r="P69" s="7">
        <v>1</v>
      </c>
      <c r="Q69" s="99" t="s">
        <v>326</v>
      </c>
    </row>
    <row r="70" spans="1:17" ht="15" customHeight="1">
      <c r="A70" s="21">
        <v>1</v>
      </c>
      <c r="B70" s="2" t="s">
        <v>235</v>
      </c>
      <c r="C70" s="21">
        <v>2</v>
      </c>
      <c r="D70" s="2" t="s">
        <v>301</v>
      </c>
      <c r="E70" s="14">
        <v>0</v>
      </c>
      <c r="F70" s="21">
        <v>6</v>
      </c>
      <c r="G70" s="2" t="s">
        <v>327</v>
      </c>
      <c r="H70" s="23" t="s">
        <v>328</v>
      </c>
      <c r="I70" s="101" t="s">
        <v>329</v>
      </c>
      <c r="J70" s="2" t="s">
        <v>24</v>
      </c>
      <c r="K70" s="2" t="s">
        <v>206</v>
      </c>
      <c r="L70" s="5" t="s">
        <v>330</v>
      </c>
      <c r="M70" s="2" t="s">
        <v>24</v>
      </c>
      <c r="N70" s="2" t="s">
        <v>206</v>
      </c>
      <c r="O70" s="5" t="s">
        <v>330</v>
      </c>
      <c r="P70" s="7">
        <v>1</v>
      </c>
      <c r="Q70" s="99" t="s">
        <v>331</v>
      </c>
    </row>
    <row r="71" spans="1:17" ht="15" customHeight="1">
      <c r="A71" s="21">
        <v>1</v>
      </c>
      <c r="B71" s="2" t="s">
        <v>235</v>
      </c>
      <c r="C71" s="21">
        <v>2</v>
      </c>
      <c r="D71" s="2" t="s">
        <v>301</v>
      </c>
      <c r="E71" s="14">
        <v>0</v>
      </c>
      <c r="F71" s="21">
        <v>7</v>
      </c>
      <c r="G71" s="2" t="s">
        <v>332</v>
      </c>
      <c r="H71" s="23" t="s">
        <v>333</v>
      </c>
      <c r="I71" s="101" t="s">
        <v>334</v>
      </c>
      <c r="J71" s="2" t="s">
        <v>24</v>
      </c>
      <c r="K71" s="2" t="s">
        <v>335</v>
      </c>
      <c r="M71" s="2" t="s">
        <v>24</v>
      </c>
      <c r="N71" s="2" t="s">
        <v>335</v>
      </c>
      <c r="P71" s="7">
        <v>1</v>
      </c>
      <c r="Q71" s="99" t="s">
        <v>336</v>
      </c>
    </row>
    <row r="72" spans="1:17" ht="15" customHeight="1">
      <c r="A72" s="21">
        <v>1</v>
      </c>
      <c r="B72" s="2" t="s">
        <v>235</v>
      </c>
      <c r="C72" s="21">
        <v>2</v>
      </c>
      <c r="D72" s="2" t="s">
        <v>301</v>
      </c>
      <c r="E72" s="14">
        <v>0</v>
      </c>
      <c r="F72" s="21">
        <v>8</v>
      </c>
      <c r="G72" s="2" t="s">
        <v>337</v>
      </c>
      <c r="H72" s="23" t="s">
        <v>338</v>
      </c>
      <c r="I72" s="101" t="s">
        <v>339</v>
      </c>
      <c r="J72" s="2" t="s">
        <v>23</v>
      </c>
      <c r="K72" s="2" t="s">
        <v>23</v>
      </c>
      <c r="M72" s="2" t="s">
        <v>24</v>
      </c>
      <c r="N72" s="2" t="s">
        <v>25</v>
      </c>
      <c r="O72" s="5" t="s">
        <v>340</v>
      </c>
      <c r="P72" s="7">
        <v>1</v>
      </c>
      <c r="Q72" s="99" t="s">
        <v>341</v>
      </c>
    </row>
    <row r="73" spans="1:17" ht="15" customHeight="1">
      <c r="A73" s="21">
        <v>1</v>
      </c>
      <c r="B73" s="2" t="s">
        <v>235</v>
      </c>
      <c r="C73" s="21">
        <v>2</v>
      </c>
      <c r="D73" s="2" t="s">
        <v>301</v>
      </c>
      <c r="E73" s="14">
        <v>0</v>
      </c>
      <c r="F73" s="21">
        <v>9</v>
      </c>
      <c r="G73" s="2" t="s">
        <v>342</v>
      </c>
      <c r="H73" s="23" t="s">
        <v>343</v>
      </c>
      <c r="I73" s="101" t="s">
        <v>344</v>
      </c>
      <c r="J73" s="2" t="s">
        <v>23</v>
      </c>
      <c r="K73" s="2" t="s">
        <v>23</v>
      </c>
      <c r="M73" s="2" t="s">
        <v>24</v>
      </c>
      <c r="N73" s="2" t="s">
        <v>116</v>
      </c>
      <c r="O73" s="9" t="s">
        <v>344</v>
      </c>
      <c r="P73" s="7">
        <v>1</v>
      </c>
      <c r="Q73" s="99" t="s">
        <v>345</v>
      </c>
    </row>
    <row r="74" spans="1:17" ht="15" customHeight="1">
      <c r="A74" s="21">
        <v>1</v>
      </c>
      <c r="B74" s="2" t="s">
        <v>235</v>
      </c>
      <c r="C74" s="21">
        <v>2</v>
      </c>
      <c r="D74" s="2" t="s">
        <v>301</v>
      </c>
      <c r="E74" s="14">
        <v>0</v>
      </c>
      <c r="F74" s="21">
        <v>10</v>
      </c>
      <c r="G74" s="2" t="s">
        <v>346</v>
      </c>
      <c r="H74" s="23" t="s">
        <v>347</v>
      </c>
      <c r="I74" s="101" t="s">
        <v>348</v>
      </c>
      <c r="J74" s="2" t="s">
        <v>23</v>
      </c>
      <c r="K74" s="2" t="s">
        <v>23</v>
      </c>
      <c r="M74" s="2" t="s">
        <v>24</v>
      </c>
      <c r="N74" s="2" t="s">
        <v>139</v>
      </c>
      <c r="O74" s="9"/>
      <c r="P74" s="7">
        <v>1</v>
      </c>
      <c r="Q74" s="99" t="s">
        <v>349</v>
      </c>
    </row>
    <row r="75" spans="1:17" ht="15" customHeight="1">
      <c r="A75" s="21">
        <v>1</v>
      </c>
      <c r="B75" s="2" t="s">
        <v>235</v>
      </c>
      <c r="C75" s="21">
        <v>2</v>
      </c>
      <c r="D75" s="2" t="s">
        <v>301</v>
      </c>
      <c r="E75" s="14">
        <v>0</v>
      </c>
      <c r="F75" s="21">
        <v>11</v>
      </c>
      <c r="G75" s="2" t="s">
        <v>350</v>
      </c>
      <c r="H75" s="23" t="s">
        <v>351</v>
      </c>
      <c r="I75" s="101" t="s">
        <v>352</v>
      </c>
      <c r="J75" s="2" t="s">
        <v>24</v>
      </c>
      <c r="K75" s="2" t="s">
        <v>206</v>
      </c>
      <c r="L75" s="5" t="s">
        <v>330</v>
      </c>
      <c r="M75" s="2" t="s">
        <v>24</v>
      </c>
      <c r="N75" s="2" t="s">
        <v>206</v>
      </c>
      <c r="O75" s="5" t="s">
        <v>330</v>
      </c>
      <c r="P75" s="7">
        <v>1</v>
      </c>
      <c r="Q75" s="99" t="s">
        <v>313</v>
      </c>
    </row>
    <row r="76" spans="1:17" ht="15" customHeight="1">
      <c r="A76" s="21">
        <v>1</v>
      </c>
      <c r="B76" s="2" t="s">
        <v>235</v>
      </c>
      <c r="C76" s="21">
        <v>2</v>
      </c>
      <c r="D76" s="2" t="s">
        <v>301</v>
      </c>
      <c r="E76" s="14">
        <v>0</v>
      </c>
      <c r="F76" s="21">
        <v>12</v>
      </c>
      <c r="G76" s="2" t="s">
        <v>353</v>
      </c>
      <c r="H76" s="23" t="s">
        <v>354</v>
      </c>
      <c r="I76" s="101" t="s">
        <v>355</v>
      </c>
      <c r="J76" s="2" t="s">
        <v>23</v>
      </c>
      <c r="K76" s="2" t="s">
        <v>23</v>
      </c>
      <c r="M76" s="2" t="s">
        <v>24</v>
      </c>
      <c r="N76" s="2" t="s">
        <v>116</v>
      </c>
      <c r="O76" s="11" t="s">
        <v>355</v>
      </c>
      <c r="P76" s="7">
        <v>1</v>
      </c>
      <c r="Q76" s="99" t="s">
        <v>356</v>
      </c>
    </row>
    <row r="77" spans="1:17" ht="15" customHeight="1">
      <c r="A77" s="21">
        <v>1</v>
      </c>
      <c r="B77" s="2" t="s">
        <v>235</v>
      </c>
      <c r="C77" s="21">
        <v>2</v>
      </c>
      <c r="D77" s="2" t="s">
        <v>301</v>
      </c>
      <c r="E77" s="14">
        <v>0</v>
      </c>
      <c r="F77" s="21">
        <v>13</v>
      </c>
      <c r="G77" s="2" t="s">
        <v>357</v>
      </c>
      <c r="H77" s="23" t="s">
        <v>358</v>
      </c>
      <c r="I77" s="101" t="s">
        <v>359</v>
      </c>
      <c r="J77" s="2" t="s">
        <v>24</v>
      </c>
      <c r="K77" s="2" t="s">
        <v>25</v>
      </c>
      <c r="L77" s="5" t="s">
        <v>360</v>
      </c>
      <c r="M77" s="2" t="s">
        <v>24</v>
      </c>
      <c r="N77" s="2" t="s">
        <v>25</v>
      </c>
      <c r="O77" s="5" t="s">
        <v>360</v>
      </c>
      <c r="P77" s="7">
        <v>1</v>
      </c>
      <c r="Q77" s="99" t="s">
        <v>361</v>
      </c>
    </row>
    <row r="78" spans="1:17" ht="15" customHeight="1">
      <c r="A78" s="21">
        <v>1</v>
      </c>
      <c r="B78" s="2" t="s">
        <v>235</v>
      </c>
      <c r="C78" s="21">
        <v>2</v>
      </c>
      <c r="D78" s="2" t="s">
        <v>301</v>
      </c>
      <c r="E78" s="14">
        <v>0</v>
      </c>
      <c r="F78" s="21">
        <v>14</v>
      </c>
      <c r="G78" s="2" t="s">
        <v>362</v>
      </c>
      <c r="H78" s="23" t="s">
        <v>363</v>
      </c>
      <c r="I78" s="101" t="s">
        <v>364</v>
      </c>
      <c r="J78" s="2" t="s">
        <v>24</v>
      </c>
      <c r="K78" s="2" t="s">
        <v>25</v>
      </c>
      <c r="L78" s="2" t="s">
        <v>308</v>
      </c>
      <c r="M78" s="2" t="s">
        <v>24</v>
      </c>
      <c r="N78" s="2" t="s">
        <v>25</v>
      </c>
      <c r="O78" s="2" t="s">
        <v>308</v>
      </c>
      <c r="P78" s="7">
        <v>1</v>
      </c>
      <c r="Q78" s="99" t="s">
        <v>365</v>
      </c>
    </row>
    <row r="79" spans="1:17" ht="15" customHeight="1">
      <c r="A79" s="21">
        <v>1</v>
      </c>
      <c r="B79" s="2" t="s">
        <v>235</v>
      </c>
      <c r="C79" s="21">
        <v>2</v>
      </c>
      <c r="D79" s="2" t="s">
        <v>301</v>
      </c>
      <c r="E79" s="14">
        <v>0</v>
      </c>
      <c r="F79" s="21">
        <v>15</v>
      </c>
      <c r="G79" s="2" t="s">
        <v>366</v>
      </c>
      <c r="H79" s="23" t="s">
        <v>367</v>
      </c>
      <c r="I79" s="101" t="s">
        <v>368</v>
      </c>
      <c r="J79" s="2" t="s">
        <v>24</v>
      </c>
      <c r="K79" s="2" t="s">
        <v>25</v>
      </c>
      <c r="L79" s="2" t="s">
        <v>308</v>
      </c>
      <c r="M79" s="2" t="s">
        <v>24</v>
      </c>
      <c r="N79" s="2" t="s">
        <v>25</v>
      </c>
      <c r="O79" s="2" t="s">
        <v>308</v>
      </c>
      <c r="P79" s="7">
        <v>1</v>
      </c>
      <c r="Q79" s="99" t="s">
        <v>369</v>
      </c>
    </row>
    <row r="80" spans="1:17" ht="15" customHeight="1">
      <c r="A80" s="21">
        <v>1</v>
      </c>
      <c r="B80" s="2" t="s">
        <v>235</v>
      </c>
      <c r="C80" s="21">
        <v>2</v>
      </c>
      <c r="D80" s="2" t="s">
        <v>301</v>
      </c>
      <c r="E80" s="14">
        <v>0</v>
      </c>
      <c r="F80" s="21">
        <v>16</v>
      </c>
      <c r="G80" s="2" t="s">
        <v>370</v>
      </c>
      <c r="H80" s="23" t="s">
        <v>371</v>
      </c>
      <c r="I80" s="101" t="s">
        <v>372</v>
      </c>
      <c r="J80" s="2" t="s">
        <v>24</v>
      </c>
      <c r="K80" s="2" t="s">
        <v>116</v>
      </c>
      <c r="L80" s="9" t="s">
        <v>373</v>
      </c>
      <c r="M80" s="2" t="s">
        <v>24</v>
      </c>
      <c r="N80" s="2" t="s">
        <v>116</v>
      </c>
      <c r="O80" s="9" t="s">
        <v>373</v>
      </c>
      <c r="P80" s="7">
        <v>1</v>
      </c>
      <c r="Q80" s="99" t="s">
        <v>374</v>
      </c>
    </row>
    <row r="81" spans="1:18" ht="15" customHeight="1">
      <c r="A81" s="21">
        <v>1</v>
      </c>
      <c r="B81" s="2" t="s">
        <v>235</v>
      </c>
      <c r="C81" s="21">
        <v>2</v>
      </c>
      <c r="D81" s="2" t="s">
        <v>301</v>
      </c>
      <c r="E81" s="14">
        <v>0</v>
      </c>
      <c r="F81" s="21">
        <v>17</v>
      </c>
      <c r="G81" s="2" t="s">
        <v>375</v>
      </c>
      <c r="H81" s="23" t="s">
        <v>376</v>
      </c>
      <c r="I81" s="101" t="s">
        <v>377</v>
      </c>
      <c r="J81" s="2" t="s">
        <v>23</v>
      </c>
      <c r="K81" s="2" t="s">
        <v>23</v>
      </c>
      <c r="M81" s="2" t="s">
        <v>24</v>
      </c>
      <c r="N81" s="2" t="s">
        <v>25</v>
      </c>
      <c r="O81" s="2" t="s">
        <v>378</v>
      </c>
      <c r="P81" s="7">
        <v>1</v>
      </c>
      <c r="Q81" s="99" t="s">
        <v>379</v>
      </c>
    </row>
    <row r="82" spans="1:18" ht="15" customHeight="1">
      <c r="A82" s="21">
        <v>1</v>
      </c>
      <c r="B82" s="2" t="s">
        <v>235</v>
      </c>
      <c r="C82" s="21">
        <v>2</v>
      </c>
      <c r="D82" s="2" t="s">
        <v>301</v>
      </c>
      <c r="E82" s="14">
        <v>0</v>
      </c>
      <c r="F82" s="21">
        <v>18</v>
      </c>
      <c r="G82" s="2" t="s">
        <v>380</v>
      </c>
      <c r="H82" s="23" t="s">
        <v>381</v>
      </c>
      <c r="I82" s="101" t="s">
        <v>382</v>
      </c>
      <c r="J82" s="2" t="s">
        <v>23</v>
      </c>
      <c r="K82" s="2" t="s">
        <v>23</v>
      </c>
      <c r="M82" s="2" t="s">
        <v>24</v>
      </c>
      <c r="N82" s="2" t="s">
        <v>116</v>
      </c>
      <c r="O82" s="16" t="s">
        <v>382</v>
      </c>
      <c r="P82" s="7">
        <v>1</v>
      </c>
      <c r="Q82" s="99" t="s">
        <v>383</v>
      </c>
    </row>
    <row r="83" spans="1:18" ht="15" customHeight="1">
      <c r="A83" s="21">
        <v>1</v>
      </c>
      <c r="B83" s="2" t="s">
        <v>235</v>
      </c>
      <c r="C83" s="21">
        <v>2</v>
      </c>
      <c r="D83" s="2" t="s">
        <v>301</v>
      </c>
      <c r="E83" s="14">
        <v>0</v>
      </c>
      <c r="F83" s="21">
        <v>19</v>
      </c>
      <c r="G83" s="2" t="s">
        <v>384</v>
      </c>
      <c r="H83" s="23" t="s">
        <v>385</v>
      </c>
      <c r="I83" s="101" t="s">
        <v>386</v>
      </c>
      <c r="J83" s="2" t="s">
        <v>24</v>
      </c>
      <c r="K83" s="2" t="s">
        <v>25</v>
      </c>
      <c r="L83" s="2" t="s">
        <v>378</v>
      </c>
      <c r="M83" s="2" t="s">
        <v>24</v>
      </c>
      <c r="N83" s="2" t="s">
        <v>25</v>
      </c>
      <c r="O83" s="2" t="s">
        <v>378</v>
      </c>
      <c r="P83" s="7">
        <v>1</v>
      </c>
      <c r="Q83" s="99" t="s">
        <v>387</v>
      </c>
    </row>
    <row r="84" spans="1:18" ht="15" customHeight="1">
      <c r="A84" s="21">
        <v>1</v>
      </c>
      <c r="B84" s="2" t="s">
        <v>235</v>
      </c>
      <c r="C84" s="21">
        <v>2</v>
      </c>
      <c r="D84" s="2" t="s">
        <v>301</v>
      </c>
      <c r="E84" s="14">
        <v>0</v>
      </c>
      <c r="F84" s="21">
        <v>20</v>
      </c>
      <c r="G84" s="2" t="s">
        <v>388</v>
      </c>
      <c r="H84" s="23" t="s">
        <v>389</v>
      </c>
      <c r="I84" s="101" t="s">
        <v>390</v>
      </c>
      <c r="J84" s="2" t="s">
        <v>24</v>
      </c>
      <c r="K84" s="2" t="s">
        <v>23</v>
      </c>
      <c r="M84" s="2" t="s">
        <v>24</v>
      </c>
      <c r="N84" s="2" t="s">
        <v>23</v>
      </c>
      <c r="O84" s="9"/>
      <c r="P84" s="7">
        <v>1</v>
      </c>
      <c r="Q84" s="99" t="s">
        <v>391</v>
      </c>
    </row>
    <row r="85" spans="1:18" ht="15" customHeight="1">
      <c r="A85" s="21">
        <v>1</v>
      </c>
      <c r="B85" s="2" t="s">
        <v>235</v>
      </c>
      <c r="C85" s="21">
        <v>2</v>
      </c>
      <c r="D85" s="2" t="s">
        <v>301</v>
      </c>
      <c r="E85" s="14">
        <v>0</v>
      </c>
      <c r="F85" s="21">
        <v>21</v>
      </c>
      <c r="G85" s="2" t="s">
        <v>392</v>
      </c>
      <c r="H85" s="23" t="s">
        <v>393</v>
      </c>
      <c r="I85" s="101" t="s">
        <v>394</v>
      </c>
      <c r="J85" s="2" t="s">
        <v>24</v>
      </c>
      <c r="K85" s="2" t="s">
        <v>23</v>
      </c>
      <c r="M85" s="2" t="s">
        <v>24</v>
      </c>
      <c r="N85" s="2" t="s">
        <v>23</v>
      </c>
      <c r="O85" s="9"/>
      <c r="P85" s="7">
        <v>1</v>
      </c>
      <c r="Q85" s="99" t="s">
        <v>395</v>
      </c>
    </row>
    <row r="86" spans="1:18" ht="15" customHeight="1">
      <c r="A86" s="21">
        <v>1</v>
      </c>
      <c r="B86" s="2" t="s">
        <v>235</v>
      </c>
      <c r="C86" s="21">
        <v>2</v>
      </c>
      <c r="D86" s="2" t="s">
        <v>301</v>
      </c>
      <c r="E86" s="14">
        <v>0</v>
      </c>
      <c r="F86" s="21">
        <v>22</v>
      </c>
      <c r="G86" s="2" t="s">
        <v>396</v>
      </c>
      <c r="H86" s="23" t="s">
        <v>397</v>
      </c>
      <c r="I86" s="101" t="s">
        <v>398</v>
      </c>
      <c r="J86" s="2" t="s">
        <v>24</v>
      </c>
      <c r="K86" s="2" t="s">
        <v>25</v>
      </c>
      <c r="L86" s="2" t="s">
        <v>378</v>
      </c>
      <c r="M86" s="2" t="s">
        <v>24</v>
      </c>
      <c r="N86" s="2" t="s">
        <v>25</v>
      </c>
      <c r="O86" s="2" t="s">
        <v>378</v>
      </c>
      <c r="P86" s="7">
        <v>1</v>
      </c>
      <c r="Q86" s="99" t="s">
        <v>399</v>
      </c>
    </row>
    <row r="87" spans="1:18" ht="15" customHeight="1">
      <c r="A87" s="21">
        <v>1</v>
      </c>
      <c r="B87" s="2" t="s">
        <v>235</v>
      </c>
      <c r="C87" s="21">
        <v>2</v>
      </c>
      <c r="D87" s="2" t="s">
        <v>301</v>
      </c>
      <c r="E87" s="14">
        <v>0</v>
      </c>
      <c r="F87" s="21">
        <v>23</v>
      </c>
      <c r="G87" s="2" t="s">
        <v>400</v>
      </c>
      <c r="H87" s="23" t="s">
        <v>401</v>
      </c>
      <c r="I87" s="101" t="s">
        <v>402</v>
      </c>
      <c r="J87" s="2" t="s">
        <v>24</v>
      </c>
      <c r="K87" s="2" t="s">
        <v>23</v>
      </c>
      <c r="M87" s="2" t="s">
        <v>24</v>
      </c>
      <c r="N87" s="2" t="s">
        <v>23</v>
      </c>
      <c r="O87" s="9"/>
      <c r="P87" s="7">
        <v>1</v>
      </c>
      <c r="Q87" s="99" t="s">
        <v>403</v>
      </c>
    </row>
    <row r="88" spans="1:18" ht="15" customHeight="1">
      <c r="A88" s="21">
        <v>1</v>
      </c>
      <c r="B88" s="2" t="s">
        <v>235</v>
      </c>
      <c r="C88" s="21">
        <v>2</v>
      </c>
      <c r="D88" s="2" t="s">
        <v>301</v>
      </c>
      <c r="E88" s="14">
        <v>0</v>
      </c>
      <c r="F88" s="21">
        <v>24</v>
      </c>
      <c r="G88" s="2" t="s">
        <v>404</v>
      </c>
      <c r="H88" s="23" t="s">
        <v>405</v>
      </c>
      <c r="I88" s="101" t="s">
        <v>406</v>
      </c>
      <c r="J88" s="2" t="s">
        <v>24</v>
      </c>
      <c r="K88" s="2" t="s">
        <v>23</v>
      </c>
      <c r="M88" s="2" t="s">
        <v>24</v>
      </c>
      <c r="N88" s="2" t="s">
        <v>23</v>
      </c>
      <c r="O88" s="9"/>
      <c r="P88" s="7">
        <v>1</v>
      </c>
      <c r="Q88" s="99" t="s">
        <v>407</v>
      </c>
    </row>
    <row r="89" spans="1:18" ht="15" customHeight="1">
      <c r="A89" s="21">
        <v>1</v>
      </c>
      <c r="B89" s="2" t="s">
        <v>235</v>
      </c>
      <c r="C89" s="21">
        <v>2</v>
      </c>
      <c r="D89" s="2" t="s">
        <v>301</v>
      </c>
      <c r="E89" s="14">
        <v>0</v>
      </c>
      <c r="F89" s="21">
        <v>25</v>
      </c>
      <c r="G89" s="2" t="s">
        <v>408</v>
      </c>
      <c r="H89" s="23" t="s">
        <v>409</v>
      </c>
      <c r="I89" s="101" t="s">
        <v>410</v>
      </c>
      <c r="J89" s="2" t="s">
        <v>24</v>
      </c>
      <c r="K89" s="2" t="s">
        <v>23</v>
      </c>
      <c r="M89" s="2" t="s">
        <v>24</v>
      </c>
      <c r="N89" s="2" t="s">
        <v>23</v>
      </c>
      <c r="O89" s="16"/>
      <c r="P89" s="7">
        <v>1</v>
      </c>
      <c r="Q89" s="99" t="s">
        <v>411</v>
      </c>
    </row>
    <row r="90" spans="1:18" ht="15" customHeight="1">
      <c r="A90" s="21">
        <v>1</v>
      </c>
      <c r="B90" s="2" t="s">
        <v>235</v>
      </c>
      <c r="C90" s="21">
        <v>2</v>
      </c>
      <c r="D90" s="2" t="s">
        <v>301</v>
      </c>
      <c r="E90" s="14">
        <v>0</v>
      </c>
      <c r="F90" s="21">
        <v>26</v>
      </c>
      <c r="G90" s="2" t="s">
        <v>412</v>
      </c>
      <c r="H90" s="23" t="s">
        <v>413</v>
      </c>
      <c r="I90" s="101" t="s">
        <v>414</v>
      </c>
      <c r="J90" s="2" t="s">
        <v>8105</v>
      </c>
      <c r="K90" s="2" t="s">
        <v>8117</v>
      </c>
      <c r="L90" s="16" t="s">
        <v>8115</v>
      </c>
      <c r="M90" s="2" t="s">
        <v>8105</v>
      </c>
      <c r="N90" s="2" t="s">
        <v>8117</v>
      </c>
      <c r="O90" s="16" t="s">
        <v>8115</v>
      </c>
      <c r="P90" s="7">
        <v>1</v>
      </c>
      <c r="Q90" s="99" t="s">
        <v>415</v>
      </c>
      <c r="R90" s="16" t="s">
        <v>416</v>
      </c>
    </row>
    <row r="91" spans="1:18" ht="15" customHeight="1">
      <c r="A91" s="21">
        <v>1</v>
      </c>
      <c r="B91" s="2" t="s">
        <v>235</v>
      </c>
      <c r="C91" s="21">
        <v>2</v>
      </c>
      <c r="D91" s="2" t="s">
        <v>301</v>
      </c>
      <c r="E91" s="14">
        <v>0</v>
      </c>
      <c r="F91" s="21">
        <v>27</v>
      </c>
      <c r="G91" s="2" t="s">
        <v>417</v>
      </c>
      <c r="H91" s="23" t="s">
        <v>418</v>
      </c>
      <c r="I91" s="101" t="s">
        <v>419</v>
      </c>
      <c r="J91" s="2" t="s">
        <v>24</v>
      </c>
      <c r="K91" s="2" t="s">
        <v>25</v>
      </c>
      <c r="L91" s="16"/>
      <c r="M91" s="2" t="s">
        <v>24</v>
      </c>
      <c r="N91" s="2" t="s">
        <v>25</v>
      </c>
      <c r="O91" s="2" t="s">
        <v>378</v>
      </c>
      <c r="P91" s="7">
        <v>1</v>
      </c>
      <c r="Q91" s="99" t="s">
        <v>420</v>
      </c>
    </row>
    <row r="92" spans="1:18" ht="15" customHeight="1">
      <c r="A92" s="21">
        <v>1</v>
      </c>
      <c r="B92" s="2" t="s">
        <v>235</v>
      </c>
      <c r="C92" s="21">
        <v>2</v>
      </c>
      <c r="D92" s="2" t="s">
        <v>301</v>
      </c>
      <c r="E92" s="14">
        <v>0</v>
      </c>
      <c r="F92" s="21">
        <v>28</v>
      </c>
      <c r="G92" s="2" t="s">
        <v>421</v>
      </c>
      <c r="H92" s="23" t="s">
        <v>422</v>
      </c>
      <c r="I92" s="101" t="s">
        <v>423</v>
      </c>
      <c r="J92" s="2" t="s">
        <v>23</v>
      </c>
      <c r="K92" s="2" t="s">
        <v>23</v>
      </c>
      <c r="M92" s="2" t="s">
        <v>24</v>
      </c>
      <c r="N92" s="2" t="s">
        <v>25</v>
      </c>
      <c r="O92" s="2" t="s">
        <v>424</v>
      </c>
      <c r="P92" s="7">
        <v>1</v>
      </c>
      <c r="Q92" s="99" t="s">
        <v>425</v>
      </c>
    </row>
    <row r="93" spans="1:18" ht="15" customHeight="1">
      <c r="A93" s="21">
        <v>1</v>
      </c>
      <c r="B93" s="2" t="s">
        <v>235</v>
      </c>
      <c r="C93" s="21">
        <v>2</v>
      </c>
      <c r="D93" s="2" t="s">
        <v>301</v>
      </c>
      <c r="E93" s="14">
        <v>0</v>
      </c>
      <c r="F93" s="21">
        <v>29</v>
      </c>
      <c r="G93" s="2" t="s">
        <v>426</v>
      </c>
      <c r="H93" s="23" t="s">
        <v>427</v>
      </c>
      <c r="I93" s="101" t="s">
        <v>428</v>
      </c>
      <c r="J93" s="2" t="s">
        <v>23</v>
      </c>
      <c r="K93" s="2" t="s">
        <v>23</v>
      </c>
      <c r="M93" s="2" t="s">
        <v>24</v>
      </c>
      <c r="N93" s="2" t="s">
        <v>25</v>
      </c>
      <c r="O93" s="2" t="s">
        <v>424</v>
      </c>
      <c r="P93" s="7">
        <v>1</v>
      </c>
      <c r="Q93" s="99" t="s">
        <v>429</v>
      </c>
    </row>
    <row r="94" spans="1:18" ht="15" customHeight="1">
      <c r="A94" s="21">
        <v>1</v>
      </c>
      <c r="B94" s="2" t="s">
        <v>235</v>
      </c>
      <c r="C94" s="21">
        <v>2</v>
      </c>
      <c r="D94" s="2" t="s">
        <v>301</v>
      </c>
      <c r="E94" s="14">
        <v>0</v>
      </c>
      <c r="F94" s="21">
        <v>30</v>
      </c>
      <c r="G94" s="2" t="s">
        <v>430</v>
      </c>
      <c r="H94" s="23" t="s">
        <v>431</v>
      </c>
      <c r="I94" s="101" t="s">
        <v>432</v>
      </c>
      <c r="J94" s="2" t="s">
        <v>8100</v>
      </c>
      <c r="K94" s="2" t="s">
        <v>9287</v>
      </c>
      <c r="L94" s="16" t="s">
        <v>433</v>
      </c>
      <c r="M94" s="2" t="s">
        <v>8100</v>
      </c>
      <c r="N94" s="2" t="s">
        <v>9287</v>
      </c>
      <c r="O94" s="16" t="s">
        <v>434</v>
      </c>
      <c r="P94" s="7">
        <v>1</v>
      </c>
      <c r="Q94" s="99" t="s">
        <v>435</v>
      </c>
      <c r="R94" s="2" t="s">
        <v>436</v>
      </c>
    </row>
    <row r="95" spans="1:18" ht="15" customHeight="1">
      <c r="A95" s="21">
        <v>1</v>
      </c>
      <c r="B95" s="2" t="s">
        <v>235</v>
      </c>
      <c r="C95" s="21">
        <v>2</v>
      </c>
      <c r="D95" s="2" t="s">
        <v>301</v>
      </c>
      <c r="E95" s="14">
        <v>0</v>
      </c>
      <c r="F95" s="21">
        <v>31</v>
      </c>
      <c r="G95" s="2" t="s">
        <v>437</v>
      </c>
      <c r="H95" s="23" t="s">
        <v>438</v>
      </c>
      <c r="I95" s="101" t="s">
        <v>439</v>
      </c>
      <c r="J95" s="2" t="s">
        <v>24</v>
      </c>
      <c r="K95" s="2" t="s">
        <v>25</v>
      </c>
      <c r="L95" s="2" t="s">
        <v>440</v>
      </c>
      <c r="M95" s="2" t="s">
        <v>24</v>
      </c>
      <c r="N95" s="2" t="s">
        <v>25</v>
      </c>
      <c r="O95" s="2" t="s">
        <v>441</v>
      </c>
      <c r="P95" s="7">
        <v>1</v>
      </c>
      <c r="Q95" s="99" t="s">
        <v>442</v>
      </c>
    </row>
    <row r="96" spans="1:18" ht="15" customHeight="1">
      <c r="A96" s="71">
        <v>1</v>
      </c>
      <c r="B96" s="2" t="s">
        <v>235</v>
      </c>
      <c r="C96" s="71">
        <v>2</v>
      </c>
      <c r="D96" s="2" t="s">
        <v>301</v>
      </c>
      <c r="E96" s="74">
        <v>0</v>
      </c>
      <c r="F96" s="71">
        <v>32</v>
      </c>
      <c r="G96" s="2" t="s">
        <v>443</v>
      </c>
      <c r="H96" s="73" t="s">
        <v>444</v>
      </c>
      <c r="I96" s="100" t="s">
        <v>445</v>
      </c>
      <c r="J96" s="2" t="s">
        <v>24</v>
      </c>
      <c r="K96" s="2" t="s">
        <v>116</v>
      </c>
      <c r="L96" s="16" t="s">
        <v>445</v>
      </c>
      <c r="M96" s="2" t="s">
        <v>24</v>
      </c>
      <c r="N96" s="2" t="s">
        <v>116</v>
      </c>
      <c r="O96" s="16" t="s">
        <v>445</v>
      </c>
      <c r="P96" s="7">
        <v>0</v>
      </c>
      <c r="Q96" s="99" t="s">
        <v>446</v>
      </c>
    </row>
    <row r="97" spans="1:18" ht="15" customHeight="1">
      <c r="A97" s="21">
        <v>1</v>
      </c>
      <c r="B97" s="2" t="s">
        <v>235</v>
      </c>
      <c r="C97" s="21">
        <v>2</v>
      </c>
      <c r="D97" s="2" t="s">
        <v>301</v>
      </c>
      <c r="E97" s="14">
        <v>0</v>
      </c>
      <c r="F97" s="21">
        <v>33</v>
      </c>
      <c r="G97" s="2" t="s">
        <v>35</v>
      </c>
      <c r="H97" s="23" t="s">
        <v>5793</v>
      </c>
      <c r="I97" s="101" t="s">
        <v>5794</v>
      </c>
      <c r="J97" s="2" t="s">
        <v>23</v>
      </c>
      <c r="K97" s="2" t="s">
        <v>23</v>
      </c>
      <c r="M97" s="2" t="s">
        <v>38</v>
      </c>
      <c r="N97" s="2" t="s">
        <v>23</v>
      </c>
      <c r="P97" s="7">
        <v>1</v>
      </c>
      <c r="Q97" s="99" t="s">
        <v>885</v>
      </c>
      <c r="R97" s="2" t="s">
        <v>5795</v>
      </c>
    </row>
    <row r="98" spans="1:18" ht="15" customHeight="1">
      <c r="A98" s="21">
        <v>1</v>
      </c>
      <c r="B98" s="2" t="s">
        <v>235</v>
      </c>
      <c r="C98" s="21">
        <v>2</v>
      </c>
      <c r="D98" s="2" t="s">
        <v>301</v>
      </c>
      <c r="E98" s="14">
        <v>0</v>
      </c>
      <c r="F98" s="21">
        <v>34</v>
      </c>
      <c r="G98" s="2" t="s">
        <v>5950</v>
      </c>
      <c r="H98" s="23" t="s">
        <v>8929</v>
      </c>
      <c r="I98" s="101" t="s">
        <v>8930</v>
      </c>
      <c r="J98" s="2" t="s">
        <v>24</v>
      </c>
      <c r="K98" s="2" t="s">
        <v>139</v>
      </c>
      <c r="M98" s="2" t="s">
        <v>24</v>
      </c>
      <c r="N98" s="2" t="s">
        <v>139</v>
      </c>
      <c r="P98" s="7">
        <v>1</v>
      </c>
      <c r="Q98" s="99" t="s">
        <v>8927</v>
      </c>
      <c r="R98" s="2" t="s">
        <v>8933</v>
      </c>
    </row>
    <row r="99" spans="1:18" ht="15" customHeight="1">
      <c r="A99" s="21">
        <v>1</v>
      </c>
      <c r="B99" s="2" t="s">
        <v>235</v>
      </c>
      <c r="C99" s="21">
        <v>2</v>
      </c>
      <c r="D99" s="2" t="s">
        <v>301</v>
      </c>
      <c r="E99" s="14">
        <v>0</v>
      </c>
      <c r="F99" s="21">
        <v>35</v>
      </c>
      <c r="G99" s="2" t="s">
        <v>8926</v>
      </c>
      <c r="H99" s="23" t="s">
        <v>8931</v>
      </c>
      <c r="I99" s="101" t="s">
        <v>8932</v>
      </c>
      <c r="J99" s="2" t="s">
        <v>23</v>
      </c>
      <c r="K99" s="2" t="s">
        <v>23</v>
      </c>
      <c r="M99" s="2" t="s">
        <v>24</v>
      </c>
      <c r="N99" s="2" t="s">
        <v>116</v>
      </c>
      <c r="O99" s="16" t="s">
        <v>8932</v>
      </c>
      <c r="P99" s="7">
        <v>1</v>
      </c>
      <c r="Q99" s="99" t="s">
        <v>8928</v>
      </c>
    </row>
    <row r="100" spans="1:18" ht="15" customHeight="1">
      <c r="A100" s="21">
        <v>1</v>
      </c>
      <c r="B100" s="2" t="s">
        <v>235</v>
      </c>
      <c r="C100" s="21">
        <v>2</v>
      </c>
      <c r="D100" s="2" t="s">
        <v>301</v>
      </c>
      <c r="E100" s="14">
        <v>0</v>
      </c>
      <c r="F100" s="21">
        <v>36</v>
      </c>
      <c r="G100" s="2" t="s">
        <v>8966</v>
      </c>
      <c r="H100" s="23" t="s">
        <v>8974</v>
      </c>
      <c r="I100" s="101" t="s">
        <v>8975</v>
      </c>
      <c r="J100" s="2" t="s">
        <v>24</v>
      </c>
      <c r="K100" s="2" t="s">
        <v>25</v>
      </c>
      <c r="L100" s="2" t="s">
        <v>1692</v>
      </c>
      <c r="M100" s="2" t="s">
        <v>24</v>
      </c>
      <c r="N100" s="2" t="s">
        <v>25</v>
      </c>
      <c r="O100" s="2" t="s">
        <v>1692</v>
      </c>
      <c r="P100" s="7">
        <v>1</v>
      </c>
      <c r="Q100" s="106" t="s">
        <v>8973</v>
      </c>
    </row>
    <row r="101" spans="1:18" ht="15" customHeight="1">
      <c r="A101" s="21">
        <v>1</v>
      </c>
      <c r="B101" s="2" t="s">
        <v>235</v>
      </c>
      <c r="C101" s="21">
        <v>2</v>
      </c>
      <c r="D101" s="2" t="s">
        <v>301</v>
      </c>
      <c r="E101" s="14">
        <v>0</v>
      </c>
      <c r="F101" s="21">
        <v>37</v>
      </c>
      <c r="G101" s="2" t="s">
        <v>8978</v>
      </c>
      <c r="H101" s="23" t="s">
        <v>8980</v>
      </c>
      <c r="I101" s="101" t="s">
        <v>8981</v>
      </c>
      <c r="J101" s="2" t="s">
        <v>24</v>
      </c>
      <c r="K101" s="2" t="s">
        <v>116</v>
      </c>
      <c r="L101" s="16" t="s">
        <v>8981</v>
      </c>
      <c r="M101" s="2" t="s">
        <v>24</v>
      </c>
      <c r="N101" s="2" t="s">
        <v>116</v>
      </c>
      <c r="O101" s="16" t="s">
        <v>8981</v>
      </c>
      <c r="P101" s="7">
        <v>1</v>
      </c>
      <c r="Q101" s="106" t="s">
        <v>8979</v>
      </c>
    </row>
    <row r="102" spans="1:18" ht="15" customHeight="1">
      <c r="A102" s="21">
        <v>1</v>
      </c>
      <c r="B102" s="2" t="s">
        <v>235</v>
      </c>
      <c r="C102" s="21">
        <v>2</v>
      </c>
      <c r="D102" s="2" t="s">
        <v>301</v>
      </c>
      <c r="E102" s="14">
        <v>0</v>
      </c>
      <c r="F102" s="21">
        <v>38</v>
      </c>
      <c r="G102" s="2" t="s">
        <v>9186</v>
      </c>
      <c r="H102" s="23" t="s">
        <v>9190</v>
      </c>
      <c r="I102" s="101" t="s">
        <v>9191</v>
      </c>
      <c r="J102" s="2" t="s">
        <v>24</v>
      </c>
      <c r="K102" s="2" t="s">
        <v>139</v>
      </c>
      <c r="L102" s="16"/>
      <c r="M102" s="2" t="s">
        <v>24</v>
      </c>
      <c r="N102" s="2" t="s">
        <v>139</v>
      </c>
      <c r="O102" s="16"/>
      <c r="P102" s="7">
        <v>1</v>
      </c>
      <c r="Q102" s="106" t="s">
        <v>9187</v>
      </c>
      <c r="R102" s="2" t="s">
        <v>9291</v>
      </c>
    </row>
    <row r="103" spans="1:18" ht="15" customHeight="1">
      <c r="A103" s="21">
        <v>1</v>
      </c>
      <c r="B103" s="2" t="s">
        <v>235</v>
      </c>
      <c r="C103" s="21">
        <v>2</v>
      </c>
      <c r="D103" s="2" t="s">
        <v>301</v>
      </c>
      <c r="E103" s="14">
        <v>0</v>
      </c>
      <c r="F103" s="21">
        <v>39</v>
      </c>
      <c r="G103" s="2" t="s">
        <v>9110</v>
      </c>
      <c r="H103" s="23" t="s">
        <v>9192</v>
      </c>
      <c r="I103" s="101" t="s">
        <v>9193</v>
      </c>
      <c r="J103" s="2" t="s">
        <v>23</v>
      </c>
      <c r="K103" s="2" t="s">
        <v>23</v>
      </c>
      <c r="L103" s="16"/>
      <c r="M103" s="2" t="s">
        <v>24</v>
      </c>
      <c r="N103" s="2" t="s">
        <v>139</v>
      </c>
      <c r="O103" s="16"/>
      <c r="P103" s="7">
        <v>1</v>
      </c>
      <c r="Q103" s="106" t="s">
        <v>9155</v>
      </c>
    </row>
    <row r="104" spans="1:18" ht="15" customHeight="1">
      <c r="A104" s="21">
        <v>1</v>
      </c>
      <c r="B104" s="2" t="s">
        <v>235</v>
      </c>
      <c r="C104" s="21">
        <v>2</v>
      </c>
      <c r="D104" s="2" t="s">
        <v>301</v>
      </c>
      <c r="E104" s="14">
        <v>0</v>
      </c>
      <c r="F104" s="21">
        <v>40</v>
      </c>
      <c r="G104" s="2" t="s">
        <v>9188</v>
      </c>
      <c r="H104" s="23" t="s">
        <v>9194</v>
      </c>
      <c r="I104" s="101" t="s">
        <v>9195</v>
      </c>
      <c r="J104" s="2" t="s">
        <v>24</v>
      </c>
      <c r="K104" s="2" t="s">
        <v>116</v>
      </c>
      <c r="L104" s="16" t="s">
        <v>9195</v>
      </c>
      <c r="M104" s="2" t="s">
        <v>24</v>
      </c>
      <c r="N104" s="2" t="s">
        <v>116</v>
      </c>
      <c r="O104" s="16" t="s">
        <v>9195</v>
      </c>
      <c r="P104" s="7">
        <v>1</v>
      </c>
      <c r="Q104" s="106" t="s">
        <v>9189</v>
      </c>
      <c r="R104" s="2" t="s">
        <v>9206</v>
      </c>
    </row>
    <row r="105" spans="1:18" ht="15" customHeight="1">
      <c r="A105" s="21">
        <v>1</v>
      </c>
      <c r="B105" s="2" t="s">
        <v>235</v>
      </c>
      <c r="C105" s="21">
        <v>2</v>
      </c>
      <c r="D105" s="2" t="s">
        <v>301</v>
      </c>
      <c r="E105" s="14">
        <v>0</v>
      </c>
      <c r="F105" s="21">
        <v>41</v>
      </c>
      <c r="G105" s="2" t="s">
        <v>1731</v>
      </c>
      <c r="H105" s="23" t="s">
        <v>9198</v>
      </c>
      <c r="I105" s="101" t="s">
        <v>9199</v>
      </c>
      <c r="J105" s="2" t="s">
        <v>24</v>
      </c>
      <c r="K105" s="2" t="s">
        <v>139</v>
      </c>
      <c r="L105" s="16"/>
      <c r="M105" s="2" t="s">
        <v>24</v>
      </c>
      <c r="N105" s="2" t="s">
        <v>139</v>
      </c>
      <c r="O105" s="16"/>
      <c r="P105" s="7">
        <v>1</v>
      </c>
      <c r="Q105" s="106" t="s">
        <v>9197</v>
      </c>
    </row>
    <row r="106" spans="1:18" ht="15" customHeight="1">
      <c r="A106" s="21">
        <v>1</v>
      </c>
      <c r="B106" s="2" t="s">
        <v>235</v>
      </c>
      <c r="C106" s="21">
        <v>2</v>
      </c>
      <c r="D106" s="2" t="s">
        <v>301</v>
      </c>
      <c r="E106" s="14">
        <v>0</v>
      </c>
      <c r="F106" s="21">
        <v>42</v>
      </c>
      <c r="G106" s="2" t="s">
        <v>9200</v>
      </c>
      <c r="H106" s="23" t="s">
        <v>9201</v>
      </c>
      <c r="I106" s="101" t="s">
        <v>9202</v>
      </c>
      <c r="J106" s="2" t="s">
        <v>8100</v>
      </c>
      <c r="K106" s="2" t="s">
        <v>9287</v>
      </c>
      <c r="L106" s="16" t="s">
        <v>9202</v>
      </c>
      <c r="M106" s="2" t="s">
        <v>8100</v>
      </c>
      <c r="N106" s="2" t="s">
        <v>9287</v>
      </c>
      <c r="O106" s="16" t="s">
        <v>9202</v>
      </c>
      <c r="P106" s="7">
        <v>1</v>
      </c>
      <c r="Q106" s="106" t="s">
        <v>9204</v>
      </c>
      <c r="R106" s="2" t="s">
        <v>9203</v>
      </c>
    </row>
    <row r="107" spans="1:18" ht="15" customHeight="1">
      <c r="A107" s="21">
        <v>1</v>
      </c>
      <c r="B107" s="2" t="s">
        <v>235</v>
      </c>
      <c r="C107" s="21">
        <v>2</v>
      </c>
      <c r="D107" s="2" t="s">
        <v>301</v>
      </c>
      <c r="E107" s="14">
        <v>0</v>
      </c>
      <c r="F107" s="21">
        <v>43</v>
      </c>
      <c r="G107" s="2" t="s">
        <v>9211</v>
      </c>
      <c r="H107" s="23" t="s">
        <v>9212</v>
      </c>
      <c r="I107" s="101" t="s">
        <v>9213</v>
      </c>
      <c r="J107" s="2" t="s">
        <v>24</v>
      </c>
      <c r="K107" s="2" t="s">
        <v>116</v>
      </c>
      <c r="L107" s="16" t="s">
        <v>9214</v>
      </c>
      <c r="M107" s="2" t="s">
        <v>24</v>
      </c>
      <c r="N107" s="2" t="s">
        <v>116</v>
      </c>
      <c r="O107" s="16" t="s">
        <v>9216</v>
      </c>
      <c r="P107" s="7">
        <v>1</v>
      </c>
      <c r="Q107" s="106" t="s">
        <v>1742</v>
      </c>
    </row>
    <row r="108" spans="1:18" ht="15" customHeight="1">
      <c r="A108" s="21">
        <v>1</v>
      </c>
      <c r="B108" s="2" t="s">
        <v>235</v>
      </c>
      <c r="C108" s="21">
        <v>2</v>
      </c>
      <c r="D108" s="2" t="s">
        <v>301</v>
      </c>
      <c r="E108" s="14">
        <v>0</v>
      </c>
      <c r="F108" s="21">
        <v>44</v>
      </c>
      <c r="G108" s="2" t="s">
        <v>6860</v>
      </c>
      <c r="H108" s="23" t="s">
        <v>9441</v>
      </c>
      <c r="I108" s="101" t="s">
        <v>9442</v>
      </c>
      <c r="J108" s="2" t="s">
        <v>24</v>
      </c>
      <c r="K108" s="2" t="s">
        <v>263</v>
      </c>
      <c r="L108" s="16"/>
      <c r="M108" s="2" t="s">
        <v>24</v>
      </c>
      <c r="N108" s="2" t="s">
        <v>263</v>
      </c>
      <c r="O108" s="16"/>
      <c r="P108" s="7">
        <v>1</v>
      </c>
      <c r="Q108" s="106" t="s">
        <v>9438</v>
      </c>
    </row>
    <row r="109" spans="1:18" ht="15" customHeight="1">
      <c r="A109" s="21">
        <v>1</v>
      </c>
      <c r="B109" s="2" t="s">
        <v>235</v>
      </c>
      <c r="C109" s="21">
        <v>2</v>
      </c>
      <c r="D109" s="2" t="s">
        <v>301</v>
      </c>
      <c r="E109" s="14">
        <v>0</v>
      </c>
      <c r="F109" s="21">
        <v>45</v>
      </c>
      <c r="G109" s="2" t="s">
        <v>9439</v>
      </c>
      <c r="H109" s="23" t="s">
        <v>9443</v>
      </c>
      <c r="I109" s="101" t="s">
        <v>9444</v>
      </c>
      <c r="J109" s="2" t="s">
        <v>24</v>
      </c>
      <c r="K109" s="2" t="s">
        <v>116</v>
      </c>
      <c r="L109" s="16" t="s">
        <v>9444</v>
      </c>
      <c r="M109" s="2" t="s">
        <v>24</v>
      </c>
      <c r="N109" s="2" t="s">
        <v>116</v>
      </c>
      <c r="O109" s="16" t="s">
        <v>9444</v>
      </c>
      <c r="P109" s="7">
        <v>1</v>
      </c>
      <c r="Q109" s="106" t="s">
        <v>9440</v>
      </c>
    </row>
    <row r="110" spans="1:18" ht="15" customHeight="1">
      <c r="A110" s="21">
        <v>1</v>
      </c>
      <c r="B110" s="2" t="s">
        <v>235</v>
      </c>
      <c r="C110" s="21">
        <v>3</v>
      </c>
      <c r="D110" s="2" t="s">
        <v>447</v>
      </c>
      <c r="E110" s="14">
        <v>0</v>
      </c>
      <c r="F110" s="21">
        <v>0</v>
      </c>
      <c r="G110" s="2" t="s">
        <v>20</v>
      </c>
      <c r="H110" s="23" t="s">
        <v>448</v>
      </c>
      <c r="I110" s="34" t="s">
        <v>449</v>
      </c>
      <c r="J110" s="2" t="s">
        <v>23</v>
      </c>
      <c r="K110" s="2" t="s">
        <v>23</v>
      </c>
      <c r="M110" s="2" t="s">
        <v>24</v>
      </c>
      <c r="N110" s="2" t="s">
        <v>25</v>
      </c>
      <c r="O110" s="5" t="s">
        <v>26</v>
      </c>
      <c r="P110" s="7">
        <v>1</v>
      </c>
      <c r="Q110" s="1" t="s">
        <v>450</v>
      </c>
    </row>
    <row r="111" spans="1:18" ht="15" customHeight="1">
      <c r="A111" s="21">
        <v>1</v>
      </c>
      <c r="B111" s="2" t="s">
        <v>235</v>
      </c>
      <c r="C111" s="21">
        <v>3</v>
      </c>
      <c r="D111" s="2" t="s">
        <v>447</v>
      </c>
      <c r="E111" s="14">
        <v>0</v>
      </c>
      <c r="F111" s="21">
        <v>1</v>
      </c>
      <c r="G111" s="2" t="s">
        <v>451</v>
      </c>
      <c r="H111" s="23" t="s">
        <v>452</v>
      </c>
      <c r="I111" s="101" t="s">
        <v>453</v>
      </c>
      <c r="J111" s="2" t="s">
        <v>23</v>
      </c>
      <c r="K111" s="2" t="s">
        <v>23</v>
      </c>
      <c r="M111" s="2" t="s">
        <v>24</v>
      </c>
      <c r="N111" s="2" t="s">
        <v>25</v>
      </c>
      <c r="O111" s="5" t="s">
        <v>308</v>
      </c>
      <c r="P111" s="7">
        <v>1</v>
      </c>
      <c r="Q111" s="99" t="s">
        <v>454</v>
      </c>
    </row>
    <row r="112" spans="1:18" ht="15" customHeight="1">
      <c r="A112" s="21">
        <v>1</v>
      </c>
      <c r="B112" s="2" t="s">
        <v>235</v>
      </c>
      <c r="C112" s="21">
        <v>3</v>
      </c>
      <c r="D112" s="2" t="s">
        <v>447</v>
      </c>
      <c r="E112" s="14">
        <v>0</v>
      </c>
      <c r="F112" s="21">
        <v>2</v>
      </c>
      <c r="G112" s="2" t="s">
        <v>455</v>
      </c>
      <c r="H112" s="23" t="s">
        <v>456</v>
      </c>
      <c r="I112" s="101" t="s">
        <v>457</v>
      </c>
      <c r="J112" s="2" t="s">
        <v>23</v>
      </c>
      <c r="K112" s="2" t="s">
        <v>23</v>
      </c>
      <c r="M112" s="2" t="s">
        <v>24</v>
      </c>
      <c r="N112" s="2" t="s">
        <v>25</v>
      </c>
      <c r="O112" s="5" t="s">
        <v>308</v>
      </c>
      <c r="P112" s="7">
        <v>1</v>
      </c>
      <c r="Q112" s="99" t="s">
        <v>458</v>
      </c>
    </row>
    <row r="113" spans="1:18" ht="15" customHeight="1">
      <c r="A113" s="21">
        <v>1</v>
      </c>
      <c r="B113" s="2" t="s">
        <v>235</v>
      </c>
      <c r="C113" s="21">
        <v>3</v>
      </c>
      <c r="D113" s="2" t="s">
        <v>447</v>
      </c>
      <c r="E113" s="14">
        <v>0</v>
      </c>
      <c r="F113" s="21">
        <v>3</v>
      </c>
      <c r="G113" s="2" t="s">
        <v>459</v>
      </c>
      <c r="H113" s="23" t="s">
        <v>460</v>
      </c>
      <c r="I113" s="101" t="s">
        <v>461</v>
      </c>
      <c r="J113" s="2" t="s">
        <v>23</v>
      </c>
      <c r="K113" s="2" t="s">
        <v>23</v>
      </c>
      <c r="M113" s="2" t="s">
        <v>24</v>
      </c>
      <c r="N113" s="2" t="s">
        <v>25</v>
      </c>
      <c r="O113" s="5" t="s">
        <v>308</v>
      </c>
      <c r="P113" s="7">
        <v>1</v>
      </c>
      <c r="Q113" s="99" t="s">
        <v>462</v>
      </c>
    </row>
    <row r="114" spans="1:18" ht="15" customHeight="1">
      <c r="A114" s="21">
        <v>1</v>
      </c>
      <c r="B114" s="2" t="s">
        <v>235</v>
      </c>
      <c r="C114" s="21">
        <v>3</v>
      </c>
      <c r="D114" s="2" t="s">
        <v>447</v>
      </c>
      <c r="E114" s="14">
        <v>0</v>
      </c>
      <c r="F114" s="21">
        <v>4</v>
      </c>
      <c r="G114" s="2" t="s">
        <v>346</v>
      </c>
      <c r="H114" s="23" t="s">
        <v>463</v>
      </c>
      <c r="I114" s="101" t="s">
        <v>464</v>
      </c>
      <c r="J114" s="2" t="s">
        <v>23</v>
      </c>
      <c r="K114" s="2" t="s">
        <v>23</v>
      </c>
      <c r="M114" s="2" t="s">
        <v>24</v>
      </c>
      <c r="N114" s="2" t="s">
        <v>139</v>
      </c>
      <c r="O114" s="2" t="s">
        <v>465</v>
      </c>
      <c r="P114" s="7">
        <v>1</v>
      </c>
      <c r="Q114" s="99" t="s">
        <v>466</v>
      </c>
    </row>
    <row r="115" spans="1:18" ht="15" customHeight="1">
      <c r="A115" s="21">
        <v>1</v>
      </c>
      <c r="B115" s="2" t="s">
        <v>235</v>
      </c>
      <c r="C115" s="21">
        <v>3</v>
      </c>
      <c r="D115" s="2" t="s">
        <v>447</v>
      </c>
      <c r="E115" s="14">
        <v>0</v>
      </c>
      <c r="F115" s="21">
        <v>5</v>
      </c>
      <c r="G115" s="2" t="s">
        <v>467</v>
      </c>
      <c r="H115" s="23" t="s">
        <v>468</v>
      </c>
      <c r="I115" s="101" t="s">
        <v>469</v>
      </c>
      <c r="J115" s="2" t="s">
        <v>23</v>
      </c>
      <c r="K115" s="2" t="s">
        <v>23</v>
      </c>
      <c r="M115" s="2" t="s">
        <v>24</v>
      </c>
      <c r="N115" s="2" t="s">
        <v>139</v>
      </c>
      <c r="O115" s="2" t="s">
        <v>470</v>
      </c>
      <c r="P115" s="7">
        <v>1</v>
      </c>
      <c r="Q115" s="99" t="s">
        <v>471</v>
      </c>
    </row>
    <row r="116" spans="1:18" ht="15" customHeight="1">
      <c r="A116" s="21">
        <v>1</v>
      </c>
      <c r="B116" s="2" t="s">
        <v>235</v>
      </c>
      <c r="C116" s="21">
        <v>3</v>
      </c>
      <c r="D116" s="2" t="s">
        <v>447</v>
      </c>
      <c r="E116" s="14">
        <v>0</v>
      </c>
      <c r="F116" s="21">
        <v>6</v>
      </c>
      <c r="G116" s="2" t="s">
        <v>472</v>
      </c>
      <c r="H116" s="23" t="s">
        <v>473</v>
      </c>
      <c r="I116" s="101" t="s">
        <v>474</v>
      </c>
      <c r="J116" s="2" t="s">
        <v>23</v>
      </c>
      <c r="K116" s="2" t="s">
        <v>23</v>
      </c>
      <c r="M116" s="2" t="s">
        <v>24</v>
      </c>
      <c r="N116" s="2" t="s">
        <v>133</v>
      </c>
      <c r="O116" s="2" t="s">
        <v>475</v>
      </c>
      <c r="P116" s="7">
        <v>1</v>
      </c>
      <c r="Q116" s="99" t="s">
        <v>476</v>
      </c>
    </row>
    <row r="117" spans="1:18" ht="15" customHeight="1">
      <c r="A117" s="21">
        <v>1</v>
      </c>
      <c r="B117" s="2" t="s">
        <v>235</v>
      </c>
      <c r="C117" s="21">
        <v>3</v>
      </c>
      <c r="D117" s="2" t="s">
        <v>447</v>
      </c>
      <c r="E117" s="14">
        <v>0</v>
      </c>
      <c r="F117" s="21">
        <v>7</v>
      </c>
      <c r="G117" s="2" t="s">
        <v>477</v>
      </c>
      <c r="H117" s="23" t="s">
        <v>478</v>
      </c>
      <c r="I117" s="101" t="s">
        <v>479</v>
      </c>
      <c r="J117" s="2" t="s">
        <v>23</v>
      </c>
      <c r="K117" s="2" t="s">
        <v>23</v>
      </c>
      <c r="M117" s="2" t="s">
        <v>24</v>
      </c>
      <c r="N117" s="2" t="s">
        <v>133</v>
      </c>
      <c r="O117" s="2" t="s">
        <v>475</v>
      </c>
      <c r="P117" s="7">
        <v>1</v>
      </c>
      <c r="Q117" s="99" t="s">
        <v>480</v>
      </c>
    </row>
    <row r="118" spans="1:18" ht="15" customHeight="1">
      <c r="A118" s="21">
        <v>1</v>
      </c>
      <c r="B118" s="2" t="s">
        <v>235</v>
      </c>
      <c r="C118" s="21">
        <v>3</v>
      </c>
      <c r="D118" s="2" t="s">
        <v>447</v>
      </c>
      <c r="E118" s="14">
        <v>0</v>
      </c>
      <c r="F118" s="21">
        <v>8</v>
      </c>
      <c r="G118" s="13" t="s">
        <v>481</v>
      </c>
      <c r="H118" s="23" t="s">
        <v>482</v>
      </c>
      <c r="I118" s="101" t="s">
        <v>483</v>
      </c>
      <c r="J118" s="2" t="s">
        <v>23</v>
      </c>
      <c r="K118" s="2" t="s">
        <v>23</v>
      </c>
      <c r="M118" s="2" t="s">
        <v>38</v>
      </c>
      <c r="N118" s="2" t="s">
        <v>23</v>
      </c>
      <c r="O118" s="2" t="str">
        <f>"02.12.19"</f>
        <v>02.12.19</v>
      </c>
      <c r="P118" s="7">
        <v>1</v>
      </c>
      <c r="Q118" s="99" t="s">
        <v>484</v>
      </c>
    </row>
    <row r="119" spans="1:18" ht="15" customHeight="1">
      <c r="A119" s="21">
        <v>1</v>
      </c>
      <c r="B119" s="2" t="s">
        <v>235</v>
      </c>
      <c r="C119" s="21">
        <v>3</v>
      </c>
      <c r="D119" s="2" t="s">
        <v>447</v>
      </c>
      <c r="E119" s="14">
        <v>0</v>
      </c>
      <c r="F119" s="21">
        <v>9</v>
      </c>
      <c r="G119" s="13" t="s">
        <v>485</v>
      </c>
      <c r="H119" s="23" t="s">
        <v>486</v>
      </c>
      <c r="I119" s="101" t="s">
        <v>487</v>
      </c>
      <c r="J119" s="2" t="s">
        <v>23</v>
      </c>
      <c r="K119" s="2" t="s">
        <v>23</v>
      </c>
      <c r="M119" s="2" t="s">
        <v>38</v>
      </c>
      <c r="N119" s="2" t="s">
        <v>23</v>
      </c>
      <c r="O119" s="69" t="str">
        <f>"13:13:13"</f>
        <v>13:13:13</v>
      </c>
      <c r="P119" s="7">
        <v>1</v>
      </c>
      <c r="Q119" s="99" t="s">
        <v>488</v>
      </c>
    </row>
    <row r="120" spans="1:18" ht="15" customHeight="1">
      <c r="A120" s="21">
        <v>1</v>
      </c>
      <c r="B120" s="2" t="s">
        <v>235</v>
      </c>
      <c r="C120" s="21">
        <v>3</v>
      </c>
      <c r="D120" s="2" t="s">
        <v>447</v>
      </c>
      <c r="E120" s="14">
        <v>0</v>
      </c>
      <c r="F120" s="21">
        <v>10</v>
      </c>
      <c r="G120" s="2" t="s">
        <v>489</v>
      </c>
      <c r="H120" s="23" t="s">
        <v>490</v>
      </c>
      <c r="I120" s="101" t="s">
        <v>491</v>
      </c>
      <c r="J120" s="2" t="s">
        <v>23</v>
      </c>
      <c r="K120" s="2" t="s">
        <v>23</v>
      </c>
      <c r="M120" s="2" t="s">
        <v>24</v>
      </c>
      <c r="N120" s="2" t="s">
        <v>116</v>
      </c>
      <c r="O120" s="10" t="s">
        <v>491</v>
      </c>
      <c r="P120" s="7">
        <v>1</v>
      </c>
      <c r="Q120" s="99" t="s">
        <v>492</v>
      </c>
    </row>
    <row r="121" spans="1:18" ht="15" customHeight="1">
      <c r="A121" s="21">
        <v>1</v>
      </c>
      <c r="B121" s="2" t="s">
        <v>235</v>
      </c>
      <c r="C121" s="21">
        <v>3</v>
      </c>
      <c r="D121" s="2" t="s">
        <v>447</v>
      </c>
      <c r="E121" s="14">
        <v>0</v>
      </c>
      <c r="F121" s="21">
        <v>11</v>
      </c>
      <c r="G121" s="2" t="s">
        <v>493</v>
      </c>
      <c r="H121" s="23" t="s">
        <v>494</v>
      </c>
      <c r="I121" s="101" t="s">
        <v>495</v>
      </c>
      <c r="J121" s="2" t="s">
        <v>24</v>
      </c>
      <c r="K121" s="2" t="s">
        <v>25</v>
      </c>
      <c r="M121" s="2" t="s">
        <v>24</v>
      </c>
      <c r="N121" s="2" t="s">
        <v>25</v>
      </c>
      <c r="O121" s="5"/>
      <c r="P121" s="7">
        <v>1</v>
      </c>
      <c r="Q121" s="99" t="s">
        <v>496</v>
      </c>
    </row>
    <row r="122" spans="1:18" ht="15" customHeight="1">
      <c r="A122" s="21">
        <v>1</v>
      </c>
      <c r="B122" s="2" t="s">
        <v>235</v>
      </c>
      <c r="C122" s="21">
        <v>3</v>
      </c>
      <c r="D122" s="2" t="s">
        <v>447</v>
      </c>
      <c r="E122" s="14">
        <v>0</v>
      </c>
      <c r="F122" s="21">
        <v>12</v>
      </c>
      <c r="G122" s="2" t="s">
        <v>497</v>
      </c>
      <c r="H122" s="23" t="s">
        <v>498</v>
      </c>
      <c r="I122" s="101" t="s">
        <v>499</v>
      </c>
      <c r="J122" s="2" t="s">
        <v>24</v>
      </c>
      <c r="K122" s="2" t="s">
        <v>25</v>
      </c>
      <c r="M122" s="2" t="s">
        <v>24</v>
      </c>
      <c r="N122" s="2" t="s">
        <v>25</v>
      </c>
      <c r="O122" s="5"/>
      <c r="P122" s="7">
        <v>1</v>
      </c>
      <c r="Q122" s="99" t="s">
        <v>500</v>
      </c>
    </row>
    <row r="123" spans="1:18" ht="15" customHeight="1">
      <c r="A123" s="21">
        <v>1</v>
      </c>
      <c r="B123" s="2" t="s">
        <v>235</v>
      </c>
      <c r="C123" s="21">
        <v>3</v>
      </c>
      <c r="D123" s="2" t="s">
        <v>447</v>
      </c>
      <c r="E123" s="14">
        <v>0</v>
      </c>
      <c r="F123" s="21">
        <v>13</v>
      </c>
      <c r="G123" s="2" t="s">
        <v>35</v>
      </c>
      <c r="H123" s="23" t="s">
        <v>501</v>
      </c>
      <c r="I123" s="101" t="s">
        <v>502</v>
      </c>
      <c r="J123" s="2" t="s">
        <v>23</v>
      </c>
      <c r="K123" s="2" t="s">
        <v>23</v>
      </c>
      <c r="M123" s="2" t="s">
        <v>38</v>
      </c>
      <c r="N123" s="2" t="s">
        <v>23</v>
      </c>
      <c r="O123" s="5"/>
      <c r="P123" s="7">
        <v>1</v>
      </c>
      <c r="Q123" s="106" t="s">
        <v>503</v>
      </c>
    </row>
    <row r="124" spans="1:18" ht="15" customHeight="1">
      <c r="A124" s="21">
        <v>1</v>
      </c>
      <c r="B124" s="2" t="s">
        <v>235</v>
      </c>
      <c r="C124" s="21">
        <v>4</v>
      </c>
      <c r="D124" s="2" t="s">
        <v>323</v>
      </c>
      <c r="E124" s="14">
        <v>0</v>
      </c>
      <c r="F124" s="21">
        <v>0</v>
      </c>
      <c r="G124" s="2" t="s">
        <v>20</v>
      </c>
      <c r="H124" s="23" t="s">
        <v>504</v>
      </c>
      <c r="I124" s="34" t="s">
        <v>505</v>
      </c>
      <c r="J124" s="2" t="s">
        <v>23</v>
      </c>
      <c r="K124" s="2" t="s">
        <v>23</v>
      </c>
      <c r="M124" s="2" t="s">
        <v>24</v>
      </c>
      <c r="N124" s="2" t="s">
        <v>25</v>
      </c>
      <c r="O124" s="5"/>
      <c r="P124" s="7">
        <v>1</v>
      </c>
      <c r="Q124" s="1" t="s">
        <v>326</v>
      </c>
    </row>
    <row r="125" spans="1:18" ht="15" customHeight="1">
      <c r="A125" s="21">
        <v>1</v>
      </c>
      <c r="B125" s="2" t="s">
        <v>235</v>
      </c>
      <c r="C125" s="21">
        <v>4</v>
      </c>
      <c r="D125" s="2" t="s">
        <v>323</v>
      </c>
      <c r="E125" s="14">
        <v>0</v>
      </c>
      <c r="F125" s="21">
        <v>1</v>
      </c>
      <c r="G125" s="2" t="s">
        <v>506</v>
      </c>
      <c r="H125" s="23" t="s">
        <v>507</v>
      </c>
      <c r="I125" s="101" t="s">
        <v>508</v>
      </c>
      <c r="J125" s="2" t="s">
        <v>24</v>
      </c>
      <c r="K125" s="2" t="s">
        <v>206</v>
      </c>
      <c r="M125" s="2" t="s">
        <v>24</v>
      </c>
      <c r="N125" s="2" t="s">
        <v>206</v>
      </c>
      <c r="P125" s="7">
        <v>1</v>
      </c>
      <c r="Q125" s="99" t="s">
        <v>509</v>
      </c>
      <c r="R125" s="5" t="s">
        <v>510</v>
      </c>
    </row>
    <row r="126" spans="1:18" ht="15" customHeight="1">
      <c r="A126" s="21">
        <v>1</v>
      </c>
      <c r="B126" s="2" t="s">
        <v>235</v>
      </c>
      <c r="C126" s="21">
        <v>4</v>
      </c>
      <c r="D126" s="2" t="s">
        <v>323</v>
      </c>
      <c r="E126" s="14">
        <v>0</v>
      </c>
      <c r="F126" s="21">
        <v>2</v>
      </c>
      <c r="G126" s="2" t="s">
        <v>511</v>
      </c>
      <c r="H126" s="23" t="s">
        <v>512</v>
      </c>
      <c r="I126" s="101" t="s">
        <v>513</v>
      </c>
      <c r="J126" s="2" t="s">
        <v>24</v>
      </c>
      <c r="K126" s="2" t="s">
        <v>206</v>
      </c>
      <c r="M126" s="2" t="s">
        <v>24</v>
      </c>
      <c r="N126" s="2" t="s">
        <v>206</v>
      </c>
      <c r="P126" s="7">
        <v>1</v>
      </c>
      <c r="Q126" s="99" t="s">
        <v>514</v>
      </c>
      <c r="R126" s="5" t="s">
        <v>510</v>
      </c>
    </row>
    <row r="127" spans="1:18" ht="15" customHeight="1">
      <c r="A127" s="21">
        <v>1</v>
      </c>
      <c r="B127" s="2" t="s">
        <v>235</v>
      </c>
      <c r="C127" s="21">
        <v>4</v>
      </c>
      <c r="D127" s="2" t="s">
        <v>323</v>
      </c>
      <c r="E127" s="14">
        <v>0</v>
      </c>
      <c r="F127" s="21">
        <v>3</v>
      </c>
      <c r="G127" s="2" t="s">
        <v>515</v>
      </c>
      <c r="H127" s="23" t="s">
        <v>516</v>
      </c>
      <c r="I127" s="101" t="s">
        <v>517</v>
      </c>
      <c r="J127" s="2" t="s">
        <v>24</v>
      </c>
      <c r="K127" s="2" t="s">
        <v>206</v>
      </c>
      <c r="M127" s="2" t="s">
        <v>24</v>
      </c>
      <c r="N127" s="2" t="s">
        <v>206</v>
      </c>
      <c r="P127" s="7">
        <v>1</v>
      </c>
      <c r="Q127" s="99" t="s">
        <v>518</v>
      </c>
      <c r="R127" s="5" t="s">
        <v>510</v>
      </c>
    </row>
    <row r="128" spans="1:18" ht="15" customHeight="1">
      <c r="A128" s="21">
        <v>1</v>
      </c>
      <c r="B128" s="2" t="s">
        <v>235</v>
      </c>
      <c r="C128" s="21">
        <v>4</v>
      </c>
      <c r="D128" s="2" t="s">
        <v>323</v>
      </c>
      <c r="E128" s="14">
        <v>0</v>
      </c>
      <c r="F128" s="21">
        <v>4</v>
      </c>
      <c r="G128" s="2" t="s">
        <v>519</v>
      </c>
      <c r="H128" s="23" t="s">
        <v>520</v>
      </c>
      <c r="I128" s="101" t="s">
        <v>521</v>
      </c>
      <c r="J128" s="2" t="s">
        <v>24</v>
      </c>
      <c r="K128" s="2" t="s">
        <v>206</v>
      </c>
      <c r="M128" s="2" t="s">
        <v>24</v>
      </c>
      <c r="N128" s="2" t="s">
        <v>206</v>
      </c>
      <c r="P128" s="7">
        <v>1</v>
      </c>
      <c r="Q128" s="99" t="s">
        <v>522</v>
      </c>
      <c r="R128" s="5" t="s">
        <v>510</v>
      </c>
    </row>
    <row r="129" spans="1:18" ht="15" customHeight="1">
      <c r="A129" s="21">
        <v>1</v>
      </c>
      <c r="B129" s="2" t="s">
        <v>235</v>
      </c>
      <c r="C129" s="21">
        <v>4</v>
      </c>
      <c r="D129" s="2" t="s">
        <v>323</v>
      </c>
      <c r="E129" s="14">
        <v>0</v>
      </c>
      <c r="F129" s="21">
        <v>5</v>
      </c>
      <c r="G129" s="2" t="s">
        <v>523</v>
      </c>
      <c r="H129" s="23" t="s">
        <v>524</v>
      </c>
      <c r="I129" s="101" t="s">
        <v>525</v>
      </c>
      <c r="J129" s="2" t="s">
        <v>24</v>
      </c>
      <c r="K129" s="2" t="s">
        <v>206</v>
      </c>
      <c r="M129" s="2" t="s">
        <v>24</v>
      </c>
      <c r="N129" s="2" t="s">
        <v>206</v>
      </c>
      <c r="P129" s="7">
        <v>1</v>
      </c>
      <c r="Q129" s="99" t="s">
        <v>526</v>
      </c>
      <c r="R129" s="5" t="s">
        <v>510</v>
      </c>
    </row>
    <row r="130" spans="1:18" ht="15" customHeight="1">
      <c r="A130" s="21">
        <v>1</v>
      </c>
      <c r="B130" s="2" t="s">
        <v>235</v>
      </c>
      <c r="C130" s="21">
        <v>4</v>
      </c>
      <c r="D130" s="2" t="s">
        <v>323</v>
      </c>
      <c r="E130" s="14">
        <v>0</v>
      </c>
      <c r="F130" s="21">
        <v>6</v>
      </c>
      <c r="G130" s="2" t="s">
        <v>527</v>
      </c>
      <c r="H130" s="23" t="s">
        <v>528</v>
      </c>
      <c r="I130" s="101" t="s">
        <v>529</v>
      </c>
      <c r="J130" s="2" t="s">
        <v>24</v>
      </c>
      <c r="K130" s="2" t="s">
        <v>206</v>
      </c>
      <c r="M130" s="2" t="s">
        <v>24</v>
      </c>
      <c r="N130" s="2" t="s">
        <v>206</v>
      </c>
      <c r="P130" s="7">
        <v>1</v>
      </c>
      <c r="Q130" s="99" t="s">
        <v>530</v>
      </c>
      <c r="R130" s="5" t="s">
        <v>510</v>
      </c>
    </row>
    <row r="131" spans="1:18" ht="15" customHeight="1">
      <c r="A131" s="21">
        <v>1</v>
      </c>
      <c r="B131" s="2" t="s">
        <v>235</v>
      </c>
      <c r="C131" s="21">
        <v>4</v>
      </c>
      <c r="D131" s="2" t="s">
        <v>323</v>
      </c>
      <c r="E131" s="14">
        <v>0</v>
      </c>
      <c r="F131" s="21">
        <v>7</v>
      </c>
      <c r="G131" s="2" t="s">
        <v>531</v>
      </c>
      <c r="H131" s="23" t="s">
        <v>532</v>
      </c>
      <c r="I131" s="101" t="s">
        <v>533</v>
      </c>
      <c r="J131" s="2" t="s">
        <v>24</v>
      </c>
      <c r="K131" s="2" t="s">
        <v>25</v>
      </c>
      <c r="M131" s="2" t="s">
        <v>24</v>
      </c>
      <c r="N131" s="2" t="s">
        <v>25</v>
      </c>
      <c r="O131" s="5"/>
      <c r="P131" s="7">
        <v>1</v>
      </c>
      <c r="Q131" s="99" t="s">
        <v>534</v>
      </c>
    </row>
    <row r="132" spans="1:18" ht="15" customHeight="1">
      <c r="A132" s="21">
        <v>1</v>
      </c>
      <c r="B132" s="2" t="s">
        <v>235</v>
      </c>
      <c r="C132" s="21">
        <v>4</v>
      </c>
      <c r="D132" s="2" t="s">
        <v>323</v>
      </c>
      <c r="E132" s="14">
        <v>0</v>
      </c>
      <c r="F132" s="21">
        <v>8</v>
      </c>
      <c r="G132" s="2" t="s">
        <v>535</v>
      </c>
      <c r="H132" s="23" t="s">
        <v>536</v>
      </c>
      <c r="I132" s="101" t="s">
        <v>537</v>
      </c>
      <c r="J132" s="2" t="s">
        <v>24</v>
      </c>
      <c r="K132" s="2" t="s">
        <v>25</v>
      </c>
      <c r="M132" s="2" t="s">
        <v>24</v>
      </c>
      <c r="N132" s="2" t="s">
        <v>25</v>
      </c>
      <c r="O132" s="5"/>
      <c r="P132" s="7">
        <v>1</v>
      </c>
      <c r="Q132" s="99" t="s">
        <v>538</v>
      </c>
    </row>
    <row r="133" spans="1:18" ht="15" customHeight="1">
      <c r="A133" s="21">
        <v>1</v>
      </c>
      <c r="B133" s="2" t="s">
        <v>235</v>
      </c>
      <c r="C133" s="21">
        <v>4</v>
      </c>
      <c r="D133" s="2" t="s">
        <v>323</v>
      </c>
      <c r="E133" s="14">
        <v>0</v>
      </c>
      <c r="F133" s="21">
        <v>9</v>
      </c>
      <c r="G133" s="2" t="s">
        <v>539</v>
      </c>
      <c r="H133" s="23" t="s">
        <v>540</v>
      </c>
      <c r="I133" s="101" t="s">
        <v>541</v>
      </c>
      <c r="J133" s="2" t="s">
        <v>24</v>
      </c>
      <c r="K133" s="2" t="s">
        <v>25</v>
      </c>
      <c r="M133" s="2" t="s">
        <v>24</v>
      </c>
      <c r="N133" s="2" t="s">
        <v>25</v>
      </c>
      <c r="O133" s="5"/>
      <c r="P133" s="7">
        <v>1</v>
      </c>
      <c r="Q133" s="99" t="s">
        <v>542</v>
      </c>
    </row>
    <row r="134" spans="1:18" ht="15" customHeight="1">
      <c r="A134" s="21">
        <v>1</v>
      </c>
      <c r="B134" s="2" t="s">
        <v>235</v>
      </c>
      <c r="C134" s="21">
        <v>4</v>
      </c>
      <c r="D134" s="2" t="s">
        <v>323</v>
      </c>
      <c r="E134" s="14">
        <v>0</v>
      </c>
      <c r="F134" s="21">
        <v>10</v>
      </c>
      <c r="G134" s="2" t="s">
        <v>543</v>
      </c>
      <c r="H134" s="23" t="s">
        <v>544</v>
      </c>
      <c r="I134" s="101" t="s">
        <v>545</v>
      </c>
      <c r="J134" s="2" t="s">
        <v>24</v>
      </c>
      <c r="K134" s="2" t="s">
        <v>25</v>
      </c>
      <c r="M134" s="2" t="s">
        <v>24</v>
      </c>
      <c r="N134" s="2" t="s">
        <v>25</v>
      </c>
      <c r="O134" s="5"/>
      <c r="P134" s="7">
        <v>1</v>
      </c>
      <c r="Q134" s="99" t="s">
        <v>546</v>
      </c>
    </row>
    <row r="135" spans="1:18" ht="15" customHeight="1">
      <c r="A135" s="21">
        <v>1</v>
      </c>
      <c r="B135" s="2" t="s">
        <v>235</v>
      </c>
      <c r="C135" s="21">
        <v>4</v>
      </c>
      <c r="D135" s="2" t="s">
        <v>323</v>
      </c>
      <c r="E135" s="14">
        <v>0</v>
      </c>
      <c r="F135" s="21">
        <v>11</v>
      </c>
      <c r="G135" s="2" t="s">
        <v>547</v>
      </c>
      <c r="H135" s="23" t="s">
        <v>548</v>
      </c>
      <c r="I135" s="101" t="s">
        <v>549</v>
      </c>
      <c r="J135" s="2" t="s">
        <v>24</v>
      </c>
      <c r="K135" s="2" t="s">
        <v>25</v>
      </c>
      <c r="M135" s="2" t="s">
        <v>24</v>
      </c>
      <c r="N135" s="2" t="s">
        <v>25</v>
      </c>
      <c r="O135" s="5"/>
      <c r="P135" s="7">
        <v>1</v>
      </c>
      <c r="Q135" s="99" t="s">
        <v>550</v>
      </c>
    </row>
    <row r="136" spans="1:18" ht="15" customHeight="1">
      <c r="A136" s="21">
        <v>1</v>
      </c>
      <c r="B136" s="2" t="s">
        <v>235</v>
      </c>
      <c r="C136" s="21">
        <v>4</v>
      </c>
      <c r="D136" s="2" t="s">
        <v>323</v>
      </c>
      <c r="E136" s="14">
        <v>0</v>
      </c>
      <c r="F136" s="21">
        <v>12</v>
      </c>
      <c r="G136" s="2" t="s">
        <v>551</v>
      </c>
      <c r="H136" s="23" t="s">
        <v>552</v>
      </c>
      <c r="I136" s="101" t="s">
        <v>553</v>
      </c>
      <c r="J136" s="2" t="s">
        <v>24</v>
      </c>
      <c r="K136" s="2" t="s">
        <v>25</v>
      </c>
      <c r="M136" s="2" t="s">
        <v>24</v>
      </c>
      <c r="N136" s="2" t="s">
        <v>25</v>
      </c>
      <c r="O136" s="5"/>
      <c r="P136" s="7">
        <v>1</v>
      </c>
      <c r="Q136" s="99" t="s">
        <v>554</v>
      </c>
    </row>
    <row r="137" spans="1:18" ht="15" customHeight="1">
      <c r="A137" s="21">
        <v>1</v>
      </c>
      <c r="B137" s="2" t="s">
        <v>235</v>
      </c>
      <c r="C137" s="21">
        <v>4</v>
      </c>
      <c r="D137" s="2" t="s">
        <v>323</v>
      </c>
      <c r="E137" s="14">
        <v>0</v>
      </c>
      <c r="F137" s="21">
        <v>13</v>
      </c>
      <c r="G137" s="2" t="s">
        <v>555</v>
      </c>
      <c r="H137" s="23" t="s">
        <v>556</v>
      </c>
      <c r="I137" s="101" t="s">
        <v>557</v>
      </c>
      <c r="J137" s="2" t="s">
        <v>24</v>
      </c>
      <c r="K137" s="2" t="s">
        <v>25</v>
      </c>
      <c r="M137" s="2" t="s">
        <v>24</v>
      </c>
      <c r="N137" s="2" t="s">
        <v>25</v>
      </c>
      <c r="O137" s="5"/>
      <c r="P137" s="7">
        <v>1</v>
      </c>
      <c r="Q137" s="99" t="s">
        <v>558</v>
      </c>
    </row>
    <row r="138" spans="1:18" ht="15" customHeight="1">
      <c r="A138" s="21">
        <v>1</v>
      </c>
      <c r="B138" s="2" t="s">
        <v>235</v>
      </c>
      <c r="C138" s="21">
        <v>4</v>
      </c>
      <c r="D138" s="2" t="s">
        <v>323</v>
      </c>
      <c r="E138" s="14">
        <v>0</v>
      </c>
      <c r="F138" s="21">
        <v>14</v>
      </c>
      <c r="G138" s="2" t="s">
        <v>559</v>
      </c>
      <c r="H138" s="23" t="s">
        <v>560</v>
      </c>
      <c r="I138" s="101" t="s">
        <v>561</v>
      </c>
      <c r="J138" s="2" t="s">
        <v>24</v>
      </c>
      <c r="K138" s="2" t="s">
        <v>25</v>
      </c>
      <c r="M138" s="2" t="s">
        <v>24</v>
      </c>
      <c r="N138" s="2" t="s">
        <v>25</v>
      </c>
      <c r="O138" s="5"/>
      <c r="P138" s="7">
        <v>1</v>
      </c>
      <c r="Q138" s="99" t="s">
        <v>562</v>
      </c>
    </row>
    <row r="139" spans="1:18" ht="15" customHeight="1">
      <c r="A139" s="21">
        <v>1</v>
      </c>
      <c r="B139" s="2" t="s">
        <v>235</v>
      </c>
      <c r="C139" s="21">
        <v>4</v>
      </c>
      <c r="D139" s="2" t="s">
        <v>323</v>
      </c>
      <c r="E139" s="14">
        <v>0</v>
      </c>
      <c r="F139" s="21">
        <v>15</v>
      </c>
      <c r="G139" s="2" t="s">
        <v>563</v>
      </c>
      <c r="H139" s="23" t="s">
        <v>564</v>
      </c>
      <c r="I139" s="101" t="s">
        <v>565</v>
      </c>
      <c r="J139" s="2" t="s">
        <v>24</v>
      </c>
      <c r="K139" s="2" t="s">
        <v>25</v>
      </c>
      <c r="M139" s="2" t="s">
        <v>24</v>
      </c>
      <c r="N139" s="2" t="s">
        <v>25</v>
      </c>
      <c r="O139" s="5"/>
      <c r="P139" s="7">
        <v>1</v>
      </c>
      <c r="Q139" s="99" t="s">
        <v>566</v>
      </c>
    </row>
    <row r="140" spans="1:18" ht="15" customHeight="1">
      <c r="A140" s="21">
        <v>1</v>
      </c>
      <c r="B140" s="2" t="s">
        <v>235</v>
      </c>
      <c r="C140" s="21">
        <v>4</v>
      </c>
      <c r="D140" s="2" t="s">
        <v>323</v>
      </c>
      <c r="E140" s="14">
        <v>0</v>
      </c>
      <c r="F140" s="21">
        <v>16</v>
      </c>
      <c r="G140" s="2" t="s">
        <v>567</v>
      </c>
      <c r="H140" s="23" t="s">
        <v>568</v>
      </c>
      <c r="I140" s="101" t="s">
        <v>569</v>
      </c>
      <c r="J140" s="2" t="s">
        <v>24</v>
      </c>
      <c r="K140" s="2" t="s">
        <v>25</v>
      </c>
      <c r="M140" s="2" t="s">
        <v>24</v>
      </c>
      <c r="N140" s="2" t="s">
        <v>25</v>
      </c>
      <c r="O140" s="5"/>
      <c r="P140" s="7">
        <v>1</v>
      </c>
      <c r="Q140" s="99" t="s">
        <v>570</v>
      </c>
    </row>
    <row r="141" spans="1:18" ht="15" customHeight="1">
      <c r="A141" s="21">
        <v>1</v>
      </c>
      <c r="B141" s="2" t="s">
        <v>235</v>
      </c>
      <c r="C141" s="21">
        <v>4</v>
      </c>
      <c r="D141" s="2" t="s">
        <v>323</v>
      </c>
      <c r="E141" s="14">
        <v>0</v>
      </c>
      <c r="F141" s="21">
        <v>17</v>
      </c>
      <c r="G141" s="2" t="s">
        <v>571</v>
      </c>
      <c r="H141" s="23" t="s">
        <v>572</v>
      </c>
      <c r="I141" s="101" t="s">
        <v>573</v>
      </c>
      <c r="J141" s="2" t="s">
        <v>24</v>
      </c>
      <c r="K141" s="2" t="s">
        <v>25</v>
      </c>
      <c r="M141" s="2" t="s">
        <v>24</v>
      </c>
      <c r="N141" s="2" t="s">
        <v>25</v>
      </c>
      <c r="O141" s="5"/>
      <c r="P141" s="7">
        <v>1</v>
      </c>
      <c r="Q141" s="99" t="s">
        <v>574</v>
      </c>
    </row>
    <row r="142" spans="1:18" ht="15" customHeight="1">
      <c r="A142" s="21">
        <v>1</v>
      </c>
      <c r="B142" s="2" t="s">
        <v>235</v>
      </c>
      <c r="C142" s="21">
        <v>5</v>
      </c>
      <c r="D142" s="2" t="s">
        <v>575</v>
      </c>
      <c r="E142" s="14">
        <v>0</v>
      </c>
      <c r="F142" s="21">
        <v>0</v>
      </c>
      <c r="G142" s="2" t="s">
        <v>20</v>
      </c>
      <c r="H142" s="23" t="s">
        <v>576</v>
      </c>
      <c r="I142" s="34" t="s">
        <v>577</v>
      </c>
      <c r="J142" s="2" t="s">
        <v>23</v>
      </c>
      <c r="K142" s="2" t="s">
        <v>23</v>
      </c>
      <c r="M142" s="2" t="s">
        <v>24</v>
      </c>
      <c r="N142" s="2" t="s">
        <v>25</v>
      </c>
      <c r="O142" s="5" t="s">
        <v>26</v>
      </c>
      <c r="P142" s="7">
        <v>1</v>
      </c>
      <c r="Q142" s="28" t="s">
        <v>578</v>
      </c>
    </row>
    <row r="143" spans="1:18" ht="15" customHeight="1">
      <c r="A143" s="21">
        <v>1</v>
      </c>
      <c r="B143" s="2" t="s">
        <v>235</v>
      </c>
      <c r="C143" s="21">
        <v>5</v>
      </c>
      <c r="D143" s="2" t="s">
        <v>575</v>
      </c>
      <c r="E143" s="14">
        <v>0</v>
      </c>
      <c r="F143" s="21">
        <v>1</v>
      </c>
      <c r="G143" s="2" t="s">
        <v>579</v>
      </c>
      <c r="H143" s="23" t="s">
        <v>580</v>
      </c>
      <c r="I143" s="101" t="s">
        <v>581</v>
      </c>
      <c r="J143" s="2" t="s">
        <v>23</v>
      </c>
      <c r="K143" s="2" t="s">
        <v>23</v>
      </c>
      <c r="M143" s="2" t="s">
        <v>24</v>
      </c>
      <c r="N143" s="2" t="s">
        <v>206</v>
      </c>
      <c r="O143" s="5" t="s">
        <v>582</v>
      </c>
      <c r="P143" s="7">
        <v>1</v>
      </c>
      <c r="Q143" s="99" t="s">
        <v>583</v>
      </c>
    </row>
    <row r="144" spans="1:18" ht="15" customHeight="1">
      <c r="A144" s="21">
        <v>1</v>
      </c>
      <c r="B144" s="2" t="s">
        <v>235</v>
      </c>
      <c r="C144" s="21">
        <v>6</v>
      </c>
      <c r="D144" s="2" t="s">
        <v>584</v>
      </c>
      <c r="E144" s="14">
        <v>0</v>
      </c>
      <c r="F144" s="21">
        <v>0</v>
      </c>
      <c r="G144" s="2" t="s">
        <v>20</v>
      </c>
      <c r="H144" s="23" t="s">
        <v>585</v>
      </c>
      <c r="I144" s="34" t="s">
        <v>586</v>
      </c>
      <c r="J144" s="2" t="s">
        <v>23</v>
      </c>
      <c r="K144" s="2" t="s">
        <v>23</v>
      </c>
      <c r="M144" s="2" t="s">
        <v>24</v>
      </c>
      <c r="N144" s="2" t="s">
        <v>25</v>
      </c>
      <c r="O144" s="5" t="s">
        <v>26</v>
      </c>
      <c r="P144" s="7">
        <v>1</v>
      </c>
      <c r="Q144" s="1" t="s">
        <v>587</v>
      </c>
    </row>
    <row r="145" spans="1:18" ht="15" customHeight="1">
      <c r="A145" s="21">
        <v>1</v>
      </c>
      <c r="B145" s="2" t="s">
        <v>235</v>
      </c>
      <c r="C145" s="21">
        <v>6</v>
      </c>
      <c r="D145" s="2" t="s">
        <v>584</v>
      </c>
      <c r="E145" s="14">
        <v>0</v>
      </c>
      <c r="F145" s="21">
        <v>1</v>
      </c>
      <c r="G145" s="2" t="s">
        <v>579</v>
      </c>
      <c r="H145" s="23" t="s">
        <v>588</v>
      </c>
      <c r="I145" s="101" t="s">
        <v>589</v>
      </c>
      <c r="J145" s="2" t="s">
        <v>23</v>
      </c>
      <c r="K145" s="2" t="s">
        <v>23</v>
      </c>
      <c r="M145" s="2" t="s">
        <v>24</v>
      </c>
      <c r="N145" s="2" t="s">
        <v>206</v>
      </c>
      <c r="O145" s="5" t="s">
        <v>582</v>
      </c>
      <c r="P145" s="7">
        <v>1</v>
      </c>
      <c r="Q145" s="99" t="s">
        <v>590</v>
      </c>
    </row>
    <row r="146" spans="1:18" ht="15" customHeight="1">
      <c r="A146" s="21">
        <v>1</v>
      </c>
      <c r="B146" s="2" t="s">
        <v>235</v>
      </c>
      <c r="C146" s="21">
        <v>7</v>
      </c>
      <c r="D146" s="2" t="s">
        <v>591</v>
      </c>
      <c r="E146" s="14">
        <v>0</v>
      </c>
      <c r="F146" s="21">
        <v>0</v>
      </c>
      <c r="G146" s="2" t="s">
        <v>20</v>
      </c>
      <c r="H146" s="23" t="s">
        <v>592</v>
      </c>
      <c r="I146" s="34" t="s">
        <v>593</v>
      </c>
      <c r="J146" s="2" t="s">
        <v>23</v>
      </c>
      <c r="K146" s="2" t="s">
        <v>23</v>
      </c>
      <c r="M146" s="2" t="s">
        <v>24</v>
      </c>
      <c r="N146" s="2" t="s">
        <v>25</v>
      </c>
      <c r="O146" s="5" t="s">
        <v>26</v>
      </c>
      <c r="P146" s="7">
        <v>1</v>
      </c>
      <c r="Q146" s="1" t="s">
        <v>594</v>
      </c>
    </row>
    <row r="147" spans="1:18" ht="15" customHeight="1">
      <c r="A147" s="21">
        <v>1</v>
      </c>
      <c r="B147" s="2" t="s">
        <v>235</v>
      </c>
      <c r="C147" s="21">
        <v>7</v>
      </c>
      <c r="D147" s="2" t="s">
        <v>591</v>
      </c>
      <c r="E147" s="14">
        <v>0</v>
      </c>
      <c r="F147" s="21">
        <v>1</v>
      </c>
      <c r="G147" s="2" t="s">
        <v>595</v>
      </c>
      <c r="H147" s="23" t="s">
        <v>596</v>
      </c>
      <c r="I147" s="101" t="s">
        <v>597</v>
      </c>
      <c r="J147" s="2" t="s">
        <v>24</v>
      </c>
      <c r="K147" s="2" t="s">
        <v>25</v>
      </c>
      <c r="M147" s="2" t="s">
        <v>24</v>
      </c>
      <c r="N147" s="2" t="s">
        <v>25</v>
      </c>
      <c r="O147" s="5" t="s">
        <v>308</v>
      </c>
      <c r="P147" s="7">
        <v>1</v>
      </c>
      <c r="Q147" s="99" t="s">
        <v>598</v>
      </c>
    </row>
    <row r="148" spans="1:18" ht="15" customHeight="1">
      <c r="A148" s="21">
        <v>1</v>
      </c>
      <c r="B148" s="2" t="s">
        <v>235</v>
      </c>
      <c r="C148" s="21">
        <v>7</v>
      </c>
      <c r="D148" s="2" t="s">
        <v>591</v>
      </c>
      <c r="E148" s="14">
        <v>0</v>
      </c>
      <c r="F148" s="21">
        <v>2</v>
      </c>
      <c r="G148" s="2" t="s">
        <v>599</v>
      </c>
      <c r="H148" s="23" t="s">
        <v>600</v>
      </c>
      <c r="I148" s="101" t="s">
        <v>601</v>
      </c>
      <c r="J148" s="2" t="s">
        <v>23</v>
      </c>
      <c r="K148" s="2" t="s">
        <v>23</v>
      </c>
      <c r="M148" s="2" t="s">
        <v>24</v>
      </c>
      <c r="N148" s="2" t="s">
        <v>25</v>
      </c>
      <c r="O148" s="5" t="s">
        <v>308</v>
      </c>
      <c r="P148" s="7">
        <v>1</v>
      </c>
      <c r="Q148" s="99" t="s">
        <v>602</v>
      </c>
    </row>
    <row r="149" spans="1:18" ht="15" customHeight="1">
      <c r="A149" s="21">
        <v>1</v>
      </c>
      <c r="B149" s="2" t="s">
        <v>235</v>
      </c>
      <c r="C149" s="21">
        <v>8</v>
      </c>
      <c r="D149" s="2" t="s">
        <v>603</v>
      </c>
      <c r="E149" s="14">
        <v>0</v>
      </c>
      <c r="F149" s="21">
        <v>0</v>
      </c>
      <c r="G149" s="2" t="s">
        <v>20</v>
      </c>
      <c r="H149" s="23" t="s">
        <v>604</v>
      </c>
      <c r="I149" s="34" t="s">
        <v>605</v>
      </c>
      <c r="J149" s="2" t="s">
        <v>23</v>
      </c>
      <c r="K149" s="2" t="s">
        <v>23</v>
      </c>
      <c r="M149" s="2" t="s">
        <v>24</v>
      </c>
      <c r="N149" s="2" t="s">
        <v>25</v>
      </c>
      <c r="O149" s="5" t="s">
        <v>26</v>
      </c>
      <c r="P149" s="7">
        <v>1</v>
      </c>
      <c r="Q149" s="1" t="s">
        <v>606</v>
      </c>
    </row>
    <row r="150" spans="1:18" ht="15" customHeight="1">
      <c r="A150" s="21">
        <v>1</v>
      </c>
      <c r="B150" s="2" t="s">
        <v>235</v>
      </c>
      <c r="C150" s="21">
        <v>8</v>
      </c>
      <c r="D150" s="2" t="s">
        <v>603</v>
      </c>
      <c r="E150" s="14">
        <v>0</v>
      </c>
      <c r="F150" s="21">
        <v>1</v>
      </c>
      <c r="G150" s="2" t="s">
        <v>599</v>
      </c>
      <c r="H150" s="23" t="s">
        <v>607</v>
      </c>
      <c r="I150" s="101" t="s">
        <v>608</v>
      </c>
      <c r="J150" s="2" t="s">
        <v>23</v>
      </c>
      <c r="K150" s="2" t="s">
        <v>23</v>
      </c>
      <c r="M150" s="2" t="s">
        <v>24</v>
      </c>
      <c r="N150" s="2" t="s">
        <v>25</v>
      </c>
      <c r="O150" s="5" t="s">
        <v>609</v>
      </c>
      <c r="P150" s="7">
        <v>1</v>
      </c>
      <c r="Q150" s="99" t="s">
        <v>610</v>
      </c>
    </row>
    <row r="151" spans="1:18" ht="15" customHeight="1">
      <c r="A151" s="21">
        <v>1</v>
      </c>
      <c r="B151" s="2" t="s">
        <v>235</v>
      </c>
      <c r="C151" s="21">
        <v>8</v>
      </c>
      <c r="D151" s="2" t="s">
        <v>603</v>
      </c>
      <c r="E151" s="14">
        <v>0</v>
      </c>
      <c r="F151" s="21">
        <v>2</v>
      </c>
      <c r="G151" s="2" t="s">
        <v>260</v>
      </c>
      <c r="H151" s="23" t="s">
        <v>611</v>
      </c>
      <c r="I151" s="101" t="s">
        <v>612</v>
      </c>
      <c r="J151" s="2" t="s">
        <v>23</v>
      </c>
      <c r="K151" s="2" t="s">
        <v>23</v>
      </c>
      <c r="M151" s="2" t="s">
        <v>24</v>
      </c>
      <c r="N151" s="2" t="s">
        <v>263</v>
      </c>
      <c r="O151" s="2" t="s">
        <v>613</v>
      </c>
      <c r="P151" s="7">
        <v>1</v>
      </c>
      <c r="Q151" s="99" t="s">
        <v>264</v>
      </c>
    </row>
    <row r="152" spans="1:18" ht="15" customHeight="1">
      <c r="A152" s="21">
        <v>1</v>
      </c>
      <c r="B152" s="2" t="s">
        <v>235</v>
      </c>
      <c r="C152" s="21">
        <v>8</v>
      </c>
      <c r="D152" s="2" t="s">
        <v>603</v>
      </c>
      <c r="E152" s="14">
        <v>0</v>
      </c>
      <c r="F152" s="21">
        <v>3</v>
      </c>
      <c r="G152" s="2" t="s">
        <v>614</v>
      </c>
      <c r="H152" s="23" t="s">
        <v>615</v>
      </c>
      <c r="I152" s="101" t="s">
        <v>616</v>
      </c>
      <c r="J152" s="2" t="s">
        <v>23</v>
      </c>
      <c r="K152" s="2" t="s">
        <v>23</v>
      </c>
      <c r="M152" s="2" t="s">
        <v>24</v>
      </c>
      <c r="N152" s="2" t="s">
        <v>25</v>
      </c>
      <c r="O152" s="5" t="s">
        <v>617</v>
      </c>
      <c r="P152" s="7">
        <v>1</v>
      </c>
      <c r="Q152" s="99" t="s">
        <v>618</v>
      </c>
    </row>
    <row r="153" spans="1:18" ht="15" customHeight="1">
      <c r="A153" s="21">
        <v>1</v>
      </c>
      <c r="B153" s="2" t="s">
        <v>235</v>
      </c>
      <c r="C153" s="21">
        <v>8</v>
      </c>
      <c r="D153" s="2" t="s">
        <v>603</v>
      </c>
      <c r="E153" s="14">
        <v>0</v>
      </c>
      <c r="F153" s="21">
        <v>4</v>
      </c>
      <c r="G153" s="2" t="s">
        <v>619</v>
      </c>
      <c r="H153" s="23" t="s">
        <v>620</v>
      </c>
      <c r="I153" s="101" t="s">
        <v>621</v>
      </c>
      <c r="J153" s="2" t="s">
        <v>23</v>
      </c>
      <c r="K153" s="2" t="s">
        <v>23</v>
      </c>
      <c r="M153" s="2" t="s">
        <v>24</v>
      </c>
      <c r="N153" s="2" t="s">
        <v>25</v>
      </c>
      <c r="O153" s="5" t="s">
        <v>622</v>
      </c>
      <c r="P153" s="7">
        <v>1</v>
      </c>
      <c r="Q153" s="99" t="s">
        <v>623</v>
      </c>
      <c r="R153" s="2" t="s">
        <v>624</v>
      </c>
    </row>
    <row r="154" spans="1:18" ht="15" customHeight="1">
      <c r="A154" s="21">
        <v>1</v>
      </c>
      <c r="B154" s="2" t="s">
        <v>235</v>
      </c>
      <c r="C154" s="21">
        <v>8</v>
      </c>
      <c r="D154" s="2" t="s">
        <v>603</v>
      </c>
      <c r="E154" s="14">
        <v>0</v>
      </c>
      <c r="F154" s="21">
        <v>5</v>
      </c>
      <c r="G154" s="2" t="s">
        <v>625</v>
      </c>
      <c r="H154" s="23" t="s">
        <v>626</v>
      </c>
      <c r="I154" s="101" t="s">
        <v>627</v>
      </c>
      <c r="J154" s="2" t="s">
        <v>23</v>
      </c>
      <c r="K154" s="2" t="s">
        <v>23</v>
      </c>
      <c r="M154" s="2" t="s">
        <v>24</v>
      </c>
      <c r="N154" s="2" t="s">
        <v>25</v>
      </c>
      <c r="O154" s="5" t="s">
        <v>628</v>
      </c>
      <c r="P154" s="7">
        <v>1</v>
      </c>
      <c r="Q154" s="99" t="s">
        <v>629</v>
      </c>
    </row>
    <row r="155" spans="1:18" ht="15" customHeight="1">
      <c r="A155" s="21">
        <v>1</v>
      </c>
      <c r="B155" s="2" t="s">
        <v>235</v>
      </c>
      <c r="C155" s="21">
        <v>9</v>
      </c>
      <c r="D155" s="3" t="s">
        <v>497</v>
      </c>
      <c r="E155" s="14">
        <v>0</v>
      </c>
      <c r="F155" s="21">
        <v>0</v>
      </c>
      <c r="G155" s="2" t="s">
        <v>20</v>
      </c>
      <c r="H155" s="23" t="s">
        <v>630</v>
      </c>
      <c r="I155" s="34" t="s">
        <v>631</v>
      </c>
      <c r="J155" s="2" t="s">
        <v>23</v>
      </c>
      <c r="K155" s="2" t="s">
        <v>23</v>
      </c>
      <c r="M155" s="2" t="s">
        <v>24</v>
      </c>
      <c r="N155" s="2" t="s">
        <v>25</v>
      </c>
      <c r="O155" s="5" t="s">
        <v>26</v>
      </c>
      <c r="P155" s="7">
        <v>1</v>
      </c>
      <c r="Q155" s="1" t="s">
        <v>500</v>
      </c>
    </row>
    <row r="156" spans="1:18" ht="15" customHeight="1">
      <c r="A156" s="21">
        <v>1</v>
      </c>
      <c r="B156" s="2" t="s">
        <v>235</v>
      </c>
      <c r="C156" s="21">
        <v>9</v>
      </c>
      <c r="D156" s="3" t="s">
        <v>497</v>
      </c>
      <c r="E156" s="14">
        <v>0</v>
      </c>
      <c r="F156" s="21">
        <v>1</v>
      </c>
      <c r="G156" s="2" t="s">
        <v>632</v>
      </c>
      <c r="H156" s="23" t="s">
        <v>633</v>
      </c>
      <c r="I156" s="101" t="s">
        <v>634</v>
      </c>
      <c r="J156" s="2" t="s">
        <v>24</v>
      </c>
      <c r="K156" s="2" t="s">
        <v>25</v>
      </c>
      <c r="L156" s="5" t="s">
        <v>308</v>
      </c>
      <c r="M156" s="2" t="s">
        <v>24</v>
      </c>
      <c r="N156" s="2" t="s">
        <v>25</v>
      </c>
      <c r="O156" s="5" t="s">
        <v>308</v>
      </c>
      <c r="P156" s="7">
        <v>1</v>
      </c>
      <c r="Q156" s="99" t="s">
        <v>635</v>
      </c>
    </row>
    <row r="157" spans="1:18" ht="15" customHeight="1">
      <c r="A157" s="21">
        <v>1</v>
      </c>
      <c r="B157" s="2" t="s">
        <v>235</v>
      </c>
      <c r="C157" s="21">
        <v>9</v>
      </c>
      <c r="D157" s="3" t="s">
        <v>497</v>
      </c>
      <c r="E157" s="14">
        <v>0</v>
      </c>
      <c r="F157" s="21">
        <v>2</v>
      </c>
      <c r="G157" s="2" t="s">
        <v>636</v>
      </c>
      <c r="H157" s="23" t="s">
        <v>637</v>
      </c>
      <c r="I157" s="101" t="s">
        <v>638</v>
      </c>
      <c r="J157" s="2" t="s">
        <v>24</v>
      </c>
      <c r="K157" s="2" t="s">
        <v>139</v>
      </c>
      <c r="L157" s="5"/>
      <c r="M157" s="2" t="s">
        <v>24</v>
      </c>
      <c r="N157" s="2" t="s">
        <v>139</v>
      </c>
      <c r="O157" s="5"/>
      <c r="P157" s="7">
        <v>1</v>
      </c>
      <c r="Q157" s="99" t="s">
        <v>639</v>
      </c>
    </row>
    <row r="158" spans="1:18" ht="15" customHeight="1">
      <c r="A158" s="21">
        <v>1</v>
      </c>
      <c r="B158" s="2" t="s">
        <v>235</v>
      </c>
      <c r="C158" s="21">
        <v>9</v>
      </c>
      <c r="D158" s="3" t="s">
        <v>497</v>
      </c>
      <c r="E158" s="14">
        <v>0</v>
      </c>
      <c r="F158" s="21">
        <v>3</v>
      </c>
      <c r="G158" s="2" t="s">
        <v>640</v>
      </c>
      <c r="H158" s="23" t="s">
        <v>641</v>
      </c>
      <c r="I158" s="101" t="s">
        <v>642</v>
      </c>
      <c r="J158" s="2" t="s">
        <v>24</v>
      </c>
      <c r="K158" s="2" t="s">
        <v>25</v>
      </c>
      <c r="L158" s="5" t="s">
        <v>308</v>
      </c>
      <c r="M158" s="2" t="s">
        <v>24</v>
      </c>
      <c r="N158" s="2" t="s">
        <v>25</v>
      </c>
      <c r="O158" s="5" t="s">
        <v>308</v>
      </c>
      <c r="P158" s="7">
        <v>1</v>
      </c>
      <c r="Q158" s="99" t="s">
        <v>643</v>
      </c>
    </row>
    <row r="159" spans="1:18" ht="15" customHeight="1">
      <c r="A159" s="21">
        <v>1</v>
      </c>
      <c r="B159" s="2" t="s">
        <v>235</v>
      </c>
      <c r="C159" s="21">
        <v>9</v>
      </c>
      <c r="D159" s="3" t="s">
        <v>497</v>
      </c>
      <c r="E159" s="14">
        <v>0</v>
      </c>
      <c r="F159" s="21">
        <v>4</v>
      </c>
      <c r="G159" s="2" t="s">
        <v>644</v>
      </c>
      <c r="H159" s="23" t="s">
        <v>645</v>
      </c>
      <c r="I159" s="101" t="s">
        <v>646</v>
      </c>
      <c r="J159" s="2" t="s">
        <v>24</v>
      </c>
      <c r="K159" s="2" t="s">
        <v>116</v>
      </c>
      <c r="L159" s="11" t="s">
        <v>646</v>
      </c>
      <c r="M159" s="2" t="s">
        <v>24</v>
      </c>
      <c r="N159" s="2" t="s">
        <v>116</v>
      </c>
      <c r="O159" s="11" t="s">
        <v>646</v>
      </c>
      <c r="P159" s="7">
        <v>1</v>
      </c>
      <c r="Q159" s="99" t="s">
        <v>647</v>
      </c>
    </row>
    <row r="160" spans="1:18" ht="15" customHeight="1">
      <c r="A160" s="21">
        <v>1</v>
      </c>
      <c r="B160" s="2" t="s">
        <v>235</v>
      </c>
      <c r="C160" s="21">
        <v>9</v>
      </c>
      <c r="D160" s="3" t="s">
        <v>497</v>
      </c>
      <c r="E160" s="14">
        <v>0</v>
      </c>
      <c r="F160" s="21">
        <v>5</v>
      </c>
      <c r="G160" s="2" t="s">
        <v>648</v>
      </c>
      <c r="H160" s="23" t="s">
        <v>649</v>
      </c>
      <c r="I160" s="101" t="s">
        <v>650</v>
      </c>
      <c r="J160" s="2" t="s">
        <v>24</v>
      </c>
      <c r="K160" s="2" t="s">
        <v>116</v>
      </c>
      <c r="L160" s="11" t="s">
        <v>650</v>
      </c>
      <c r="M160" s="2" t="s">
        <v>24</v>
      </c>
      <c r="N160" s="2" t="s">
        <v>116</v>
      </c>
      <c r="O160" s="11" t="s">
        <v>650</v>
      </c>
      <c r="P160" s="7">
        <v>1</v>
      </c>
      <c r="Q160" s="99" t="s">
        <v>651</v>
      </c>
    </row>
    <row r="161" spans="1:17" ht="15" customHeight="1">
      <c r="A161" s="21">
        <v>1</v>
      </c>
      <c r="B161" s="2" t="s">
        <v>235</v>
      </c>
      <c r="C161" s="21">
        <v>9</v>
      </c>
      <c r="D161" s="3" t="s">
        <v>497</v>
      </c>
      <c r="E161" s="14">
        <v>0</v>
      </c>
      <c r="F161" s="21">
        <v>6</v>
      </c>
      <c r="G161" s="2" t="s">
        <v>337</v>
      </c>
      <c r="H161" s="23" t="s">
        <v>652</v>
      </c>
      <c r="I161" s="101" t="s">
        <v>653</v>
      </c>
      <c r="J161" s="2" t="s">
        <v>23</v>
      </c>
      <c r="K161" s="2" t="s">
        <v>23</v>
      </c>
      <c r="M161" s="2" t="s">
        <v>24</v>
      </c>
      <c r="N161" s="2" t="s">
        <v>25</v>
      </c>
      <c r="O161" s="5" t="s">
        <v>654</v>
      </c>
      <c r="P161" s="7">
        <v>1</v>
      </c>
      <c r="Q161" s="99" t="s">
        <v>655</v>
      </c>
    </row>
    <row r="162" spans="1:17" ht="15" customHeight="1">
      <c r="A162" s="21">
        <v>1</v>
      </c>
      <c r="B162" s="2" t="s">
        <v>235</v>
      </c>
      <c r="C162" s="21">
        <v>9</v>
      </c>
      <c r="D162" s="3" t="s">
        <v>497</v>
      </c>
      <c r="E162" s="14">
        <v>0</v>
      </c>
      <c r="F162" s="21">
        <v>7</v>
      </c>
      <c r="G162" s="2" t="s">
        <v>342</v>
      </c>
      <c r="H162" s="23" t="s">
        <v>656</v>
      </c>
      <c r="I162" s="101" t="s">
        <v>657</v>
      </c>
      <c r="J162" s="2" t="s">
        <v>23</v>
      </c>
      <c r="K162" s="2" t="s">
        <v>23</v>
      </c>
      <c r="M162" s="2" t="s">
        <v>24</v>
      </c>
      <c r="N162" s="2" t="s">
        <v>116</v>
      </c>
      <c r="O162" s="9" t="s">
        <v>657</v>
      </c>
      <c r="P162" s="7">
        <v>1</v>
      </c>
      <c r="Q162" s="99" t="s">
        <v>345</v>
      </c>
    </row>
    <row r="163" spans="1:17" ht="15" customHeight="1">
      <c r="A163" s="21">
        <v>1</v>
      </c>
      <c r="B163" s="2" t="s">
        <v>235</v>
      </c>
      <c r="C163" s="21">
        <v>9</v>
      </c>
      <c r="D163" s="2" t="s">
        <v>497</v>
      </c>
      <c r="E163" s="14">
        <v>0</v>
      </c>
      <c r="F163" s="21">
        <v>8</v>
      </c>
      <c r="G163" s="2" t="s">
        <v>273</v>
      </c>
      <c r="H163" s="23" t="s">
        <v>658</v>
      </c>
      <c r="I163" s="101" t="s">
        <v>659</v>
      </c>
      <c r="J163" s="2" t="s">
        <v>24</v>
      </c>
      <c r="K163" s="2" t="s">
        <v>206</v>
      </c>
      <c r="L163" s="6" t="s">
        <v>660</v>
      </c>
      <c r="M163" s="2" t="s">
        <v>24</v>
      </c>
      <c r="N163" s="2" t="s">
        <v>206</v>
      </c>
      <c r="O163" s="6" t="s">
        <v>660</v>
      </c>
      <c r="P163" s="7">
        <v>1</v>
      </c>
      <c r="Q163" s="99" t="s">
        <v>661</v>
      </c>
    </row>
    <row r="164" spans="1:17" ht="15" customHeight="1">
      <c r="A164" s="21">
        <v>1</v>
      </c>
      <c r="B164" s="2" t="s">
        <v>235</v>
      </c>
      <c r="C164" s="21">
        <v>9</v>
      </c>
      <c r="D164" s="2" t="s">
        <v>497</v>
      </c>
      <c r="E164" s="14">
        <v>0</v>
      </c>
      <c r="F164" s="21">
        <v>9</v>
      </c>
      <c r="G164" s="2" t="s">
        <v>662</v>
      </c>
      <c r="H164" s="23" t="s">
        <v>663</v>
      </c>
      <c r="I164" s="101" t="s">
        <v>664</v>
      </c>
      <c r="J164" s="2" t="s">
        <v>24</v>
      </c>
      <c r="K164" s="2" t="s">
        <v>116</v>
      </c>
      <c r="L164" s="9" t="s">
        <v>664</v>
      </c>
      <c r="M164" s="2" t="s">
        <v>24</v>
      </c>
      <c r="N164" s="2" t="s">
        <v>116</v>
      </c>
      <c r="O164" s="9" t="s">
        <v>664</v>
      </c>
      <c r="P164" s="7">
        <v>1</v>
      </c>
      <c r="Q164" s="99" t="s">
        <v>665</v>
      </c>
    </row>
    <row r="165" spans="1:17" ht="15" customHeight="1">
      <c r="A165" s="21">
        <v>1</v>
      </c>
      <c r="B165" s="2" t="s">
        <v>235</v>
      </c>
      <c r="C165" s="21">
        <v>9</v>
      </c>
      <c r="D165" s="2" t="s">
        <v>497</v>
      </c>
      <c r="E165" s="14">
        <v>0</v>
      </c>
      <c r="F165" s="21">
        <v>10</v>
      </c>
      <c r="G165" s="2" t="s">
        <v>666</v>
      </c>
      <c r="H165" s="23" t="s">
        <v>667</v>
      </c>
      <c r="I165" s="101" t="s">
        <v>668</v>
      </c>
      <c r="J165" s="2" t="s">
        <v>24</v>
      </c>
      <c r="K165" s="2" t="s">
        <v>25</v>
      </c>
      <c r="L165" s="5" t="s">
        <v>308</v>
      </c>
      <c r="M165" s="2" t="s">
        <v>24</v>
      </c>
      <c r="N165" s="2" t="s">
        <v>25</v>
      </c>
      <c r="O165" s="5" t="s">
        <v>308</v>
      </c>
      <c r="P165" s="7">
        <v>1</v>
      </c>
      <c r="Q165" s="99" t="s">
        <v>669</v>
      </c>
    </row>
    <row r="166" spans="1:17" ht="15" customHeight="1">
      <c r="A166" s="21">
        <v>1</v>
      </c>
      <c r="B166" s="2" t="s">
        <v>235</v>
      </c>
      <c r="C166" s="21">
        <v>9</v>
      </c>
      <c r="D166" s="2" t="s">
        <v>497</v>
      </c>
      <c r="E166" s="14">
        <v>0</v>
      </c>
      <c r="F166" s="21">
        <v>11</v>
      </c>
      <c r="G166" s="2" t="s">
        <v>670</v>
      </c>
      <c r="H166" s="23" t="s">
        <v>671</v>
      </c>
      <c r="I166" s="101" t="s">
        <v>672</v>
      </c>
      <c r="J166" s="2" t="s">
        <v>24</v>
      </c>
      <c r="K166" s="2" t="s">
        <v>116</v>
      </c>
      <c r="L166" s="9" t="s">
        <v>672</v>
      </c>
      <c r="M166" s="2" t="s">
        <v>24</v>
      </c>
      <c r="N166" s="2" t="s">
        <v>116</v>
      </c>
      <c r="O166" s="9" t="s">
        <v>672</v>
      </c>
      <c r="P166" s="7">
        <v>1</v>
      </c>
      <c r="Q166" s="99" t="s">
        <v>673</v>
      </c>
    </row>
    <row r="167" spans="1:17" ht="15" customHeight="1">
      <c r="A167" s="21">
        <v>1</v>
      </c>
      <c r="B167" s="2" t="s">
        <v>235</v>
      </c>
      <c r="C167" s="21">
        <v>9</v>
      </c>
      <c r="D167" s="2" t="s">
        <v>497</v>
      </c>
      <c r="E167" s="14">
        <v>0</v>
      </c>
      <c r="F167" s="21">
        <v>12</v>
      </c>
      <c r="G167" s="2" t="s">
        <v>674</v>
      </c>
      <c r="H167" s="23" t="s">
        <v>675</v>
      </c>
      <c r="I167" s="101" t="s">
        <v>676</v>
      </c>
      <c r="J167" s="2" t="s">
        <v>24</v>
      </c>
      <c r="K167" s="2" t="s">
        <v>116</v>
      </c>
      <c r="L167" s="9" t="s">
        <v>677</v>
      </c>
      <c r="M167" s="2" t="s">
        <v>24</v>
      </c>
      <c r="N167" s="2" t="s">
        <v>116</v>
      </c>
      <c r="O167" s="9" t="s">
        <v>677</v>
      </c>
      <c r="P167" s="7">
        <v>1</v>
      </c>
      <c r="Q167" s="99" t="s">
        <v>678</v>
      </c>
    </row>
    <row r="168" spans="1:17" ht="15" customHeight="1">
      <c r="A168" s="21">
        <v>1</v>
      </c>
      <c r="B168" s="2" t="s">
        <v>235</v>
      </c>
      <c r="C168" s="21">
        <v>9</v>
      </c>
      <c r="D168" s="2" t="s">
        <v>497</v>
      </c>
      <c r="E168" s="14">
        <v>0</v>
      </c>
      <c r="F168" s="21">
        <v>13</v>
      </c>
      <c r="G168" s="2" t="s">
        <v>679</v>
      </c>
      <c r="H168" s="23" t="s">
        <v>680</v>
      </c>
      <c r="I168" s="101" t="s">
        <v>681</v>
      </c>
      <c r="J168" s="2" t="s">
        <v>24</v>
      </c>
      <c r="K168" s="2" t="s">
        <v>116</v>
      </c>
      <c r="L168" s="9" t="s">
        <v>677</v>
      </c>
      <c r="M168" s="2" t="s">
        <v>24</v>
      </c>
      <c r="N168" s="2" t="s">
        <v>116</v>
      </c>
      <c r="O168" s="9" t="s">
        <v>677</v>
      </c>
      <c r="P168" s="7">
        <v>1</v>
      </c>
      <c r="Q168" s="99" t="s">
        <v>682</v>
      </c>
    </row>
    <row r="169" spans="1:17" ht="15" customHeight="1">
      <c r="A169" s="21">
        <v>1</v>
      </c>
      <c r="B169" s="2" t="s">
        <v>235</v>
      </c>
      <c r="C169" s="21">
        <v>9</v>
      </c>
      <c r="D169" s="2" t="s">
        <v>497</v>
      </c>
      <c r="E169" s="14">
        <v>0</v>
      </c>
      <c r="F169" s="21">
        <v>14</v>
      </c>
      <c r="G169" s="2" t="s">
        <v>683</v>
      </c>
      <c r="H169" s="23" t="s">
        <v>684</v>
      </c>
      <c r="I169" s="101" t="s">
        <v>685</v>
      </c>
      <c r="J169" s="2" t="s">
        <v>23</v>
      </c>
      <c r="K169" s="2" t="s">
        <v>23</v>
      </c>
      <c r="M169" s="2" t="s">
        <v>24</v>
      </c>
      <c r="N169" s="2" t="s">
        <v>116</v>
      </c>
      <c r="O169" s="9" t="s">
        <v>685</v>
      </c>
      <c r="P169" s="7">
        <v>1</v>
      </c>
      <c r="Q169" s="99" t="s">
        <v>686</v>
      </c>
    </row>
    <row r="170" spans="1:17" ht="15" customHeight="1">
      <c r="A170" s="21">
        <v>1</v>
      </c>
      <c r="B170" s="2" t="s">
        <v>235</v>
      </c>
      <c r="C170" s="21">
        <v>9</v>
      </c>
      <c r="D170" s="2" t="s">
        <v>497</v>
      </c>
      <c r="E170" s="14">
        <v>0</v>
      </c>
      <c r="F170" s="21">
        <v>15</v>
      </c>
      <c r="G170" s="2" t="s">
        <v>687</v>
      </c>
      <c r="H170" s="23" t="s">
        <v>688</v>
      </c>
      <c r="I170" s="101" t="s">
        <v>689</v>
      </c>
      <c r="J170" s="2" t="s">
        <v>23</v>
      </c>
      <c r="K170" s="2" t="s">
        <v>23</v>
      </c>
      <c r="M170" s="2" t="s">
        <v>24</v>
      </c>
      <c r="N170" s="2" t="s">
        <v>23</v>
      </c>
      <c r="O170" s="9"/>
      <c r="P170" s="7">
        <v>1</v>
      </c>
      <c r="Q170" s="99" t="s">
        <v>690</v>
      </c>
    </row>
    <row r="171" spans="1:17" ht="15" customHeight="1">
      <c r="A171" s="21">
        <v>1</v>
      </c>
      <c r="B171" s="2" t="s">
        <v>235</v>
      </c>
      <c r="C171" s="21">
        <v>9</v>
      </c>
      <c r="D171" s="2" t="s">
        <v>497</v>
      </c>
      <c r="E171" s="14">
        <v>0</v>
      </c>
      <c r="F171" s="21">
        <v>16</v>
      </c>
      <c r="G171" s="2" t="s">
        <v>691</v>
      </c>
      <c r="H171" s="23" t="s">
        <v>692</v>
      </c>
      <c r="I171" s="101" t="s">
        <v>693</v>
      </c>
      <c r="J171" s="2" t="s">
        <v>23</v>
      </c>
      <c r="K171" s="2" t="s">
        <v>23</v>
      </c>
      <c r="M171" s="2" t="s">
        <v>24</v>
      </c>
      <c r="N171" s="2" t="s">
        <v>23</v>
      </c>
      <c r="O171" s="63"/>
      <c r="P171" s="7">
        <v>1</v>
      </c>
      <c r="Q171" s="99" t="s">
        <v>694</v>
      </c>
    </row>
    <row r="172" spans="1:17" ht="15" customHeight="1">
      <c r="A172" s="21">
        <v>1</v>
      </c>
      <c r="B172" s="2" t="s">
        <v>235</v>
      </c>
      <c r="C172" s="21">
        <v>9</v>
      </c>
      <c r="D172" s="2" t="s">
        <v>497</v>
      </c>
      <c r="E172" s="14">
        <v>0</v>
      </c>
      <c r="F172" s="21">
        <v>17</v>
      </c>
      <c r="G172" s="2" t="s">
        <v>695</v>
      </c>
      <c r="H172" s="23" t="s">
        <v>696</v>
      </c>
      <c r="I172" s="101" t="s">
        <v>697</v>
      </c>
      <c r="J172" s="2" t="s">
        <v>23</v>
      </c>
      <c r="K172" s="2" t="s">
        <v>23</v>
      </c>
      <c r="M172" s="2" t="s">
        <v>24</v>
      </c>
      <c r="N172" s="2" t="s">
        <v>23</v>
      </c>
      <c r="O172" s="9"/>
      <c r="P172" s="7">
        <v>1</v>
      </c>
      <c r="Q172" s="99" t="s">
        <v>698</v>
      </c>
    </row>
    <row r="173" spans="1:17" ht="15" customHeight="1">
      <c r="A173" s="21">
        <v>1</v>
      </c>
      <c r="B173" s="2" t="s">
        <v>235</v>
      </c>
      <c r="C173" s="21">
        <v>9</v>
      </c>
      <c r="D173" s="2" t="s">
        <v>497</v>
      </c>
      <c r="E173" s="14">
        <v>0</v>
      </c>
      <c r="F173" s="21">
        <v>18</v>
      </c>
      <c r="G173" s="2" t="s">
        <v>699</v>
      </c>
      <c r="H173" s="23" t="s">
        <v>700</v>
      </c>
      <c r="I173" s="101" t="s">
        <v>701</v>
      </c>
      <c r="J173" s="2" t="s">
        <v>23</v>
      </c>
      <c r="K173" s="2" t="s">
        <v>23</v>
      </c>
      <c r="M173" s="2" t="s">
        <v>24</v>
      </c>
      <c r="N173" s="2" t="s">
        <v>23</v>
      </c>
      <c r="O173" s="9"/>
      <c r="P173" s="7">
        <v>1</v>
      </c>
      <c r="Q173" s="99" t="s">
        <v>702</v>
      </c>
    </row>
    <row r="174" spans="1:17" ht="15" customHeight="1">
      <c r="A174" s="21">
        <v>1</v>
      </c>
      <c r="B174" s="2" t="s">
        <v>235</v>
      </c>
      <c r="C174" s="21">
        <v>9</v>
      </c>
      <c r="D174" s="2" t="s">
        <v>497</v>
      </c>
      <c r="E174" s="14">
        <v>0</v>
      </c>
      <c r="F174" s="21">
        <v>19</v>
      </c>
      <c r="G174" s="2" t="s">
        <v>703</v>
      </c>
      <c r="H174" s="23" t="s">
        <v>704</v>
      </c>
      <c r="I174" s="101" t="s">
        <v>705</v>
      </c>
      <c r="J174" s="2" t="s">
        <v>24</v>
      </c>
      <c r="K174" s="2" t="s">
        <v>133</v>
      </c>
      <c r="M174" s="2" t="s">
        <v>24</v>
      </c>
      <c r="N174" s="2" t="s">
        <v>133</v>
      </c>
      <c r="O174" s="2" t="s">
        <v>706</v>
      </c>
      <c r="P174" s="7">
        <v>1</v>
      </c>
      <c r="Q174" s="99" t="s">
        <v>707</v>
      </c>
    </row>
    <row r="175" spans="1:17" ht="15" customHeight="1">
      <c r="A175" s="21">
        <v>1</v>
      </c>
      <c r="B175" s="2" t="s">
        <v>235</v>
      </c>
      <c r="C175" s="21">
        <v>9</v>
      </c>
      <c r="D175" s="2" t="s">
        <v>497</v>
      </c>
      <c r="E175" s="14">
        <v>0</v>
      </c>
      <c r="F175" s="21">
        <v>20</v>
      </c>
      <c r="G175" s="2" t="s">
        <v>370</v>
      </c>
      <c r="H175" s="23" t="s">
        <v>708</v>
      </c>
      <c r="I175" s="101" t="s">
        <v>373</v>
      </c>
      <c r="J175" s="2" t="s">
        <v>24</v>
      </c>
      <c r="K175" s="2" t="s">
        <v>116</v>
      </c>
      <c r="L175" s="9" t="s">
        <v>373</v>
      </c>
      <c r="M175" s="2" t="s">
        <v>24</v>
      </c>
      <c r="N175" s="2" t="s">
        <v>116</v>
      </c>
      <c r="O175" s="9" t="s">
        <v>373</v>
      </c>
      <c r="P175" s="7">
        <v>1</v>
      </c>
      <c r="Q175" s="99" t="s">
        <v>374</v>
      </c>
    </row>
    <row r="176" spans="1:17" ht="15" customHeight="1">
      <c r="A176" s="21">
        <v>1</v>
      </c>
      <c r="B176" s="2" t="s">
        <v>235</v>
      </c>
      <c r="C176" s="21">
        <v>9</v>
      </c>
      <c r="D176" s="2" t="s">
        <v>497</v>
      </c>
      <c r="E176" s="14">
        <v>0</v>
      </c>
      <c r="F176" s="21">
        <v>21</v>
      </c>
      <c r="G176" s="2" t="s">
        <v>709</v>
      </c>
      <c r="H176" s="23" t="s">
        <v>710</v>
      </c>
      <c r="I176" s="101" t="s">
        <v>711</v>
      </c>
      <c r="J176" s="2" t="s">
        <v>24</v>
      </c>
      <c r="K176" s="2" t="s">
        <v>23</v>
      </c>
      <c r="L176" s="2" t="s">
        <v>712</v>
      </c>
      <c r="M176" s="2" t="s">
        <v>24</v>
      </c>
      <c r="N176" s="2" t="s">
        <v>23</v>
      </c>
      <c r="O176" s="2" t="s">
        <v>712</v>
      </c>
      <c r="P176" s="7">
        <v>1</v>
      </c>
      <c r="Q176" s="99" t="s">
        <v>713</v>
      </c>
    </row>
    <row r="177" spans="1:17" ht="15" customHeight="1">
      <c r="A177" s="21">
        <v>1</v>
      </c>
      <c r="B177" s="2" t="s">
        <v>235</v>
      </c>
      <c r="C177" s="21">
        <v>9</v>
      </c>
      <c r="D177" s="2" t="s">
        <v>497</v>
      </c>
      <c r="E177" s="14">
        <v>0</v>
      </c>
      <c r="F177" s="21">
        <v>22</v>
      </c>
      <c r="G177" s="2" t="s">
        <v>714</v>
      </c>
      <c r="H177" s="23" t="s">
        <v>715</v>
      </c>
      <c r="I177" s="101" t="s">
        <v>716</v>
      </c>
      <c r="J177" s="2" t="s">
        <v>24</v>
      </c>
      <c r="K177" s="2" t="s">
        <v>23</v>
      </c>
      <c r="L177" s="9"/>
      <c r="M177" s="2" t="s">
        <v>24</v>
      </c>
      <c r="N177" s="2" t="s">
        <v>23</v>
      </c>
      <c r="O177" s="9"/>
      <c r="P177" s="7">
        <v>1</v>
      </c>
      <c r="Q177" s="99" t="s">
        <v>717</v>
      </c>
    </row>
    <row r="178" spans="1:17" ht="15" customHeight="1">
      <c r="A178" s="21">
        <v>1</v>
      </c>
      <c r="B178" s="2" t="s">
        <v>235</v>
      </c>
      <c r="C178" s="21">
        <v>9</v>
      </c>
      <c r="D178" s="2" t="s">
        <v>497</v>
      </c>
      <c r="E178" s="14">
        <v>0</v>
      </c>
      <c r="F178" s="21">
        <v>23</v>
      </c>
      <c r="G178" s="2" t="s">
        <v>718</v>
      </c>
      <c r="H178" s="23" t="s">
        <v>719</v>
      </c>
      <c r="I178" s="101" t="s">
        <v>720</v>
      </c>
      <c r="J178" s="2" t="s">
        <v>24</v>
      </c>
      <c r="K178" s="2" t="s">
        <v>23</v>
      </c>
      <c r="L178" s="9"/>
      <c r="M178" s="2" t="s">
        <v>24</v>
      </c>
      <c r="N178" s="2" t="s">
        <v>23</v>
      </c>
      <c r="O178" s="9"/>
      <c r="P178" s="7">
        <v>1</v>
      </c>
      <c r="Q178" s="99" t="s">
        <v>721</v>
      </c>
    </row>
    <row r="179" spans="1:17" ht="15" customHeight="1">
      <c r="A179" s="21">
        <v>1</v>
      </c>
      <c r="B179" s="2" t="s">
        <v>235</v>
      </c>
      <c r="C179" s="21">
        <v>9</v>
      </c>
      <c r="D179" s="2" t="s">
        <v>497</v>
      </c>
      <c r="E179" s="14">
        <v>0</v>
      </c>
      <c r="F179" s="21">
        <v>24</v>
      </c>
      <c r="G179" s="2" t="s">
        <v>722</v>
      </c>
      <c r="H179" s="23" t="s">
        <v>723</v>
      </c>
      <c r="I179" s="101" t="s">
        <v>724</v>
      </c>
      <c r="J179" s="2" t="s">
        <v>24</v>
      </c>
      <c r="K179" s="2" t="s">
        <v>23</v>
      </c>
      <c r="L179" s="2" t="s">
        <v>712</v>
      </c>
      <c r="M179" s="2" t="s">
        <v>24</v>
      </c>
      <c r="N179" s="2" t="s">
        <v>23</v>
      </c>
      <c r="O179" s="2" t="s">
        <v>712</v>
      </c>
      <c r="P179" s="7">
        <v>1</v>
      </c>
      <c r="Q179" s="99" t="s">
        <v>725</v>
      </c>
    </row>
    <row r="180" spans="1:17" ht="15" customHeight="1">
      <c r="A180" s="21">
        <v>1</v>
      </c>
      <c r="B180" s="2" t="s">
        <v>235</v>
      </c>
      <c r="C180" s="21">
        <v>9</v>
      </c>
      <c r="D180" s="2" t="s">
        <v>497</v>
      </c>
      <c r="E180" s="14">
        <v>0</v>
      </c>
      <c r="F180" s="21">
        <v>25</v>
      </c>
      <c r="G180" s="2" t="s">
        <v>726</v>
      </c>
      <c r="H180" s="23" t="s">
        <v>727</v>
      </c>
      <c r="I180" s="101" t="s">
        <v>728</v>
      </c>
      <c r="J180" s="2" t="s">
        <v>24</v>
      </c>
      <c r="K180" s="2" t="s">
        <v>23</v>
      </c>
      <c r="L180" s="9"/>
      <c r="M180" s="2" t="s">
        <v>24</v>
      </c>
      <c r="N180" s="2" t="s">
        <v>23</v>
      </c>
      <c r="O180" s="9"/>
      <c r="P180" s="7">
        <v>1</v>
      </c>
      <c r="Q180" s="99" t="s">
        <v>729</v>
      </c>
    </row>
    <row r="181" spans="1:17" ht="15" customHeight="1">
      <c r="A181" s="21">
        <v>1</v>
      </c>
      <c r="B181" s="2" t="s">
        <v>235</v>
      </c>
      <c r="C181" s="21">
        <v>9</v>
      </c>
      <c r="D181" s="2" t="s">
        <v>497</v>
      </c>
      <c r="E181" s="14">
        <v>0</v>
      </c>
      <c r="F181" s="21">
        <v>26</v>
      </c>
      <c r="G181" s="2" t="s">
        <v>730</v>
      </c>
      <c r="H181" s="23" t="s">
        <v>731</v>
      </c>
      <c r="I181" s="101" t="s">
        <v>732</v>
      </c>
      <c r="J181" s="2" t="s">
        <v>24</v>
      </c>
      <c r="K181" s="2" t="s">
        <v>23</v>
      </c>
      <c r="L181" s="9"/>
      <c r="M181" s="2" t="s">
        <v>24</v>
      </c>
      <c r="N181" s="2" t="s">
        <v>23</v>
      </c>
      <c r="O181" s="9"/>
      <c r="P181" s="7">
        <v>1</v>
      </c>
      <c r="Q181" s="99" t="s">
        <v>733</v>
      </c>
    </row>
    <row r="182" spans="1:17" ht="15" customHeight="1">
      <c r="A182" s="21">
        <v>1</v>
      </c>
      <c r="B182" s="2" t="s">
        <v>235</v>
      </c>
      <c r="C182" s="21">
        <v>9</v>
      </c>
      <c r="D182" s="2" t="s">
        <v>497</v>
      </c>
      <c r="E182" s="14">
        <v>0</v>
      </c>
      <c r="F182" s="21">
        <v>27</v>
      </c>
      <c r="G182" s="2" t="s">
        <v>734</v>
      </c>
      <c r="H182" s="23" t="s">
        <v>735</v>
      </c>
      <c r="I182" s="101" t="s">
        <v>736</v>
      </c>
      <c r="J182" s="2" t="s">
        <v>24</v>
      </c>
      <c r="K182" s="2" t="s">
        <v>23</v>
      </c>
      <c r="L182" s="2" t="s">
        <v>712</v>
      </c>
      <c r="M182" s="2" t="s">
        <v>24</v>
      </c>
      <c r="N182" s="2" t="s">
        <v>23</v>
      </c>
      <c r="O182" s="2" t="s">
        <v>712</v>
      </c>
      <c r="P182" s="7">
        <v>1</v>
      </c>
      <c r="Q182" s="99" t="s">
        <v>737</v>
      </c>
    </row>
    <row r="183" spans="1:17" ht="15" customHeight="1">
      <c r="A183" s="21">
        <v>1</v>
      </c>
      <c r="B183" s="2" t="s">
        <v>235</v>
      </c>
      <c r="C183" s="21">
        <v>9</v>
      </c>
      <c r="D183" s="2" t="s">
        <v>497</v>
      </c>
      <c r="E183" s="14">
        <v>0</v>
      </c>
      <c r="F183" s="21">
        <v>28</v>
      </c>
      <c r="G183" s="2" t="s">
        <v>738</v>
      </c>
      <c r="H183" s="23" t="s">
        <v>739</v>
      </c>
      <c r="I183" s="101" t="s">
        <v>740</v>
      </c>
      <c r="J183" s="2" t="s">
        <v>24</v>
      </c>
      <c r="K183" s="2" t="s">
        <v>23</v>
      </c>
      <c r="L183" s="9"/>
      <c r="M183" s="2" t="s">
        <v>24</v>
      </c>
      <c r="N183" s="2" t="s">
        <v>23</v>
      </c>
      <c r="O183" s="9"/>
      <c r="P183" s="7">
        <v>1</v>
      </c>
      <c r="Q183" s="99" t="s">
        <v>741</v>
      </c>
    </row>
    <row r="184" spans="1:17" ht="15" customHeight="1">
      <c r="A184" s="21">
        <v>1</v>
      </c>
      <c r="B184" s="2" t="s">
        <v>235</v>
      </c>
      <c r="C184" s="21">
        <v>9</v>
      </c>
      <c r="D184" s="2" t="s">
        <v>497</v>
      </c>
      <c r="E184" s="14">
        <v>0</v>
      </c>
      <c r="F184" s="21">
        <v>29</v>
      </c>
      <c r="G184" s="2" t="s">
        <v>742</v>
      </c>
      <c r="H184" s="23" t="s">
        <v>743</v>
      </c>
      <c r="I184" s="101" t="s">
        <v>744</v>
      </c>
      <c r="J184" s="2" t="s">
        <v>24</v>
      </c>
      <c r="K184" s="2" t="s">
        <v>23</v>
      </c>
      <c r="L184" s="9"/>
      <c r="M184" s="2" t="s">
        <v>24</v>
      </c>
      <c r="N184" s="2" t="s">
        <v>23</v>
      </c>
      <c r="O184" s="9"/>
      <c r="P184" s="7">
        <v>1</v>
      </c>
      <c r="Q184" s="99" t="s">
        <v>745</v>
      </c>
    </row>
    <row r="185" spans="1:17" ht="15" customHeight="1">
      <c r="A185" s="21">
        <v>1</v>
      </c>
      <c r="B185" s="2" t="s">
        <v>235</v>
      </c>
      <c r="C185" s="21">
        <v>9</v>
      </c>
      <c r="D185" s="2" t="s">
        <v>497</v>
      </c>
      <c r="E185" s="14">
        <v>0</v>
      </c>
      <c r="F185" s="21">
        <v>30</v>
      </c>
      <c r="G185" s="2" t="s">
        <v>746</v>
      </c>
      <c r="H185" s="23" t="s">
        <v>747</v>
      </c>
      <c r="I185" s="101" t="s">
        <v>748</v>
      </c>
      <c r="J185" s="2" t="s">
        <v>24</v>
      </c>
      <c r="K185" s="2" t="s">
        <v>23</v>
      </c>
      <c r="L185" s="9"/>
      <c r="M185" s="2" t="s">
        <v>24</v>
      </c>
      <c r="N185" s="2" t="s">
        <v>23</v>
      </c>
      <c r="O185" s="9"/>
      <c r="P185" s="7">
        <v>1</v>
      </c>
      <c r="Q185" s="99" t="s">
        <v>749</v>
      </c>
    </row>
    <row r="186" spans="1:17" ht="15" customHeight="1">
      <c r="A186" s="21">
        <v>1</v>
      </c>
      <c r="B186" s="2" t="s">
        <v>235</v>
      </c>
      <c r="C186" s="21">
        <v>9</v>
      </c>
      <c r="D186" s="2" t="s">
        <v>497</v>
      </c>
      <c r="E186" s="14">
        <v>0</v>
      </c>
      <c r="F186" s="21">
        <v>31</v>
      </c>
      <c r="G186" s="2" t="s">
        <v>750</v>
      </c>
      <c r="H186" s="23" t="s">
        <v>751</v>
      </c>
      <c r="I186" s="101" t="s">
        <v>752</v>
      </c>
      <c r="J186" s="2" t="s">
        <v>24</v>
      </c>
      <c r="K186" s="2" t="s">
        <v>23</v>
      </c>
      <c r="L186" s="2" t="s">
        <v>753</v>
      </c>
      <c r="M186" s="2" t="s">
        <v>24</v>
      </c>
      <c r="N186" s="2" t="s">
        <v>23</v>
      </c>
      <c r="O186" s="2" t="s">
        <v>753</v>
      </c>
      <c r="P186" s="7">
        <v>1</v>
      </c>
      <c r="Q186" s="99" t="s">
        <v>754</v>
      </c>
    </row>
    <row r="187" spans="1:17" ht="15" customHeight="1">
      <c r="A187" s="71">
        <v>1</v>
      </c>
      <c r="B187" s="2" t="s">
        <v>235</v>
      </c>
      <c r="C187" s="71">
        <v>9</v>
      </c>
      <c r="D187" s="2" t="s">
        <v>497</v>
      </c>
      <c r="E187" s="74">
        <v>0</v>
      </c>
      <c r="F187" s="71">
        <v>32</v>
      </c>
      <c r="G187" s="2" t="s">
        <v>755</v>
      </c>
      <c r="H187" s="73" t="s">
        <v>756</v>
      </c>
      <c r="I187" s="100" t="s">
        <v>757</v>
      </c>
      <c r="J187" s="2" t="s">
        <v>24</v>
      </c>
      <c r="K187" s="2" t="s">
        <v>23</v>
      </c>
      <c r="M187" s="2" t="s">
        <v>24</v>
      </c>
      <c r="N187" s="2" t="s">
        <v>23</v>
      </c>
      <c r="O187" s="9"/>
      <c r="P187" s="7">
        <v>0</v>
      </c>
      <c r="Q187" s="99" t="s">
        <v>758</v>
      </c>
    </row>
    <row r="188" spans="1:17" ht="15" customHeight="1">
      <c r="A188" s="71">
        <v>1</v>
      </c>
      <c r="B188" s="2" t="s">
        <v>235</v>
      </c>
      <c r="C188" s="71">
        <v>9</v>
      </c>
      <c r="D188" s="2" t="s">
        <v>497</v>
      </c>
      <c r="E188" s="74">
        <v>0</v>
      </c>
      <c r="F188" s="71">
        <v>33</v>
      </c>
      <c r="G188" s="2" t="s">
        <v>759</v>
      </c>
      <c r="H188" s="73" t="s">
        <v>760</v>
      </c>
      <c r="I188" s="100" t="s">
        <v>761</v>
      </c>
      <c r="J188" s="2" t="s">
        <v>24</v>
      </c>
      <c r="K188" s="2" t="s">
        <v>23</v>
      </c>
      <c r="M188" s="2" t="s">
        <v>24</v>
      </c>
      <c r="N188" s="2" t="s">
        <v>23</v>
      </c>
      <c r="O188" s="9"/>
      <c r="P188" s="7">
        <v>0</v>
      </c>
      <c r="Q188" s="99" t="s">
        <v>762</v>
      </c>
    </row>
    <row r="189" spans="1:17" ht="15" customHeight="1">
      <c r="A189" s="71">
        <v>1</v>
      </c>
      <c r="B189" s="2" t="s">
        <v>235</v>
      </c>
      <c r="C189" s="71">
        <v>9</v>
      </c>
      <c r="D189" s="2" t="s">
        <v>497</v>
      </c>
      <c r="E189" s="74">
        <v>0</v>
      </c>
      <c r="F189" s="71">
        <v>34</v>
      </c>
      <c r="G189" s="2" t="s">
        <v>763</v>
      </c>
      <c r="H189" s="73" t="s">
        <v>764</v>
      </c>
      <c r="I189" s="100" t="s">
        <v>765</v>
      </c>
      <c r="J189" s="2" t="s">
        <v>24</v>
      </c>
      <c r="K189" s="2" t="s">
        <v>23</v>
      </c>
      <c r="M189" s="2" t="s">
        <v>24</v>
      </c>
      <c r="N189" s="2" t="s">
        <v>23</v>
      </c>
      <c r="O189" s="9"/>
      <c r="P189" s="7">
        <v>0</v>
      </c>
      <c r="Q189" s="99" t="s">
        <v>766</v>
      </c>
    </row>
    <row r="190" spans="1:17" ht="15" customHeight="1">
      <c r="A190" s="71">
        <v>1</v>
      </c>
      <c r="B190" s="2" t="s">
        <v>235</v>
      </c>
      <c r="C190" s="71">
        <v>9</v>
      </c>
      <c r="D190" s="2" t="s">
        <v>497</v>
      </c>
      <c r="E190" s="74">
        <v>0</v>
      </c>
      <c r="F190" s="71">
        <v>35</v>
      </c>
      <c r="G190" s="2" t="s">
        <v>767</v>
      </c>
      <c r="H190" s="73" t="s">
        <v>768</v>
      </c>
      <c r="I190" s="100" t="s">
        <v>769</v>
      </c>
      <c r="J190" s="2" t="s">
        <v>23</v>
      </c>
      <c r="K190" s="2" t="s">
        <v>23</v>
      </c>
      <c r="M190" s="2" t="s">
        <v>24</v>
      </c>
      <c r="N190" s="2" t="s">
        <v>23</v>
      </c>
      <c r="O190" s="9"/>
      <c r="P190" s="7">
        <v>0</v>
      </c>
      <c r="Q190" s="99" t="s">
        <v>770</v>
      </c>
    </row>
    <row r="191" spans="1:17" ht="15" customHeight="1">
      <c r="A191" s="71">
        <v>1</v>
      </c>
      <c r="B191" s="2" t="s">
        <v>235</v>
      </c>
      <c r="C191" s="71">
        <v>9</v>
      </c>
      <c r="D191" s="2" t="s">
        <v>497</v>
      </c>
      <c r="E191" s="74">
        <v>0</v>
      </c>
      <c r="F191" s="71">
        <v>36</v>
      </c>
      <c r="G191" s="2" t="s">
        <v>771</v>
      </c>
      <c r="H191" s="73" t="s">
        <v>772</v>
      </c>
      <c r="I191" s="100" t="s">
        <v>773</v>
      </c>
      <c r="J191" s="2" t="s">
        <v>24</v>
      </c>
      <c r="K191" s="2" t="s">
        <v>23</v>
      </c>
      <c r="M191" s="2" t="s">
        <v>24</v>
      </c>
      <c r="N191" s="2" t="s">
        <v>23</v>
      </c>
      <c r="O191" s="9"/>
      <c r="P191" s="7">
        <v>0</v>
      </c>
      <c r="Q191" s="99" t="s">
        <v>774</v>
      </c>
    </row>
    <row r="192" spans="1:17" ht="15" customHeight="1">
      <c r="A192" s="71">
        <v>1</v>
      </c>
      <c r="B192" s="2" t="s">
        <v>235</v>
      </c>
      <c r="C192" s="71">
        <v>9</v>
      </c>
      <c r="D192" s="2" t="s">
        <v>497</v>
      </c>
      <c r="E192" s="74">
        <v>0</v>
      </c>
      <c r="F192" s="71">
        <v>37</v>
      </c>
      <c r="G192" s="2" t="s">
        <v>775</v>
      </c>
      <c r="H192" s="73" t="s">
        <v>776</v>
      </c>
      <c r="I192" s="100" t="s">
        <v>777</v>
      </c>
      <c r="J192" s="2" t="s">
        <v>24</v>
      </c>
      <c r="K192" s="2" t="s">
        <v>23</v>
      </c>
      <c r="M192" s="2" t="s">
        <v>24</v>
      </c>
      <c r="N192" s="2" t="s">
        <v>23</v>
      </c>
      <c r="O192" s="9"/>
      <c r="P192" s="7">
        <v>0</v>
      </c>
      <c r="Q192" s="99" t="s">
        <v>778</v>
      </c>
    </row>
    <row r="193" spans="1:18" ht="15" customHeight="1">
      <c r="A193" s="71">
        <v>1</v>
      </c>
      <c r="B193" s="2" t="s">
        <v>235</v>
      </c>
      <c r="C193" s="71">
        <v>9</v>
      </c>
      <c r="D193" s="2" t="s">
        <v>497</v>
      </c>
      <c r="E193" s="74">
        <v>0</v>
      </c>
      <c r="F193" s="71">
        <v>38</v>
      </c>
      <c r="G193" s="2" t="s">
        <v>779</v>
      </c>
      <c r="H193" s="73" t="s">
        <v>780</v>
      </c>
      <c r="I193" s="100" t="s">
        <v>781</v>
      </c>
      <c r="J193" s="2" t="s">
        <v>24</v>
      </c>
      <c r="K193" s="2" t="s">
        <v>23</v>
      </c>
      <c r="M193" s="2" t="s">
        <v>24</v>
      </c>
      <c r="N193" s="2" t="s">
        <v>23</v>
      </c>
      <c r="O193" s="9"/>
      <c r="P193" s="7">
        <v>0</v>
      </c>
      <c r="Q193" s="99" t="s">
        <v>782</v>
      </c>
    </row>
    <row r="194" spans="1:18" ht="15" customHeight="1">
      <c r="A194" s="71">
        <v>1</v>
      </c>
      <c r="B194" s="2" t="s">
        <v>235</v>
      </c>
      <c r="C194" s="71">
        <v>9</v>
      </c>
      <c r="D194" s="2" t="s">
        <v>497</v>
      </c>
      <c r="E194" s="74">
        <v>0</v>
      </c>
      <c r="F194" s="71">
        <v>39</v>
      </c>
      <c r="G194" s="2" t="s">
        <v>783</v>
      </c>
      <c r="H194" s="73" t="s">
        <v>784</v>
      </c>
      <c r="I194" s="100" t="s">
        <v>785</v>
      </c>
      <c r="J194" s="2" t="s">
        <v>23</v>
      </c>
      <c r="K194" s="2" t="s">
        <v>23</v>
      </c>
      <c r="M194" s="2" t="s">
        <v>24</v>
      </c>
      <c r="N194" s="2" t="s">
        <v>23</v>
      </c>
      <c r="O194" s="9"/>
      <c r="P194" s="7">
        <v>0</v>
      </c>
      <c r="Q194" s="99" t="s">
        <v>786</v>
      </c>
    </row>
    <row r="195" spans="1:18" ht="15" customHeight="1">
      <c r="A195" s="21">
        <v>1</v>
      </c>
      <c r="B195" s="2" t="s">
        <v>235</v>
      </c>
      <c r="C195" s="21">
        <v>9</v>
      </c>
      <c r="D195" s="2" t="s">
        <v>497</v>
      </c>
      <c r="E195" s="14">
        <v>0</v>
      </c>
      <c r="F195" s="21">
        <v>40</v>
      </c>
      <c r="G195" s="2" t="s">
        <v>787</v>
      </c>
      <c r="H195" s="23" t="s">
        <v>788</v>
      </c>
      <c r="I195" s="101" t="s">
        <v>789</v>
      </c>
      <c r="J195" s="2" t="s">
        <v>23</v>
      </c>
      <c r="K195" s="2" t="s">
        <v>23</v>
      </c>
      <c r="M195" s="2" t="s">
        <v>24</v>
      </c>
      <c r="N195" s="2" t="s">
        <v>25</v>
      </c>
      <c r="O195" s="5" t="s">
        <v>308</v>
      </c>
      <c r="P195" s="7">
        <v>1</v>
      </c>
      <c r="Q195" s="99" t="s">
        <v>790</v>
      </c>
    </row>
    <row r="196" spans="1:18" ht="15" customHeight="1">
      <c r="A196" s="21">
        <v>1</v>
      </c>
      <c r="B196" s="2" t="s">
        <v>235</v>
      </c>
      <c r="C196" s="21">
        <v>9</v>
      </c>
      <c r="D196" s="2" t="s">
        <v>497</v>
      </c>
      <c r="E196" s="14">
        <v>0</v>
      </c>
      <c r="F196" s="21">
        <v>41</v>
      </c>
      <c r="G196" s="2" t="s">
        <v>791</v>
      </c>
      <c r="H196" s="23" t="s">
        <v>792</v>
      </c>
      <c r="I196" s="101" t="s">
        <v>793</v>
      </c>
      <c r="J196" s="2" t="s">
        <v>23</v>
      </c>
      <c r="K196" s="2" t="s">
        <v>23</v>
      </c>
      <c r="M196" s="2" t="s">
        <v>24</v>
      </c>
      <c r="N196" s="2" t="s">
        <v>25</v>
      </c>
      <c r="O196" s="5" t="s">
        <v>308</v>
      </c>
      <c r="P196" s="7">
        <v>1</v>
      </c>
      <c r="Q196" s="99" t="s">
        <v>794</v>
      </c>
    </row>
    <row r="197" spans="1:18" ht="15" customHeight="1">
      <c r="A197" s="21">
        <v>1</v>
      </c>
      <c r="B197" s="2" t="s">
        <v>235</v>
      </c>
      <c r="C197" s="21">
        <v>9</v>
      </c>
      <c r="D197" s="2" t="s">
        <v>497</v>
      </c>
      <c r="E197" s="14">
        <v>0</v>
      </c>
      <c r="F197" s="21">
        <v>42</v>
      </c>
      <c r="G197" s="2" t="s">
        <v>795</v>
      </c>
      <c r="H197" s="23" t="s">
        <v>796</v>
      </c>
      <c r="I197" s="101" t="s">
        <v>797</v>
      </c>
      <c r="J197" s="2" t="s">
        <v>23</v>
      </c>
      <c r="K197" s="2" t="s">
        <v>23</v>
      </c>
      <c r="M197" s="2" t="s">
        <v>24</v>
      </c>
      <c r="N197" s="2" t="s">
        <v>116</v>
      </c>
      <c r="O197" s="9" t="s">
        <v>797</v>
      </c>
      <c r="P197" s="7">
        <v>1</v>
      </c>
      <c r="Q197" s="99" t="s">
        <v>798</v>
      </c>
    </row>
    <row r="198" spans="1:18" ht="15" customHeight="1">
      <c r="A198" s="21">
        <v>1</v>
      </c>
      <c r="B198" s="2" t="s">
        <v>235</v>
      </c>
      <c r="C198" s="21">
        <v>9</v>
      </c>
      <c r="D198" s="2" t="s">
        <v>497</v>
      </c>
      <c r="E198" s="14">
        <v>0</v>
      </c>
      <c r="F198" s="21">
        <v>43</v>
      </c>
      <c r="G198" s="2" t="s">
        <v>799</v>
      </c>
      <c r="H198" s="23" t="s">
        <v>800</v>
      </c>
      <c r="I198" s="101" t="s">
        <v>801</v>
      </c>
      <c r="J198" s="2" t="s">
        <v>23</v>
      </c>
      <c r="K198" s="2" t="s">
        <v>23</v>
      </c>
      <c r="M198" s="2" t="s">
        <v>24</v>
      </c>
      <c r="N198" s="2" t="s">
        <v>139</v>
      </c>
      <c r="O198" s="2" t="s">
        <v>802</v>
      </c>
      <c r="P198" s="7">
        <v>1</v>
      </c>
      <c r="Q198" s="106" t="s">
        <v>803</v>
      </c>
      <c r="R198" s="2" t="s">
        <v>804</v>
      </c>
    </row>
    <row r="199" spans="1:18" ht="15" customHeight="1">
      <c r="A199" s="21">
        <v>1</v>
      </c>
      <c r="B199" s="2" t="s">
        <v>235</v>
      </c>
      <c r="C199" s="21">
        <v>9</v>
      </c>
      <c r="D199" s="2" t="s">
        <v>497</v>
      </c>
      <c r="E199" s="14">
        <v>0</v>
      </c>
      <c r="F199" s="21">
        <v>44</v>
      </c>
      <c r="G199" s="2" t="s">
        <v>805</v>
      </c>
      <c r="H199" s="23" t="s">
        <v>806</v>
      </c>
      <c r="I199" s="101" t="s">
        <v>807</v>
      </c>
      <c r="J199" s="2" t="s">
        <v>23</v>
      </c>
      <c r="K199" s="2" t="s">
        <v>23</v>
      </c>
      <c r="M199" s="2" t="s">
        <v>24</v>
      </c>
      <c r="N199" s="2" t="s">
        <v>23</v>
      </c>
      <c r="P199" s="7">
        <v>1</v>
      </c>
      <c r="Q199" s="103" t="s">
        <v>808</v>
      </c>
      <c r="R199" s="2" t="s">
        <v>809</v>
      </c>
    </row>
    <row r="200" spans="1:18" ht="15" customHeight="1">
      <c r="A200" s="21">
        <v>1</v>
      </c>
      <c r="B200" s="2" t="s">
        <v>235</v>
      </c>
      <c r="C200" s="21">
        <v>9</v>
      </c>
      <c r="D200" s="2" t="s">
        <v>497</v>
      </c>
      <c r="E200" s="14">
        <v>0</v>
      </c>
      <c r="F200" s="21">
        <v>45</v>
      </c>
      <c r="G200" s="2" t="s">
        <v>810</v>
      </c>
      <c r="H200" s="23" t="s">
        <v>811</v>
      </c>
      <c r="I200" s="101" t="s">
        <v>812</v>
      </c>
      <c r="J200" s="2" t="s">
        <v>23</v>
      </c>
      <c r="K200" s="2" t="s">
        <v>23</v>
      </c>
      <c r="M200" s="2" t="s">
        <v>24</v>
      </c>
      <c r="N200" s="2" t="s">
        <v>23</v>
      </c>
      <c r="P200" s="7">
        <v>1</v>
      </c>
      <c r="Q200" s="103" t="s">
        <v>813</v>
      </c>
      <c r="R200" s="2" t="s">
        <v>814</v>
      </c>
    </row>
    <row r="201" spans="1:18" ht="15" customHeight="1">
      <c r="A201" s="21">
        <v>1</v>
      </c>
      <c r="B201" s="2" t="s">
        <v>235</v>
      </c>
      <c r="C201" s="21">
        <v>9</v>
      </c>
      <c r="D201" s="2" t="s">
        <v>497</v>
      </c>
      <c r="E201" s="14">
        <v>0</v>
      </c>
      <c r="F201" s="21">
        <v>46</v>
      </c>
      <c r="G201" s="2" t="s">
        <v>815</v>
      </c>
      <c r="H201" s="23" t="s">
        <v>816</v>
      </c>
      <c r="I201" s="101" t="s">
        <v>817</v>
      </c>
      <c r="J201" s="2" t="s">
        <v>23</v>
      </c>
      <c r="K201" s="2" t="s">
        <v>23</v>
      </c>
      <c r="M201" s="2" t="s">
        <v>24</v>
      </c>
      <c r="N201" s="2" t="s">
        <v>23</v>
      </c>
      <c r="P201" s="7">
        <v>1</v>
      </c>
      <c r="Q201" s="103" t="s">
        <v>818</v>
      </c>
      <c r="R201" s="2" t="s">
        <v>818</v>
      </c>
    </row>
    <row r="202" spans="1:18" ht="15" customHeight="1">
      <c r="A202" s="21">
        <v>1</v>
      </c>
      <c r="B202" s="2" t="s">
        <v>235</v>
      </c>
      <c r="C202" s="21">
        <v>9</v>
      </c>
      <c r="D202" s="2" t="s">
        <v>497</v>
      </c>
      <c r="E202" s="14">
        <v>0</v>
      </c>
      <c r="F202" s="21">
        <v>47</v>
      </c>
      <c r="G202" s="2" t="s">
        <v>819</v>
      </c>
      <c r="H202" s="23" t="s">
        <v>820</v>
      </c>
      <c r="I202" s="101" t="s">
        <v>821</v>
      </c>
      <c r="J202" s="2" t="s">
        <v>23</v>
      </c>
      <c r="K202" s="2" t="s">
        <v>23</v>
      </c>
      <c r="M202" s="2" t="s">
        <v>24</v>
      </c>
      <c r="N202" s="2" t="s">
        <v>23</v>
      </c>
      <c r="P202" s="7">
        <v>1</v>
      </c>
      <c r="Q202" s="103" t="s">
        <v>822</v>
      </c>
      <c r="R202" s="2" t="s">
        <v>822</v>
      </c>
    </row>
    <row r="203" spans="1:18" ht="15" customHeight="1">
      <c r="A203" s="21">
        <v>1</v>
      </c>
      <c r="B203" s="2" t="s">
        <v>235</v>
      </c>
      <c r="C203" s="21">
        <v>10</v>
      </c>
      <c r="D203" s="2" t="s">
        <v>823</v>
      </c>
      <c r="E203" s="14">
        <v>0</v>
      </c>
      <c r="F203" s="21">
        <v>0</v>
      </c>
      <c r="G203" s="2" t="s">
        <v>20</v>
      </c>
      <c r="H203" s="23" t="s">
        <v>824</v>
      </c>
      <c r="I203" s="34" t="s">
        <v>825</v>
      </c>
      <c r="J203" s="2" t="s">
        <v>23</v>
      </c>
      <c r="K203" s="2" t="s">
        <v>23</v>
      </c>
      <c r="M203" s="2" t="s">
        <v>24</v>
      </c>
      <c r="N203" s="2" t="s">
        <v>25</v>
      </c>
      <c r="O203" s="5" t="s">
        <v>26</v>
      </c>
      <c r="P203" s="7">
        <v>1</v>
      </c>
      <c r="Q203" s="1" t="s">
        <v>826</v>
      </c>
    </row>
    <row r="204" spans="1:18" ht="15" customHeight="1">
      <c r="A204" s="21">
        <v>1</v>
      </c>
      <c r="B204" s="2" t="s">
        <v>235</v>
      </c>
      <c r="C204" s="21">
        <v>10</v>
      </c>
      <c r="D204" s="2" t="s">
        <v>823</v>
      </c>
      <c r="E204" s="14">
        <v>0</v>
      </c>
      <c r="F204" s="21">
        <v>1</v>
      </c>
      <c r="G204" s="2" t="s">
        <v>314</v>
      </c>
      <c r="H204" s="23" t="s">
        <v>827</v>
      </c>
      <c r="I204" s="101" t="s">
        <v>828</v>
      </c>
      <c r="J204" s="2" t="s">
        <v>24</v>
      </c>
      <c r="K204" s="2" t="s">
        <v>116</v>
      </c>
      <c r="L204" s="9" t="s">
        <v>828</v>
      </c>
      <c r="M204" s="2" t="s">
        <v>24</v>
      </c>
      <c r="N204" s="2" t="s">
        <v>116</v>
      </c>
      <c r="O204" s="9" t="s">
        <v>828</v>
      </c>
      <c r="P204" s="7">
        <v>1</v>
      </c>
      <c r="Q204" s="99" t="s">
        <v>317</v>
      </c>
    </row>
    <row r="205" spans="1:18" ht="15" customHeight="1">
      <c r="A205" s="21">
        <v>1</v>
      </c>
      <c r="B205" s="2" t="s">
        <v>235</v>
      </c>
      <c r="C205" s="21">
        <v>10</v>
      </c>
      <c r="D205" s="2" t="s">
        <v>823</v>
      </c>
      <c r="E205" s="14">
        <v>0</v>
      </c>
      <c r="F205" s="21">
        <v>2</v>
      </c>
      <c r="G205" s="2" t="s">
        <v>579</v>
      </c>
      <c r="H205" s="23" t="s">
        <v>829</v>
      </c>
      <c r="I205" s="101" t="s">
        <v>830</v>
      </c>
      <c r="J205" s="2" t="s">
        <v>24</v>
      </c>
      <c r="K205" s="2" t="s">
        <v>206</v>
      </c>
      <c r="L205" s="2" t="s">
        <v>831</v>
      </c>
      <c r="M205" s="2" t="s">
        <v>24</v>
      </c>
      <c r="N205" s="2" t="s">
        <v>206</v>
      </c>
      <c r="O205" s="2" t="s">
        <v>831</v>
      </c>
      <c r="P205" s="7">
        <v>1</v>
      </c>
      <c r="Q205" s="99" t="s">
        <v>832</v>
      </c>
    </row>
    <row r="206" spans="1:18" ht="15" customHeight="1">
      <c r="A206" s="21">
        <v>1</v>
      </c>
      <c r="B206" s="2" t="s">
        <v>235</v>
      </c>
      <c r="C206" s="21">
        <v>10</v>
      </c>
      <c r="D206" s="2" t="s">
        <v>823</v>
      </c>
      <c r="E206" s="14">
        <v>0</v>
      </c>
      <c r="F206" s="21">
        <v>3</v>
      </c>
      <c r="G206" s="2" t="s">
        <v>493</v>
      </c>
      <c r="H206" s="23" t="s">
        <v>833</v>
      </c>
      <c r="I206" s="101" t="s">
        <v>834</v>
      </c>
      <c r="J206" s="2" t="s">
        <v>23</v>
      </c>
      <c r="K206" s="2" t="s">
        <v>23</v>
      </c>
      <c r="M206" s="2" t="s">
        <v>24</v>
      </c>
      <c r="N206" s="2" t="s">
        <v>25</v>
      </c>
      <c r="O206" s="2" t="s">
        <v>835</v>
      </c>
      <c r="P206" s="7">
        <v>1</v>
      </c>
      <c r="Q206" s="99" t="s">
        <v>836</v>
      </c>
    </row>
    <row r="207" spans="1:18" ht="15" customHeight="1">
      <c r="A207" s="21">
        <v>1</v>
      </c>
      <c r="B207" s="2" t="s">
        <v>235</v>
      </c>
      <c r="C207" s="21">
        <v>10</v>
      </c>
      <c r="D207" s="2" t="s">
        <v>823</v>
      </c>
      <c r="E207" s="14">
        <v>0</v>
      </c>
      <c r="F207" s="21">
        <v>4</v>
      </c>
      <c r="G207" s="2" t="s">
        <v>837</v>
      </c>
      <c r="H207" s="23" t="s">
        <v>838</v>
      </c>
      <c r="I207" s="101" t="s">
        <v>839</v>
      </c>
      <c r="J207" s="2" t="s">
        <v>23</v>
      </c>
      <c r="K207" s="2" t="s">
        <v>23</v>
      </c>
      <c r="M207" s="2" t="s">
        <v>24</v>
      </c>
      <c r="N207" s="2" t="s">
        <v>25</v>
      </c>
      <c r="O207" s="2" t="s">
        <v>840</v>
      </c>
      <c r="P207" s="7">
        <v>1</v>
      </c>
      <c r="Q207" s="99" t="s">
        <v>841</v>
      </c>
    </row>
    <row r="208" spans="1:18" ht="15" customHeight="1">
      <c r="A208" s="21">
        <v>1</v>
      </c>
      <c r="B208" s="2" t="s">
        <v>235</v>
      </c>
      <c r="C208" s="21">
        <v>10</v>
      </c>
      <c r="D208" s="2" t="s">
        <v>823</v>
      </c>
      <c r="E208" s="14">
        <v>0</v>
      </c>
      <c r="F208" s="21">
        <v>5</v>
      </c>
      <c r="G208" s="2" t="s">
        <v>683</v>
      </c>
      <c r="H208" s="23" t="s">
        <v>842</v>
      </c>
      <c r="I208" s="101" t="s">
        <v>843</v>
      </c>
      <c r="J208" s="2" t="s">
        <v>23</v>
      </c>
      <c r="K208" s="2" t="s">
        <v>23</v>
      </c>
      <c r="M208" s="2" t="s">
        <v>24</v>
      </c>
      <c r="N208" s="2" t="s">
        <v>25</v>
      </c>
      <c r="P208" s="7">
        <v>1</v>
      </c>
      <c r="Q208" s="99" t="s">
        <v>686</v>
      </c>
    </row>
    <row r="209" spans="1:18" ht="15" customHeight="1">
      <c r="A209" s="21">
        <v>1</v>
      </c>
      <c r="B209" s="2" t="s">
        <v>235</v>
      </c>
      <c r="C209" s="21">
        <v>11</v>
      </c>
      <c r="D209" s="2" t="s">
        <v>844</v>
      </c>
      <c r="E209" s="14">
        <v>0</v>
      </c>
      <c r="F209" s="21">
        <v>0</v>
      </c>
      <c r="G209" s="2" t="s">
        <v>20</v>
      </c>
      <c r="H209" s="23" t="s">
        <v>845</v>
      </c>
      <c r="I209" s="34" t="s">
        <v>846</v>
      </c>
      <c r="J209" s="2" t="s">
        <v>23</v>
      </c>
      <c r="K209" s="2" t="s">
        <v>23</v>
      </c>
      <c r="M209" s="2" t="s">
        <v>24</v>
      </c>
      <c r="N209" s="2" t="s">
        <v>25</v>
      </c>
      <c r="O209" s="5" t="s">
        <v>26</v>
      </c>
      <c r="P209" s="7">
        <v>1</v>
      </c>
      <c r="Q209" s="1" t="s">
        <v>847</v>
      </c>
    </row>
    <row r="210" spans="1:18" ht="15" customHeight="1">
      <c r="A210" s="21">
        <v>1</v>
      </c>
      <c r="B210" s="2" t="s">
        <v>235</v>
      </c>
      <c r="C210" s="21">
        <v>11</v>
      </c>
      <c r="D210" s="2" t="s">
        <v>844</v>
      </c>
      <c r="E210" s="14">
        <v>0</v>
      </c>
      <c r="F210" s="21">
        <v>1</v>
      </c>
      <c r="G210" s="2" t="s">
        <v>342</v>
      </c>
      <c r="H210" s="23" t="s">
        <v>848</v>
      </c>
      <c r="I210" s="101" t="s">
        <v>849</v>
      </c>
      <c r="J210" s="2" t="s">
        <v>23</v>
      </c>
      <c r="K210" s="2" t="s">
        <v>23</v>
      </c>
      <c r="M210" s="2" t="s">
        <v>24</v>
      </c>
      <c r="N210" s="2" t="s">
        <v>116</v>
      </c>
      <c r="O210" s="12" t="s">
        <v>849</v>
      </c>
      <c r="P210" s="7">
        <v>1</v>
      </c>
      <c r="Q210" s="99" t="s">
        <v>345</v>
      </c>
    </row>
    <row r="211" spans="1:18" ht="15" customHeight="1">
      <c r="A211" s="21">
        <v>1</v>
      </c>
      <c r="B211" s="2" t="s">
        <v>235</v>
      </c>
      <c r="C211" s="21">
        <v>11</v>
      </c>
      <c r="D211" s="2" t="s">
        <v>844</v>
      </c>
      <c r="E211" s="14">
        <v>0</v>
      </c>
      <c r="F211" s="21">
        <v>2</v>
      </c>
      <c r="G211" s="2" t="s">
        <v>595</v>
      </c>
      <c r="H211" s="23" t="s">
        <v>850</v>
      </c>
      <c r="I211" s="101" t="s">
        <v>851</v>
      </c>
      <c r="J211" s="2" t="s">
        <v>23</v>
      </c>
      <c r="K211" s="2" t="s">
        <v>23</v>
      </c>
      <c r="M211" s="2" t="s">
        <v>24</v>
      </c>
      <c r="N211" s="2" t="s">
        <v>116</v>
      </c>
      <c r="O211" s="9" t="s">
        <v>851</v>
      </c>
      <c r="P211" s="7">
        <v>1</v>
      </c>
      <c r="Q211" s="99" t="s">
        <v>852</v>
      </c>
      <c r="R211" s="2" t="s">
        <v>853</v>
      </c>
    </row>
    <row r="212" spans="1:18" ht="15" customHeight="1">
      <c r="A212" s="21">
        <v>1</v>
      </c>
      <c r="B212" s="2" t="s">
        <v>235</v>
      </c>
      <c r="C212" s="21">
        <v>11</v>
      </c>
      <c r="D212" s="2" t="s">
        <v>844</v>
      </c>
      <c r="E212" s="14">
        <v>0</v>
      </c>
      <c r="F212" s="21">
        <v>3</v>
      </c>
      <c r="G212" s="2" t="s">
        <v>854</v>
      </c>
      <c r="H212" s="23" t="s">
        <v>855</v>
      </c>
      <c r="I212" s="101" t="s">
        <v>856</v>
      </c>
      <c r="J212" s="2" t="s">
        <v>23</v>
      </c>
      <c r="K212" s="2" t="s">
        <v>23</v>
      </c>
      <c r="M212" s="2" t="s">
        <v>24</v>
      </c>
      <c r="N212" s="2" t="s">
        <v>116</v>
      </c>
      <c r="O212" s="9" t="s">
        <v>856</v>
      </c>
      <c r="P212" s="7">
        <v>1</v>
      </c>
      <c r="Q212" s="99" t="s">
        <v>857</v>
      </c>
      <c r="R212" s="2" t="s">
        <v>858</v>
      </c>
    </row>
    <row r="213" spans="1:18" ht="15" customHeight="1">
      <c r="A213" s="21">
        <v>1</v>
      </c>
      <c r="B213" s="2" t="s">
        <v>235</v>
      </c>
      <c r="C213" s="21">
        <v>11</v>
      </c>
      <c r="D213" s="2" t="s">
        <v>844</v>
      </c>
      <c r="E213" s="14">
        <v>0</v>
      </c>
      <c r="F213" s="21">
        <v>4</v>
      </c>
      <c r="G213" s="2" t="s">
        <v>859</v>
      </c>
      <c r="H213" s="23" t="s">
        <v>860</v>
      </c>
      <c r="I213" s="101" t="s">
        <v>861</v>
      </c>
      <c r="J213" s="2" t="s">
        <v>23</v>
      </c>
      <c r="K213" s="2" t="s">
        <v>23</v>
      </c>
      <c r="M213" s="2" t="s">
        <v>24</v>
      </c>
      <c r="N213" s="2" t="s">
        <v>862</v>
      </c>
      <c r="O213" s="6"/>
      <c r="P213" s="7">
        <v>1</v>
      </c>
      <c r="Q213" s="99" t="s">
        <v>863</v>
      </c>
    </row>
    <row r="214" spans="1:18" ht="15" customHeight="1">
      <c r="A214" s="21">
        <v>1</v>
      </c>
      <c r="B214" s="2" t="s">
        <v>235</v>
      </c>
      <c r="C214" s="21">
        <v>11</v>
      </c>
      <c r="D214" s="2" t="s">
        <v>844</v>
      </c>
      <c r="E214" s="14">
        <v>0</v>
      </c>
      <c r="F214" s="21">
        <v>5</v>
      </c>
      <c r="G214" s="2" t="s">
        <v>864</v>
      </c>
      <c r="H214" s="23" t="s">
        <v>865</v>
      </c>
      <c r="I214" s="101" t="s">
        <v>866</v>
      </c>
      <c r="J214" s="2" t="s">
        <v>23</v>
      </c>
      <c r="K214" s="2" t="s">
        <v>23</v>
      </c>
      <c r="M214" s="2" t="s">
        <v>24</v>
      </c>
      <c r="N214" s="2" t="s">
        <v>862</v>
      </c>
      <c r="O214" s="6"/>
      <c r="P214" s="7">
        <v>1</v>
      </c>
      <c r="Q214" s="99" t="s">
        <v>867</v>
      </c>
    </row>
    <row r="215" spans="1:18" ht="15" customHeight="1">
      <c r="A215" s="21">
        <v>1</v>
      </c>
      <c r="B215" s="2" t="s">
        <v>235</v>
      </c>
      <c r="C215" s="21">
        <v>11</v>
      </c>
      <c r="D215" s="2" t="s">
        <v>844</v>
      </c>
      <c r="E215" s="14">
        <v>0</v>
      </c>
      <c r="F215" s="21">
        <v>6</v>
      </c>
      <c r="G215" s="2" t="s">
        <v>868</v>
      </c>
      <c r="H215" s="23" t="s">
        <v>869</v>
      </c>
      <c r="I215" s="101" t="s">
        <v>870</v>
      </c>
      <c r="J215" s="2" t="s">
        <v>23</v>
      </c>
      <c r="K215" s="2" t="s">
        <v>23</v>
      </c>
      <c r="M215" s="2" t="s">
        <v>24</v>
      </c>
      <c r="N215" s="2" t="s">
        <v>116</v>
      </c>
      <c r="O215" s="9" t="s">
        <v>870</v>
      </c>
      <c r="P215" s="7">
        <v>1</v>
      </c>
      <c r="Q215" s="99" t="s">
        <v>871</v>
      </c>
    </row>
    <row r="216" spans="1:18" ht="15" customHeight="1">
      <c r="A216" s="21">
        <v>1</v>
      </c>
      <c r="B216" s="2" t="s">
        <v>235</v>
      </c>
      <c r="C216" s="21">
        <v>12</v>
      </c>
      <c r="D216" s="2" t="s">
        <v>872</v>
      </c>
      <c r="E216" s="14">
        <v>0</v>
      </c>
      <c r="F216" s="21">
        <v>0</v>
      </c>
      <c r="G216" s="2" t="s">
        <v>20</v>
      </c>
      <c r="H216" s="23" t="s">
        <v>873</v>
      </c>
      <c r="I216" s="34" t="s">
        <v>874</v>
      </c>
      <c r="J216" s="2" t="s">
        <v>23</v>
      </c>
      <c r="K216" s="2" t="s">
        <v>23</v>
      </c>
      <c r="M216" s="2" t="s">
        <v>24</v>
      </c>
      <c r="N216" s="2" t="s">
        <v>25</v>
      </c>
      <c r="O216" s="5" t="s">
        <v>26</v>
      </c>
      <c r="P216" s="7">
        <v>1</v>
      </c>
      <c r="Q216" s="1" t="s">
        <v>875</v>
      </c>
    </row>
    <row r="217" spans="1:18" ht="15" customHeight="1">
      <c r="A217" s="21">
        <v>1</v>
      </c>
      <c r="B217" s="2" t="s">
        <v>235</v>
      </c>
      <c r="C217" s="21">
        <v>12</v>
      </c>
      <c r="D217" s="2" t="s">
        <v>872</v>
      </c>
      <c r="E217" s="14">
        <v>0</v>
      </c>
      <c r="F217" s="21">
        <v>1</v>
      </c>
      <c r="G217" s="2" t="s">
        <v>92</v>
      </c>
      <c r="H217" s="23" t="s">
        <v>876</v>
      </c>
      <c r="I217" s="101" t="s">
        <v>877</v>
      </c>
      <c r="J217" s="2" t="s">
        <v>38</v>
      </c>
      <c r="K217" s="2" t="s">
        <v>23</v>
      </c>
      <c r="M217" s="2" t="s">
        <v>38</v>
      </c>
      <c r="N217" s="2" t="s">
        <v>23</v>
      </c>
      <c r="O217" s="9"/>
      <c r="P217" s="7">
        <v>1</v>
      </c>
      <c r="Q217" s="99" t="s">
        <v>95</v>
      </c>
    </row>
    <row r="218" spans="1:18" ht="15" customHeight="1">
      <c r="A218" s="21">
        <v>1</v>
      </c>
      <c r="B218" s="2" t="s">
        <v>235</v>
      </c>
      <c r="C218" s="21">
        <v>12</v>
      </c>
      <c r="D218" s="2" t="s">
        <v>872</v>
      </c>
      <c r="E218" s="14">
        <v>0</v>
      </c>
      <c r="F218" s="21">
        <v>2</v>
      </c>
      <c r="G218" s="2" t="s">
        <v>96</v>
      </c>
      <c r="H218" s="23" t="s">
        <v>878</v>
      </c>
      <c r="I218" s="101" t="s">
        <v>879</v>
      </c>
      <c r="J218" s="2" t="s">
        <v>38</v>
      </c>
      <c r="K218" s="2" t="s">
        <v>23</v>
      </c>
      <c r="M218" s="2" t="s">
        <v>38</v>
      </c>
      <c r="N218" s="2" t="s">
        <v>23</v>
      </c>
      <c r="O218" s="9"/>
      <c r="P218" s="7">
        <v>1</v>
      </c>
      <c r="Q218" s="99" t="s">
        <v>99</v>
      </c>
    </row>
    <row r="219" spans="1:18" ht="15" customHeight="1">
      <c r="A219" s="21">
        <v>1</v>
      </c>
      <c r="B219" s="2" t="s">
        <v>235</v>
      </c>
      <c r="C219" s="21">
        <v>12</v>
      </c>
      <c r="D219" s="2" t="s">
        <v>872</v>
      </c>
      <c r="E219" s="14">
        <v>0</v>
      </c>
      <c r="F219" s="21">
        <v>3</v>
      </c>
      <c r="G219" s="2" t="s">
        <v>100</v>
      </c>
      <c r="H219" s="23" t="s">
        <v>880</v>
      </c>
      <c r="I219" s="101" t="s">
        <v>881</v>
      </c>
      <c r="J219" s="2" t="s">
        <v>38</v>
      </c>
      <c r="K219" s="2" t="s">
        <v>23</v>
      </c>
      <c r="M219" s="2" t="s">
        <v>38</v>
      </c>
      <c r="N219" s="2" t="s">
        <v>23</v>
      </c>
      <c r="O219" s="9"/>
      <c r="P219" s="7">
        <v>1</v>
      </c>
      <c r="Q219" s="99" t="s">
        <v>103</v>
      </c>
    </row>
    <row r="220" spans="1:18" ht="15" customHeight="1">
      <c r="A220" s="21">
        <v>1</v>
      </c>
      <c r="B220" s="2" t="s">
        <v>235</v>
      </c>
      <c r="C220" s="21">
        <v>12</v>
      </c>
      <c r="D220" s="2" t="s">
        <v>872</v>
      </c>
      <c r="E220" s="14">
        <v>0</v>
      </c>
      <c r="F220" s="21">
        <v>4</v>
      </c>
      <c r="G220" s="2" t="s">
        <v>882</v>
      </c>
      <c r="H220" s="23" t="s">
        <v>883</v>
      </c>
      <c r="I220" s="101" t="s">
        <v>884</v>
      </c>
      <c r="J220" s="2" t="s">
        <v>23</v>
      </c>
      <c r="K220" s="2" t="s">
        <v>23</v>
      </c>
      <c r="M220" s="2" t="s">
        <v>38</v>
      </c>
      <c r="N220" s="2" t="s">
        <v>23</v>
      </c>
      <c r="O220" s="9"/>
      <c r="P220" s="7">
        <v>1</v>
      </c>
      <c r="Q220" s="99" t="s">
        <v>885</v>
      </c>
    </row>
    <row r="221" spans="1:18" ht="15" customHeight="1">
      <c r="A221" s="21">
        <v>1</v>
      </c>
      <c r="B221" s="2" t="s">
        <v>235</v>
      </c>
      <c r="C221" s="21">
        <v>12</v>
      </c>
      <c r="D221" s="2" t="s">
        <v>872</v>
      </c>
      <c r="E221" s="14">
        <v>0</v>
      </c>
      <c r="F221" s="21">
        <v>5</v>
      </c>
      <c r="G221" s="2" t="s">
        <v>305</v>
      </c>
      <c r="H221" s="23" t="s">
        <v>886</v>
      </c>
      <c r="I221" s="101" t="s">
        <v>887</v>
      </c>
      <c r="J221" s="2" t="s">
        <v>24</v>
      </c>
      <c r="K221" s="2" t="s">
        <v>25</v>
      </c>
      <c r="M221" s="2" t="s">
        <v>24</v>
      </c>
      <c r="N221" s="2" t="s">
        <v>25</v>
      </c>
      <c r="O221" s="9"/>
      <c r="P221" s="7">
        <v>1</v>
      </c>
      <c r="Q221" s="99" t="s">
        <v>888</v>
      </c>
    </row>
    <row r="222" spans="1:18" ht="15" customHeight="1">
      <c r="A222" s="21">
        <v>1</v>
      </c>
      <c r="B222" s="2" t="s">
        <v>235</v>
      </c>
      <c r="C222" s="21">
        <v>12</v>
      </c>
      <c r="D222" s="2" t="s">
        <v>872</v>
      </c>
      <c r="E222" s="14">
        <v>0</v>
      </c>
      <c r="F222" s="21">
        <v>6</v>
      </c>
      <c r="G222" s="2" t="s">
        <v>889</v>
      </c>
      <c r="H222" s="23" t="s">
        <v>890</v>
      </c>
      <c r="I222" s="101" t="s">
        <v>891</v>
      </c>
      <c r="J222" s="2" t="s">
        <v>24</v>
      </c>
      <c r="K222" s="2" t="s">
        <v>139</v>
      </c>
      <c r="M222" s="2" t="s">
        <v>24</v>
      </c>
      <c r="N222" s="2" t="s">
        <v>139</v>
      </c>
      <c r="O222" s="2" t="s">
        <v>892</v>
      </c>
      <c r="P222" s="7">
        <v>1</v>
      </c>
      <c r="Q222" s="99" t="s">
        <v>893</v>
      </c>
    </row>
    <row r="223" spans="1:18" ht="15" customHeight="1">
      <c r="A223" s="21">
        <v>1</v>
      </c>
      <c r="B223" s="2" t="s">
        <v>235</v>
      </c>
      <c r="C223" s="21">
        <v>12</v>
      </c>
      <c r="D223" s="2" t="s">
        <v>872</v>
      </c>
      <c r="E223" s="14">
        <v>0</v>
      </c>
      <c r="F223" s="21">
        <v>7</v>
      </c>
      <c r="G223" s="2" t="s">
        <v>894</v>
      </c>
      <c r="H223" s="23" t="s">
        <v>895</v>
      </c>
      <c r="I223" s="101" t="s">
        <v>896</v>
      </c>
      <c r="J223" s="2" t="s">
        <v>24</v>
      </c>
      <c r="K223" s="2" t="s">
        <v>139</v>
      </c>
      <c r="M223" s="2" t="s">
        <v>24</v>
      </c>
      <c r="N223" s="2" t="s">
        <v>139</v>
      </c>
      <c r="O223" s="13" t="s">
        <v>897</v>
      </c>
      <c r="P223" s="7">
        <v>1</v>
      </c>
      <c r="Q223" s="99" t="s">
        <v>898</v>
      </c>
    </row>
    <row r="224" spans="1:18" ht="15" customHeight="1">
      <c r="A224" s="21">
        <v>1</v>
      </c>
      <c r="B224" s="2" t="s">
        <v>235</v>
      </c>
      <c r="C224" s="21">
        <v>12</v>
      </c>
      <c r="D224" s="2" t="s">
        <v>872</v>
      </c>
      <c r="E224" s="14">
        <v>0</v>
      </c>
      <c r="F224" s="21">
        <v>8</v>
      </c>
      <c r="G224" s="2" t="s">
        <v>346</v>
      </c>
      <c r="H224" s="23" t="s">
        <v>899</v>
      </c>
      <c r="I224" s="101" t="s">
        <v>900</v>
      </c>
      <c r="J224" s="2" t="s">
        <v>23</v>
      </c>
      <c r="K224" s="2" t="s">
        <v>23</v>
      </c>
      <c r="M224" s="2" t="s">
        <v>24</v>
      </c>
      <c r="N224" s="2" t="s">
        <v>139</v>
      </c>
      <c r="P224" s="7">
        <v>1</v>
      </c>
      <c r="Q224" s="99" t="s">
        <v>901</v>
      </c>
    </row>
    <row r="225" spans="1:18" ht="15" customHeight="1">
      <c r="A225" s="21">
        <v>1</v>
      </c>
      <c r="B225" s="2" t="s">
        <v>235</v>
      </c>
      <c r="C225" s="21">
        <v>12</v>
      </c>
      <c r="D225" s="2" t="s">
        <v>872</v>
      </c>
      <c r="E225" s="14">
        <v>0</v>
      </c>
      <c r="F225" s="21">
        <v>9</v>
      </c>
      <c r="G225" s="2" t="s">
        <v>467</v>
      </c>
      <c r="H225" s="23" t="s">
        <v>902</v>
      </c>
      <c r="I225" s="101" t="s">
        <v>903</v>
      </c>
      <c r="J225" s="2" t="s">
        <v>23</v>
      </c>
      <c r="K225" s="2" t="s">
        <v>23</v>
      </c>
      <c r="M225" s="2" t="s">
        <v>24</v>
      </c>
      <c r="N225" s="2" t="s">
        <v>139</v>
      </c>
      <c r="P225" s="7">
        <v>1</v>
      </c>
      <c r="Q225" s="99" t="s">
        <v>904</v>
      </c>
    </row>
    <row r="226" spans="1:18" ht="15" customHeight="1">
      <c r="A226" s="21">
        <v>1</v>
      </c>
      <c r="B226" s="2" t="s">
        <v>235</v>
      </c>
      <c r="C226" s="21">
        <v>12</v>
      </c>
      <c r="D226" s="2" t="s">
        <v>872</v>
      </c>
      <c r="E226" s="14">
        <v>0</v>
      </c>
      <c r="F226" s="21">
        <v>10</v>
      </c>
      <c r="G226" s="2" t="s">
        <v>905</v>
      </c>
      <c r="H226" s="23" t="s">
        <v>906</v>
      </c>
      <c r="I226" s="101" t="s">
        <v>907</v>
      </c>
      <c r="J226" s="2" t="s">
        <v>23</v>
      </c>
      <c r="K226" s="2" t="s">
        <v>23</v>
      </c>
      <c r="M226" s="2" t="s">
        <v>24</v>
      </c>
      <c r="N226" s="2" t="s">
        <v>25</v>
      </c>
      <c r="O226" s="2" t="s">
        <v>908</v>
      </c>
      <c r="P226" s="7">
        <v>1</v>
      </c>
      <c r="Q226" s="99" t="s">
        <v>909</v>
      </c>
    </row>
    <row r="227" spans="1:18" ht="15" customHeight="1">
      <c r="A227" s="21">
        <v>1</v>
      </c>
      <c r="B227" s="2" t="s">
        <v>235</v>
      </c>
      <c r="C227" s="21">
        <v>12</v>
      </c>
      <c r="D227" s="2" t="s">
        <v>872</v>
      </c>
      <c r="E227" s="14">
        <v>0</v>
      </c>
      <c r="F227" s="21">
        <v>11</v>
      </c>
      <c r="G227" s="2" t="s">
        <v>910</v>
      </c>
      <c r="H227" s="23" t="s">
        <v>911</v>
      </c>
      <c r="I227" s="101" t="s">
        <v>912</v>
      </c>
      <c r="J227" s="2" t="s">
        <v>23</v>
      </c>
      <c r="K227" s="2" t="s">
        <v>23</v>
      </c>
      <c r="M227" s="2" t="s">
        <v>24</v>
      </c>
      <c r="N227" s="2" t="s">
        <v>25</v>
      </c>
      <c r="O227" s="2" t="s">
        <v>908</v>
      </c>
      <c r="P227" s="7">
        <v>1</v>
      </c>
      <c r="Q227" s="99" t="s">
        <v>913</v>
      </c>
    </row>
    <row r="228" spans="1:18" ht="15" customHeight="1">
      <c r="A228" s="21">
        <v>1</v>
      </c>
      <c r="B228" s="2" t="s">
        <v>235</v>
      </c>
      <c r="C228" s="21">
        <v>12</v>
      </c>
      <c r="D228" s="2" t="s">
        <v>872</v>
      </c>
      <c r="E228" s="14">
        <v>0</v>
      </c>
      <c r="F228" s="21">
        <v>12</v>
      </c>
      <c r="G228" s="2" t="s">
        <v>914</v>
      </c>
      <c r="H228" s="23" t="s">
        <v>915</v>
      </c>
      <c r="I228" s="101" t="s">
        <v>916</v>
      </c>
      <c r="J228" s="2" t="s">
        <v>24</v>
      </c>
      <c r="K228" s="2" t="s">
        <v>25</v>
      </c>
      <c r="M228" s="2" t="s">
        <v>24</v>
      </c>
      <c r="N228" s="2" t="s">
        <v>25</v>
      </c>
      <c r="O228" s="2" t="s">
        <v>917</v>
      </c>
      <c r="P228" s="7">
        <v>1</v>
      </c>
      <c r="Q228" s="99" t="s">
        <v>918</v>
      </c>
    </row>
    <row r="229" spans="1:18" ht="15" customHeight="1">
      <c r="A229" s="21">
        <v>1</v>
      </c>
      <c r="B229" s="2" t="s">
        <v>235</v>
      </c>
      <c r="C229" s="21">
        <v>12</v>
      </c>
      <c r="D229" s="2" t="s">
        <v>872</v>
      </c>
      <c r="E229" s="14">
        <v>0</v>
      </c>
      <c r="F229" s="21">
        <v>13</v>
      </c>
      <c r="G229" s="2" t="s">
        <v>919</v>
      </c>
      <c r="H229" s="23" t="s">
        <v>920</v>
      </c>
      <c r="I229" s="101" t="s">
        <v>921</v>
      </c>
      <c r="J229" s="2" t="s">
        <v>24</v>
      </c>
      <c r="K229" s="2" t="s">
        <v>25</v>
      </c>
      <c r="M229" s="2" t="s">
        <v>24</v>
      </c>
      <c r="N229" s="2" t="s">
        <v>25</v>
      </c>
      <c r="O229" s="2" t="s">
        <v>917</v>
      </c>
      <c r="P229" s="7">
        <v>1</v>
      </c>
      <c r="Q229" s="99" t="s">
        <v>922</v>
      </c>
    </row>
    <row r="230" spans="1:18" ht="15" customHeight="1">
      <c r="A230" s="21">
        <v>1</v>
      </c>
      <c r="B230" s="2" t="s">
        <v>235</v>
      </c>
      <c r="C230" s="21">
        <v>12</v>
      </c>
      <c r="D230" s="2" t="s">
        <v>872</v>
      </c>
      <c r="E230" s="14">
        <v>0</v>
      </c>
      <c r="F230" s="21">
        <v>14</v>
      </c>
      <c r="G230" s="2" t="s">
        <v>625</v>
      </c>
      <c r="H230" s="23" t="s">
        <v>923</v>
      </c>
      <c r="I230" s="101" t="s">
        <v>924</v>
      </c>
      <c r="J230" s="2" t="s">
        <v>23</v>
      </c>
      <c r="K230" s="2" t="s">
        <v>23</v>
      </c>
      <c r="M230" s="2" t="s">
        <v>24</v>
      </c>
      <c r="N230" s="2" t="s">
        <v>23</v>
      </c>
      <c r="O230" s="2" t="s">
        <v>925</v>
      </c>
      <c r="P230" s="7">
        <v>1</v>
      </c>
      <c r="Q230" s="99" t="s">
        <v>686</v>
      </c>
    </row>
    <row r="231" spans="1:18" ht="15" customHeight="1">
      <c r="A231" s="21">
        <v>1</v>
      </c>
      <c r="B231" s="2" t="s">
        <v>235</v>
      </c>
      <c r="C231" s="21">
        <v>12</v>
      </c>
      <c r="D231" s="2" t="s">
        <v>872</v>
      </c>
      <c r="E231" s="14">
        <v>0</v>
      </c>
      <c r="F231" s="21">
        <v>15</v>
      </c>
      <c r="G231" s="2" t="s">
        <v>926</v>
      </c>
      <c r="H231" s="23" t="s">
        <v>927</v>
      </c>
      <c r="I231" s="101" t="s">
        <v>928</v>
      </c>
      <c r="J231" s="2" t="s">
        <v>23</v>
      </c>
      <c r="K231" s="2" t="s">
        <v>23</v>
      </c>
      <c r="M231" s="2" t="s">
        <v>24</v>
      </c>
      <c r="N231" s="2" t="s">
        <v>23</v>
      </c>
      <c r="O231" s="2" t="s">
        <v>929</v>
      </c>
      <c r="P231" s="7">
        <v>1</v>
      </c>
      <c r="Q231" s="99" t="s">
        <v>930</v>
      </c>
    </row>
    <row r="232" spans="1:18" ht="15" customHeight="1">
      <c r="A232" s="21">
        <v>1</v>
      </c>
      <c r="B232" s="2" t="s">
        <v>235</v>
      </c>
      <c r="C232" s="21">
        <v>12</v>
      </c>
      <c r="D232" s="2" t="s">
        <v>872</v>
      </c>
      <c r="E232" s="14">
        <v>0</v>
      </c>
      <c r="F232" s="21">
        <v>16</v>
      </c>
      <c r="G232" s="2" t="s">
        <v>301</v>
      </c>
      <c r="H232" s="23" t="s">
        <v>931</v>
      </c>
      <c r="I232" s="101" t="s">
        <v>932</v>
      </c>
      <c r="J232" s="2" t="s">
        <v>23</v>
      </c>
      <c r="K232" s="2" t="s">
        <v>23</v>
      </c>
      <c r="M232" s="2" t="s">
        <v>24</v>
      </c>
      <c r="N232" s="2" t="s">
        <v>25</v>
      </c>
      <c r="P232" s="7">
        <v>1</v>
      </c>
      <c r="Q232" s="99" t="s">
        <v>933</v>
      </c>
    </row>
    <row r="233" spans="1:18" ht="15" customHeight="1">
      <c r="A233" s="21">
        <v>1</v>
      </c>
      <c r="B233" s="2" t="s">
        <v>235</v>
      </c>
      <c r="C233" s="21">
        <v>12</v>
      </c>
      <c r="D233" s="2" t="s">
        <v>872</v>
      </c>
      <c r="E233" s="14">
        <v>0</v>
      </c>
      <c r="F233" s="21">
        <v>17</v>
      </c>
      <c r="G233" s="2" t="s">
        <v>934</v>
      </c>
      <c r="H233" s="23" t="s">
        <v>935</v>
      </c>
      <c r="I233" s="101" t="s">
        <v>936</v>
      </c>
      <c r="J233" s="2" t="s">
        <v>23</v>
      </c>
      <c r="K233" s="2" t="s">
        <v>23</v>
      </c>
      <c r="M233" s="2" t="s">
        <v>24</v>
      </c>
      <c r="N233" s="2" t="s">
        <v>25</v>
      </c>
      <c r="P233" s="7">
        <v>1</v>
      </c>
      <c r="Q233" s="99" t="s">
        <v>937</v>
      </c>
    </row>
    <row r="234" spans="1:18" ht="15" customHeight="1">
      <c r="A234" s="21">
        <v>1</v>
      </c>
      <c r="B234" s="2" t="s">
        <v>235</v>
      </c>
      <c r="C234" s="21">
        <v>12</v>
      </c>
      <c r="D234" s="2" t="s">
        <v>872</v>
      </c>
      <c r="E234" s="14">
        <v>0</v>
      </c>
      <c r="F234" s="21">
        <v>18</v>
      </c>
      <c r="G234" s="2" t="s">
        <v>938</v>
      </c>
      <c r="H234" s="23" t="s">
        <v>939</v>
      </c>
      <c r="I234" s="101" t="s">
        <v>940</v>
      </c>
      <c r="J234" s="2" t="s">
        <v>23</v>
      </c>
      <c r="K234" s="2" t="s">
        <v>23</v>
      </c>
      <c r="M234" s="2" t="s">
        <v>24</v>
      </c>
      <c r="N234" s="2" t="s">
        <v>25</v>
      </c>
      <c r="P234" s="7">
        <v>1</v>
      </c>
      <c r="Q234" s="99" t="s">
        <v>941</v>
      </c>
    </row>
    <row r="235" spans="1:18" ht="15" customHeight="1">
      <c r="A235" s="21">
        <v>1</v>
      </c>
      <c r="B235" s="2" t="s">
        <v>235</v>
      </c>
      <c r="C235" s="21">
        <v>12</v>
      </c>
      <c r="D235" s="2" t="s">
        <v>872</v>
      </c>
      <c r="E235" s="14">
        <v>0</v>
      </c>
      <c r="F235" s="21">
        <v>19</v>
      </c>
      <c r="G235" s="2" t="s">
        <v>113</v>
      </c>
      <c r="H235" s="23" t="s">
        <v>942</v>
      </c>
      <c r="I235" s="101" t="s">
        <v>943</v>
      </c>
      <c r="J235" s="2" t="s">
        <v>24</v>
      </c>
      <c r="K235" s="2" t="s">
        <v>116</v>
      </c>
      <c r="L235" s="16" t="s">
        <v>943</v>
      </c>
      <c r="M235" s="2" t="s">
        <v>24</v>
      </c>
      <c r="N235" s="2" t="s">
        <v>116</v>
      </c>
      <c r="O235" s="16" t="s">
        <v>943</v>
      </c>
      <c r="P235" s="7">
        <v>1</v>
      </c>
      <c r="Q235" s="99" t="s">
        <v>117</v>
      </c>
    </row>
    <row r="236" spans="1:18" ht="15" customHeight="1">
      <c r="A236" s="21">
        <v>1</v>
      </c>
      <c r="B236" s="2" t="s">
        <v>235</v>
      </c>
      <c r="C236" s="21">
        <v>12</v>
      </c>
      <c r="D236" s="2" t="s">
        <v>872</v>
      </c>
      <c r="E236" s="14">
        <v>0</v>
      </c>
      <c r="F236" s="21">
        <v>20</v>
      </c>
      <c r="G236" s="2" t="s">
        <v>944</v>
      </c>
      <c r="H236" s="23" t="s">
        <v>945</v>
      </c>
      <c r="I236" s="101" t="s">
        <v>946</v>
      </c>
      <c r="J236" s="2" t="s">
        <v>23</v>
      </c>
      <c r="K236" s="2" t="s">
        <v>23</v>
      </c>
      <c r="M236" s="2" t="s">
        <v>24</v>
      </c>
      <c r="N236" s="2" t="s">
        <v>25</v>
      </c>
      <c r="P236" s="7">
        <v>1</v>
      </c>
      <c r="Q236" s="99" t="s">
        <v>947</v>
      </c>
      <c r="R236" s="2" t="s">
        <v>948</v>
      </c>
    </row>
    <row r="237" spans="1:18" ht="15" customHeight="1">
      <c r="A237" s="21">
        <v>1</v>
      </c>
      <c r="B237" s="2" t="s">
        <v>235</v>
      </c>
      <c r="C237" s="21">
        <v>12</v>
      </c>
      <c r="D237" s="2" t="s">
        <v>872</v>
      </c>
      <c r="E237" s="14">
        <v>0</v>
      </c>
      <c r="F237" s="21">
        <v>21</v>
      </c>
      <c r="G237" s="2" t="s">
        <v>949</v>
      </c>
      <c r="H237" s="23" t="s">
        <v>950</v>
      </c>
      <c r="I237" s="101" t="s">
        <v>951</v>
      </c>
      <c r="J237" s="2" t="s">
        <v>23</v>
      </c>
      <c r="K237" s="2" t="s">
        <v>23</v>
      </c>
      <c r="M237" s="2" t="s">
        <v>24</v>
      </c>
      <c r="N237" s="2" t="s">
        <v>25</v>
      </c>
      <c r="P237" s="7">
        <v>1</v>
      </c>
      <c r="Q237" s="99" t="s">
        <v>952</v>
      </c>
      <c r="R237" s="2" t="s">
        <v>953</v>
      </c>
    </row>
    <row r="238" spans="1:18" ht="15" customHeight="1">
      <c r="A238" s="21">
        <v>1</v>
      </c>
      <c r="B238" s="2" t="s">
        <v>235</v>
      </c>
      <c r="C238" s="21">
        <v>12</v>
      </c>
      <c r="D238" s="2" t="s">
        <v>872</v>
      </c>
      <c r="E238" s="14">
        <v>0</v>
      </c>
      <c r="F238" s="21">
        <v>22</v>
      </c>
      <c r="G238" s="2" t="s">
        <v>954</v>
      </c>
      <c r="H238" s="23" t="s">
        <v>955</v>
      </c>
      <c r="I238" s="101" t="s">
        <v>956</v>
      </c>
      <c r="J238" s="2" t="s">
        <v>24</v>
      </c>
      <c r="K238" s="2" t="s">
        <v>116</v>
      </c>
      <c r="L238" s="16" t="s">
        <v>956</v>
      </c>
      <c r="M238" s="2" t="s">
        <v>24</v>
      </c>
      <c r="N238" s="2" t="s">
        <v>116</v>
      </c>
      <c r="O238" s="16" t="s">
        <v>956</v>
      </c>
      <c r="P238" s="7">
        <v>1</v>
      </c>
      <c r="Q238" s="99" t="s">
        <v>957</v>
      </c>
      <c r="R238" s="2" t="s">
        <v>958</v>
      </c>
    </row>
    <row r="239" spans="1:18" ht="15" customHeight="1">
      <c r="A239" s="21">
        <v>1</v>
      </c>
      <c r="B239" s="2" t="s">
        <v>235</v>
      </c>
      <c r="C239" s="21">
        <v>12</v>
      </c>
      <c r="D239" s="2" t="s">
        <v>872</v>
      </c>
      <c r="E239" s="14">
        <v>0</v>
      </c>
      <c r="F239" s="21">
        <v>23</v>
      </c>
      <c r="G239" s="2" t="s">
        <v>959</v>
      </c>
      <c r="H239" s="23" t="s">
        <v>960</v>
      </c>
      <c r="I239" s="101" t="s">
        <v>961</v>
      </c>
      <c r="J239" s="2" t="s">
        <v>24</v>
      </c>
      <c r="K239" s="2" t="s">
        <v>139</v>
      </c>
      <c r="M239" s="2" t="s">
        <v>24</v>
      </c>
      <c r="N239" s="2" t="s">
        <v>139</v>
      </c>
      <c r="O239" s="16"/>
      <c r="P239" s="7">
        <v>1</v>
      </c>
      <c r="Q239" s="99" t="s">
        <v>962</v>
      </c>
    </row>
    <row r="240" spans="1:18" ht="15" customHeight="1">
      <c r="A240" s="21">
        <v>1</v>
      </c>
      <c r="B240" s="2" t="s">
        <v>235</v>
      </c>
      <c r="C240" s="21">
        <v>12</v>
      </c>
      <c r="D240" s="2" t="s">
        <v>872</v>
      </c>
      <c r="E240" s="14">
        <v>0</v>
      </c>
      <c r="F240" s="21">
        <v>24</v>
      </c>
      <c r="G240" s="2" t="s">
        <v>963</v>
      </c>
      <c r="H240" s="23" t="s">
        <v>964</v>
      </c>
      <c r="I240" s="101" t="s">
        <v>965</v>
      </c>
      <c r="J240" s="2" t="s">
        <v>24</v>
      </c>
      <c r="K240" s="2" t="s">
        <v>139</v>
      </c>
      <c r="M240" s="2" t="s">
        <v>24</v>
      </c>
      <c r="N240" s="2" t="s">
        <v>139</v>
      </c>
      <c r="O240" s="16"/>
      <c r="P240" s="7">
        <v>1</v>
      </c>
      <c r="Q240" s="99" t="s">
        <v>966</v>
      </c>
    </row>
    <row r="241" spans="1:18" ht="15" customHeight="1">
      <c r="A241" s="21">
        <v>1</v>
      </c>
      <c r="B241" s="2" t="s">
        <v>235</v>
      </c>
      <c r="C241" s="21">
        <v>12</v>
      </c>
      <c r="D241" s="2" t="s">
        <v>872</v>
      </c>
      <c r="E241" s="14">
        <v>0</v>
      </c>
      <c r="F241" s="21">
        <v>25</v>
      </c>
      <c r="G241" s="15" t="s">
        <v>967</v>
      </c>
      <c r="H241" s="23" t="s">
        <v>968</v>
      </c>
      <c r="I241" s="101" t="s">
        <v>969</v>
      </c>
      <c r="J241" s="2" t="s">
        <v>23</v>
      </c>
      <c r="K241" s="2" t="s">
        <v>23</v>
      </c>
      <c r="M241" s="50" t="s">
        <v>24</v>
      </c>
      <c r="N241" s="50" t="s">
        <v>25</v>
      </c>
      <c r="O241" s="50" t="s">
        <v>917</v>
      </c>
      <c r="P241" s="51">
        <v>1</v>
      </c>
      <c r="Q241" s="50" t="s">
        <v>970</v>
      </c>
    </row>
    <row r="242" spans="1:18" ht="15" customHeight="1">
      <c r="A242" s="21">
        <v>1</v>
      </c>
      <c r="B242" s="2" t="s">
        <v>235</v>
      </c>
      <c r="C242" s="21">
        <v>12</v>
      </c>
      <c r="D242" s="2" t="s">
        <v>872</v>
      </c>
      <c r="E242" s="14">
        <v>0</v>
      </c>
      <c r="F242" s="21">
        <v>26</v>
      </c>
      <c r="G242" s="15" t="s">
        <v>971</v>
      </c>
      <c r="H242" s="23" t="s">
        <v>972</v>
      </c>
      <c r="I242" s="101" t="s">
        <v>973</v>
      </c>
      <c r="J242" s="2" t="s">
        <v>23</v>
      </c>
      <c r="K242" s="2" t="s">
        <v>23</v>
      </c>
      <c r="M242" s="50" t="s">
        <v>24</v>
      </c>
      <c r="N242" s="50" t="s">
        <v>25</v>
      </c>
      <c r="O242" s="50" t="s">
        <v>917</v>
      </c>
      <c r="P242" s="51">
        <v>1</v>
      </c>
      <c r="Q242" s="50" t="s">
        <v>974</v>
      </c>
    </row>
    <row r="243" spans="1:18" ht="15" customHeight="1">
      <c r="A243" s="21">
        <v>1</v>
      </c>
      <c r="B243" s="2" t="s">
        <v>235</v>
      </c>
      <c r="C243" s="21">
        <v>12</v>
      </c>
      <c r="D243" s="2" t="s">
        <v>872</v>
      </c>
      <c r="E243" s="14">
        <v>0</v>
      </c>
      <c r="F243" s="21">
        <v>27</v>
      </c>
      <c r="G243" s="15" t="s">
        <v>975</v>
      </c>
      <c r="H243" s="23" t="s">
        <v>976</v>
      </c>
      <c r="I243" s="101" t="s">
        <v>977</v>
      </c>
      <c r="J243" s="2" t="s">
        <v>23</v>
      </c>
      <c r="K243" s="2" t="s">
        <v>23</v>
      </c>
      <c r="M243" s="50" t="s">
        <v>24</v>
      </c>
      <c r="N243" s="50" t="s">
        <v>133</v>
      </c>
      <c r="O243" s="50" t="s">
        <v>978</v>
      </c>
      <c r="P243" s="51">
        <v>1</v>
      </c>
      <c r="Q243" s="50" t="s">
        <v>250</v>
      </c>
    </row>
    <row r="244" spans="1:18" ht="15" customHeight="1">
      <c r="A244" s="21">
        <v>1</v>
      </c>
      <c r="B244" s="2" t="s">
        <v>235</v>
      </c>
      <c r="C244" s="21">
        <v>12</v>
      </c>
      <c r="D244" s="2" t="s">
        <v>872</v>
      </c>
      <c r="E244" s="14">
        <v>0</v>
      </c>
      <c r="F244" s="21">
        <v>28</v>
      </c>
      <c r="G244" s="15" t="s">
        <v>979</v>
      </c>
      <c r="H244" s="23" t="s">
        <v>980</v>
      </c>
      <c r="I244" s="101" t="s">
        <v>981</v>
      </c>
      <c r="J244" s="2" t="s">
        <v>24</v>
      </c>
      <c r="K244" s="2" t="s">
        <v>116</v>
      </c>
      <c r="L244" s="16" t="s">
        <v>981</v>
      </c>
      <c r="M244" s="50" t="s">
        <v>24</v>
      </c>
      <c r="N244" s="50" t="s">
        <v>116</v>
      </c>
      <c r="O244" s="16" t="s">
        <v>981</v>
      </c>
      <c r="P244" s="51">
        <v>1</v>
      </c>
      <c r="Q244" s="50" t="s">
        <v>982</v>
      </c>
      <c r="R244" s="2" t="s">
        <v>983</v>
      </c>
    </row>
    <row r="245" spans="1:18" ht="15" customHeight="1">
      <c r="A245" s="21">
        <v>1</v>
      </c>
      <c r="B245" s="2" t="s">
        <v>235</v>
      </c>
      <c r="C245" s="21">
        <v>12</v>
      </c>
      <c r="D245" s="2" t="s">
        <v>872</v>
      </c>
      <c r="E245" s="14">
        <v>0</v>
      </c>
      <c r="F245" s="21">
        <v>29</v>
      </c>
      <c r="G245" s="15" t="s">
        <v>984</v>
      </c>
      <c r="H245" s="23" t="s">
        <v>985</v>
      </c>
      <c r="I245" s="101" t="s">
        <v>986</v>
      </c>
      <c r="J245" s="2" t="s">
        <v>24</v>
      </c>
      <c r="K245" s="2" t="s">
        <v>139</v>
      </c>
      <c r="M245" s="2" t="s">
        <v>24</v>
      </c>
      <c r="N245" s="2" t="s">
        <v>139</v>
      </c>
      <c r="O245" s="2" t="s">
        <v>987</v>
      </c>
      <c r="P245" s="7">
        <v>1</v>
      </c>
      <c r="Q245" s="99" t="s">
        <v>893</v>
      </c>
      <c r="R245" s="2" t="s">
        <v>988</v>
      </c>
    </row>
    <row r="246" spans="1:18" ht="15" customHeight="1">
      <c r="A246" s="21">
        <v>1</v>
      </c>
      <c r="B246" s="2" t="s">
        <v>235</v>
      </c>
      <c r="C246" s="21">
        <v>12</v>
      </c>
      <c r="D246" s="2" t="s">
        <v>872</v>
      </c>
      <c r="E246" s="14">
        <v>0</v>
      </c>
      <c r="F246" s="21">
        <v>30</v>
      </c>
      <c r="G246" s="15" t="s">
        <v>989</v>
      </c>
      <c r="H246" s="23" t="s">
        <v>990</v>
      </c>
      <c r="I246" s="101" t="s">
        <v>991</v>
      </c>
      <c r="J246" s="2" t="s">
        <v>23</v>
      </c>
      <c r="K246" s="2" t="s">
        <v>23</v>
      </c>
      <c r="M246" s="2" t="s">
        <v>24</v>
      </c>
      <c r="N246" s="2" t="s">
        <v>139</v>
      </c>
      <c r="P246" s="7">
        <v>1</v>
      </c>
      <c r="Q246" s="99" t="s">
        <v>901</v>
      </c>
      <c r="R246" s="2" t="s">
        <v>988</v>
      </c>
    </row>
    <row r="247" spans="1:18" ht="15" customHeight="1">
      <c r="A247" s="21">
        <v>1</v>
      </c>
      <c r="B247" s="2" t="s">
        <v>235</v>
      </c>
      <c r="C247" s="21">
        <v>12</v>
      </c>
      <c r="D247" s="2" t="s">
        <v>872</v>
      </c>
      <c r="E247" s="14">
        <v>0</v>
      </c>
      <c r="F247" s="21">
        <v>31</v>
      </c>
      <c r="G247" s="15" t="s">
        <v>992</v>
      </c>
      <c r="H247" s="23" t="s">
        <v>993</v>
      </c>
      <c r="I247" s="101" t="s">
        <v>994</v>
      </c>
      <c r="J247" s="2" t="s">
        <v>24</v>
      </c>
      <c r="K247" s="2" t="s">
        <v>116</v>
      </c>
      <c r="L247" s="16" t="s">
        <v>956</v>
      </c>
      <c r="M247" s="2" t="s">
        <v>24</v>
      </c>
      <c r="N247" s="2" t="s">
        <v>116</v>
      </c>
      <c r="O247" s="16" t="s">
        <v>956</v>
      </c>
      <c r="P247" s="7">
        <v>1</v>
      </c>
      <c r="Q247" s="99" t="s">
        <v>957</v>
      </c>
      <c r="R247" s="2" t="s">
        <v>995</v>
      </c>
    </row>
    <row r="248" spans="1:18" ht="15" customHeight="1">
      <c r="A248" s="21">
        <v>1</v>
      </c>
      <c r="B248" s="2" t="s">
        <v>235</v>
      </c>
      <c r="C248" s="21">
        <v>12</v>
      </c>
      <c r="D248" s="2" t="s">
        <v>872</v>
      </c>
      <c r="E248" s="14">
        <v>0</v>
      </c>
      <c r="F248" s="21">
        <v>32</v>
      </c>
      <c r="G248" s="15" t="s">
        <v>412</v>
      </c>
      <c r="H248" s="23" t="s">
        <v>996</v>
      </c>
      <c r="I248" s="101" t="s">
        <v>997</v>
      </c>
      <c r="J248" s="2" t="s">
        <v>8105</v>
      </c>
      <c r="K248" s="2" t="s">
        <v>8117</v>
      </c>
      <c r="L248" s="16" t="s">
        <v>8115</v>
      </c>
      <c r="M248" s="2" t="s">
        <v>8105</v>
      </c>
      <c r="N248" s="2" t="s">
        <v>8117</v>
      </c>
      <c r="O248" s="16" t="s">
        <v>8115</v>
      </c>
      <c r="P248" s="7">
        <v>1</v>
      </c>
      <c r="Q248" s="99" t="s">
        <v>415</v>
      </c>
      <c r="R248" s="16" t="s">
        <v>416</v>
      </c>
    </row>
    <row r="249" spans="1:18" ht="15" customHeight="1">
      <c r="A249" s="21">
        <v>1</v>
      </c>
      <c r="B249" s="2" t="s">
        <v>235</v>
      </c>
      <c r="C249" s="21">
        <v>12</v>
      </c>
      <c r="D249" s="2" t="s">
        <v>872</v>
      </c>
      <c r="E249" s="14">
        <v>0</v>
      </c>
      <c r="F249" s="21">
        <v>33</v>
      </c>
      <c r="G249" s="15" t="s">
        <v>998</v>
      </c>
      <c r="H249" s="23" t="s">
        <v>999</v>
      </c>
      <c r="I249" s="101" t="s">
        <v>1000</v>
      </c>
      <c r="J249" s="2" t="s">
        <v>23</v>
      </c>
      <c r="K249" s="2" t="s">
        <v>23</v>
      </c>
      <c r="M249" s="2" t="s">
        <v>24</v>
      </c>
      <c r="N249" s="2" t="s">
        <v>263</v>
      </c>
      <c r="O249" s="16"/>
      <c r="P249" s="7">
        <v>1</v>
      </c>
      <c r="Q249" s="99" t="s">
        <v>1001</v>
      </c>
    </row>
    <row r="250" spans="1:18" ht="15" customHeight="1">
      <c r="A250" s="21">
        <v>1</v>
      </c>
      <c r="B250" s="2" t="s">
        <v>235</v>
      </c>
      <c r="C250" s="21">
        <v>13</v>
      </c>
      <c r="D250" s="2" t="s">
        <v>1002</v>
      </c>
      <c r="E250" s="14">
        <v>0</v>
      </c>
      <c r="F250" s="21">
        <v>0</v>
      </c>
      <c r="G250" s="2" t="s">
        <v>20</v>
      </c>
      <c r="H250" s="23" t="s">
        <v>1003</v>
      </c>
      <c r="I250" s="34" t="s">
        <v>1004</v>
      </c>
      <c r="J250" s="2" t="s">
        <v>23</v>
      </c>
      <c r="K250" s="2" t="s">
        <v>23</v>
      </c>
      <c r="M250" s="2" t="s">
        <v>24</v>
      </c>
      <c r="N250" s="2" t="s">
        <v>25</v>
      </c>
      <c r="O250" s="5" t="s">
        <v>26</v>
      </c>
      <c r="P250" s="7">
        <v>1</v>
      </c>
      <c r="Q250" s="1" t="s">
        <v>1005</v>
      </c>
    </row>
    <row r="251" spans="1:18" ht="15" customHeight="1">
      <c r="A251" s="21">
        <v>1</v>
      </c>
      <c r="B251" s="2" t="s">
        <v>235</v>
      </c>
      <c r="C251" s="21">
        <v>13</v>
      </c>
      <c r="D251" s="2" t="s">
        <v>1002</v>
      </c>
      <c r="E251" s="14">
        <v>0</v>
      </c>
      <c r="F251" s="21">
        <v>1</v>
      </c>
      <c r="G251" s="2" t="s">
        <v>1006</v>
      </c>
      <c r="H251" s="23" t="s">
        <v>1007</v>
      </c>
      <c r="I251" s="101" t="s">
        <v>1008</v>
      </c>
      <c r="J251" s="2" t="s">
        <v>23</v>
      </c>
      <c r="K251" s="2" t="s">
        <v>23</v>
      </c>
      <c r="M251" s="2" t="s">
        <v>24</v>
      </c>
      <c r="N251" s="2" t="s">
        <v>25</v>
      </c>
      <c r="O251" s="2" t="s">
        <v>1009</v>
      </c>
      <c r="P251" s="7">
        <v>1</v>
      </c>
      <c r="Q251" s="99" t="s">
        <v>1010</v>
      </c>
    </row>
    <row r="252" spans="1:18" ht="15" customHeight="1">
      <c r="A252" s="72"/>
      <c r="C252" s="72"/>
      <c r="E252" s="86"/>
      <c r="F252" s="72"/>
      <c r="H252" s="87" t="s">
        <v>234</v>
      </c>
      <c r="I252" s="105"/>
      <c r="O252" s="16"/>
      <c r="P252" s="7"/>
      <c r="Q252" s="99"/>
    </row>
    <row r="253" spans="1:18" ht="15" customHeight="1">
      <c r="A253" s="21">
        <v>2</v>
      </c>
      <c r="B253" s="2" t="s">
        <v>1011</v>
      </c>
      <c r="C253" s="21">
        <v>0</v>
      </c>
      <c r="D253" s="2" t="s">
        <v>1012</v>
      </c>
      <c r="E253" s="14">
        <v>0</v>
      </c>
      <c r="F253" s="21">
        <v>0</v>
      </c>
      <c r="G253" s="2" t="s">
        <v>20</v>
      </c>
      <c r="H253" s="23" t="s">
        <v>1013</v>
      </c>
      <c r="I253" s="34" t="s">
        <v>1014</v>
      </c>
      <c r="J253" s="2" t="s">
        <v>23</v>
      </c>
      <c r="K253" s="2" t="s">
        <v>23</v>
      </c>
      <c r="M253" s="2" t="s">
        <v>24</v>
      </c>
      <c r="N253" s="2" t="s">
        <v>25</v>
      </c>
      <c r="O253" s="5" t="s">
        <v>26</v>
      </c>
      <c r="P253" s="7">
        <v>1</v>
      </c>
      <c r="Q253" s="28" t="s">
        <v>1015</v>
      </c>
    </row>
    <row r="254" spans="1:18" ht="15" customHeight="1">
      <c r="A254" s="21">
        <v>2</v>
      </c>
      <c r="B254" s="2" t="s">
        <v>1011</v>
      </c>
      <c r="C254" s="21">
        <v>0</v>
      </c>
      <c r="D254" s="2" t="s">
        <v>1012</v>
      </c>
      <c r="E254" s="14">
        <v>0</v>
      </c>
      <c r="F254" s="21">
        <v>1</v>
      </c>
      <c r="G254" s="2" t="s">
        <v>35</v>
      </c>
      <c r="H254" s="23" t="s">
        <v>1016</v>
      </c>
      <c r="I254" s="101" t="s">
        <v>1017</v>
      </c>
      <c r="J254" s="2" t="s">
        <v>23</v>
      </c>
      <c r="K254" s="2" t="s">
        <v>23</v>
      </c>
      <c r="M254" s="2" t="s">
        <v>38</v>
      </c>
      <c r="N254" s="2" t="s">
        <v>23</v>
      </c>
      <c r="O254" s="9"/>
      <c r="P254" s="7">
        <v>1</v>
      </c>
      <c r="Q254" s="99" t="s">
        <v>503</v>
      </c>
    </row>
    <row r="255" spans="1:18" ht="15" customHeight="1">
      <c r="A255" s="21">
        <v>2</v>
      </c>
      <c r="B255" s="2" t="s">
        <v>1011</v>
      </c>
      <c r="C255" s="21">
        <v>0</v>
      </c>
      <c r="D255" s="2" t="s">
        <v>1012</v>
      </c>
      <c r="E255" s="14">
        <v>0</v>
      </c>
      <c r="F255" s="21">
        <v>2</v>
      </c>
      <c r="G255" s="2" t="s">
        <v>1018</v>
      </c>
      <c r="H255" s="23" t="s">
        <v>1019</v>
      </c>
      <c r="I255" s="101" t="s">
        <v>1020</v>
      </c>
      <c r="J255" s="2" t="s">
        <v>23</v>
      </c>
      <c r="K255" s="2" t="s">
        <v>23</v>
      </c>
      <c r="M255" s="2" t="s">
        <v>24</v>
      </c>
      <c r="N255" s="2" t="s">
        <v>23</v>
      </c>
      <c r="P255" s="7">
        <v>1</v>
      </c>
      <c r="Q255" s="99" t="s">
        <v>1021</v>
      </c>
    </row>
    <row r="256" spans="1:18" ht="15" customHeight="1">
      <c r="A256" s="21">
        <v>2</v>
      </c>
      <c r="B256" s="2" t="s">
        <v>1011</v>
      </c>
      <c r="C256" s="21">
        <v>0</v>
      </c>
      <c r="D256" s="2" t="s">
        <v>1012</v>
      </c>
      <c r="E256" s="14">
        <v>0</v>
      </c>
      <c r="F256" s="21">
        <v>3</v>
      </c>
      <c r="G256" s="2" t="s">
        <v>1022</v>
      </c>
      <c r="H256" s="23" t="s">
        <v>1023</v>
      </c>
      <c r="I256" s="101" t="s">
        <v>1024</v>
      </c>
      <c r="J256" s="2" t="s">
        <v>23</v>
      </c>
      <c r="K256" s="2" t="s">
        <v>23</v>
      </c>
      <c r="M256" s="2" t="s">
        <v>38</v>
      </c>
      <c r="N256" s="2" t="s">
        <v>23</v>
      </c>
      <c r="P256" s="7">
        <v>1</v>
      </c>
      <c r="Q256" s="99" t="s">
        <v>1025</v>
      </c>
    </row>
    <row r="257" spans="1:18" ht="15" customHeight="1">
      <c r="A257" s="21">
        <v>2</v>
      </c>
      <c r="B257" s="2" t="s">
        <v>1011</v>
      </c>
      <c r="C257" s="21">
        <v>0</v>
      </c>
      <c r="D257" s="2" t="s">
        <v>1012</v>
      </c>
      <c r="E257" s="14">
        <v>0</v>
      </c>
      <c r="F257" s="21">
        <v>4</v>
      </c>
      <c r="G257" s="2" t="s">
        <v>1026</v>
      </c>
      <c r="H257" s="23" t="s">
        <v>1027</v>
      </c>
      <c r="I257" s="101" t="s">
        <v>1028</v>
      </c>
      <c r="J257" s="2" t="s">
        <v>23</v>
      </c>
      <c r="K257" s="2" t="s">
        <v>23</v>
      </c>
      <c r="M257" s="2" t="s">
        <v>38</v>
      </c>
      <c r="N257" s="2" t="s">
        <v>23</v>
      </c>
      <c r="P257" s="7">
        <v>1</v>
      </c>
      <c r="Q257" s="99" t="s">
        <v>1029</v>
      </c>
    </row>
    <row r="258" spans="1:18" ht="15" customHeight="1">
      <c r="A258" s="71">
        <v>2</v>
      </c>
      <c r="B258" s="2" t="s">
        <v>1011</v>
      </c>
      <c r="C258" s="71">
        <v>0</v>
      </c>
      <c r="D258" s="2" t="s">
        <v>1012</v>
      </c>
      <c r="E258" s="74">
        <v>0</v>
      </c>
      <c r="F258" s="71">
        <v>5</v>
      </c>
      <c r="G258" s="2" t="s">
        <v>1030</v>
      </c>
      <c r="H258" s="73" t="s">
        <v>1031</v>
      </c>
      <c r="I258" s="100" t="s">
        <v>1032</v>
      </c>
      <c r="J258" s="2" t="s">
        <v>38</v>
      </c>
      <c r="K258" s="2" t="s">
        <v>23</v>
      </c>
      <c r="M258" s="2" t="s">
        <v>38</v>
      </c>
      <c r="N258" s="2" t="s">
        <v>23</v>
      </c>
      <c r="P258" s="7">
        <v>0</v>
      </c>
      <c r="Q258" s="99" t="s">
        <v>1033</v>
      </c>
    </row>
    <row r="259" spans="1:18" ht="15" customHeight="1">
      <c r="A259" s="21">
        <v>2</v>
      </c>
      <c r="B259" s="2" t="s">
        <v>1011</v>
      </c>
      <c r="C259" s="21">
        <v>1</v>
      </c>
      <c r="D259" s="2" t="s">
        <v>1034</v>
      </c>
      <c r="E259" s="14">
        <v>0</v>
      </c>
      <c r="F259" s="21">
        <v>0</v>
      </c>
      <c r="G259" s="2" t="s">
        <v>20</v>
      </c>
      <c r="H259" s="23" t="s">
        <v>1035</v>
      </c>
      <c r="I259" s="34" t="s">
        <v>1036</v>
      </c>
      <c r="J259" s="2" t="s">
        <v>23</v>
      </c>
      <c r="K259" s="2" t="s">
        <v>23</v>
      </c>
      <c r="M259" s="2" t="s">
        <v>24</v>
      </c>
      <c r="N259" s="2" t="s">
        <v>25</v>
      </c>
      <c r="O259" s="5" t="s">
        <v>26</v>
      </c>
      <c r="P259" s="7">
        <v>1</v>
      </c>
      <c r="Q259" s="1" t="s">
        <v>1037</v>
      </c>
    </row>
    <row r="260" spans="1:18" ht="15" customHeight="1">
      <c r="A260" s="71">
        <v>2</v>
      </c>
      <c r="B260" s="2" t="s">
        <v>1011</v>
      </c>
      <c r="C260" s="71">
        <v>1</v>
      </c>
      <c r="D260" s="2" t="s">
        <v>1034</v>
      </c>
      <c r="E260" s="74">
        <v>0</v>
      </c>
      <c r="F260" s="71">
        <v>1</v>
      </c>
      <c r="G260" s="2" t="s">
        <v>1038</v>
      </c>
      <c r="H260" s="73" t="s">
        <v>1039</v>
      </c>
      <c r="I260" s="100" t="s">
        <v>1040</v>
      </c>
      <c r="J260" s="2" t="s">
        <v>163</v>
      </c>
      <c r="K260" s="2" t="s">
        <v>23</v>
      </c>
      <c r="M260" s="2" t="s">
        <v>8105</v>
      </c>
      <c r="N260" s="2" t="s">
        <v>23</v>
      </c>
      <c r="O260" s="11" t="s">
        <v>8116</v>
      </c>
      <c r="P260" s="7">
        <v>0</v>
      </c>
      <c r="Q260" s="99" t="s">
        <v>1041</v>
      </c>
    </row>
    <row r="261" spans="1:18" ht="15" customHeight="1">
      <c r="A261" s="21">
        <v>2</v>
      </c>
      <c r="B261" s="2" t="s">
        <v>1011</v>
      </c>
      <c r="C261" s="21">
        <v>1</v>
      </c>
      <c r="D261" s="2" t="s">
        <v>1034</v>
      </c>
      <c r="E261" s="14">
        <v>0</v>
      </c>
      <c r="F261" s="21">
        <v>2</v>
      </c>
      <c r="G261" s="2" t="s">
        <v>1042</v>
      </c>
      <c r="H261" s="23" t="s">
        <v>1043</v>
      </c>
      <c r="I261" s="101" t="s">
        <v>1044</v>
      </c>
      <c r="J261" s="2" t="s">
        <v>38</v>
      </c>
      <c r="K261" s="2" t="s">
        <v>23</v>
      </c>
      <c r="M261" s="2" t="s">
        <v>24</v>
      </c>
      <c r="N261" s="2" t="s">
        <v>23</v>
      </c>
      <c r="O261" s="5" t="s">
        <v>1045</v>
      </c>
      <c r="P261" s="7">
        <v>1</v>
      </c>
      <c r="Q261" s="99" t="s">
        <v>1046</v>
      </c>
      <c r="R261" s="37" t="s">
        <v>1047</v>
      </c>
    </row>
    <row r="262" spans="1:18" ht="15" customHeight="1">
      <c r="A262" s="71">
        <v>2</v>
      </c>
      <c r="B262" s="2" t="s">
        <v>1011</v>
      </c>
      <c r="C262" s="71">
        <v>1</v>
      </c>
      <c r="D262" s="2" t="s">
        <v>1034</v>
      </c>
      <c r="E262" s="74">
        <v>0</v>
      </c>
      <c r="F262" s="71">
        <v>3</v>
      </c>
      <c r="G262" s="2" t="s">
        <v>595</v>
      </c>
      <c r="H262" s="73" t="s">
        <v>1048</v>
      </c>
      <c r="I262" s="100" t="s">
        <v>1049</v>
      </c>
      <c r="J262" s="2" t="s">
        <v>23</v>
      </c>
      <c r="K262" s="2" t="s">
        <v>23</v>
      </c>
      <c r="M262" s="2" t="s">
        <v>24</v>
      </c>
      <c r="N262" s="2" t="s">
        <v>116</v>
      </c>
      <c r="O262" s="9" t="s">
        <v>1049</v>
      </c>
      <c r="P262" s="7">
        <v>0</v>
      </c>
      <c r="Q262" s="99" t="s">
        <v>852</v>
      </c>
    </row>
    <row r="263" spans="1:18" ht="15" customHeight="1">
      <c r="A263" s="21">
        <v>2</v>
      </c>
      <c r="B263" s="2" t="s">
        <v>1011</v>
      </c>
      <c r="C263" s="21">
        <v>1</v>
      </c>
      <c r="D263" s="2" t="s">
        <v>1034</v>
      </c>
      <c r="E263" s="14">
        <v>0</v>
      </c>
      <c r="F263" s="21">
        <v>4</v>
      </c>
      <c r="G263" s="2" t="s">
        <v>1050</v>
      </c>
      <c r="H263" s="23" t="s">
        <v>1051</v>
      </c>
      <c r="I263" s="101" t="s">
        <v>1052</v>
      </c>
      <c r="J263" s="2" t="s">
        <v>24</v>
      </c>
      <c r="K263" s="2" t="s">
        <v>23</v>
      </c>
      <c r="M263" s="2" t="s">
        <v>24</v>
      </c>
      <c r="N263" s="2" t="s">
        <v>23</v>
      </c>
      <c r="O263" s="2" t="s">
        <v>1053</v>
      </c>
      <c r="P263" s="7">
        <v>1</v>
      </c>
      <c r="Q263" s="99" t="s">
        <v>1054</v>
      </c>
      <c r="R263" s="2" t="s">
        <v>1055</v>
      </c>
    </row>
    <row r="264" spans="1:18" ht="15" customHeight="1">
      <c r="A264" s="71">
        <v>2</v>
      </c>
      <c r="B264" s="2" t="s">
        <v>1011</v>
      </c>
      <c r="C264" s="71">
        <v>1</v>
      </c>
      <c r="D264" s="2" t="s">
        <v>1034</v>
      </c>
      <c r="E264" s="74">
        <v>0</v>
      </c>
      <c r="F264" s="71">
        <v>5</v>
      </c>
      <c r="G264" s="2" t="s">
        <v>305</v>
      </c>
      <c r="H264" s="73" t="s">
        <v>1056</v>
      </c>
      <c r="I264" s="100" t="s">
        <v>1057</v>
      </c>
      <c r="J264" s="2" t="s">
        <v>24</v>
      </c>
      <c r="K264" s="2" t="s">
        <v>25</v>
      </c>
      <c r="L264" s="5" t="s">
        <v>308</v>
      </c>
      <c r="M264" s="2" t="s">
        <v>24</v>
      </c>
      <c r="N264" s="2" t="s">
        <v>25</v>
      </c>
      <c r="O264" s="5" t="s">
        <v>308</v>
      </c>
      <c r="P264" s="7">
        <v>0</v>
      </c>
      <c r="Q264" s="99" t="s">
        <v>1058</v>
      </c>
    </row>
    <row r="265" spans="1:18" ht="15" customHeight="1">
      <c r="A265" s="71">
        <v>2</v>
      </c>
      <c r="B265" s="2" t="s">
        <v>1011</v>
      </c>
      <c r="C265" s="71">
        <v>1</v>
      </c>
      <c r="D265" s="2" t="s">
        <v>1034</v>
      </c>
      <c r="E265" s="74">
        <v>0</v>
      </c>
      <c r="F265" s="71">
        <v>6</v>
      </c>
      <c r="G265" s="2" t="s">
        <v>1059</v>
      </c>
      <c r="H265" s="73" t="s">
        <v>1060</v>
      </c>
      <c r="I265" s="100" t="s">
        <v>1061</v>
      </c>
      <c r="J265" s="2" t="s">
        <v>23</v>
      </c>
      <c r="K265" s="2" t="s">
        <v>23</v>
      </c>
      <c r="L265" s="5"/>
      <c r="M265" s="2" t="s">
        <v>24</v>
      </c>
      <c r="N265" s="2" t="s">
        <v>116</v>
      </c>
      <c r="O265" s="11" t="s">
        <v>1061</v>
      </c>
      <c r="P265" s="7">
        <v>0</v>
      </c>
      <c r="Q265" s="99" t="s">
        <v>1062</v>
      </c>
    </row>
    <row r="266" spans="1:18" ht="15" customHeight="1">
      <c r="A266" s="71">
        <v>2</v>
      </c>
      <c r="B266" s="2" t="s">
        <v>1011</v>
      </c>
      <c r="C266" s="71">
        <v>1</v>
      </c>
      <c r="D266" s="2" t="s">
        <v>1034</v>
      </c>
      <c r="E266" s="74">
        <v>0</v>
      </c>
      <c r="F266" s="71">
        <v>7</v>
      </c>
      <c r="G266" s="2" t="s">
        <v>314</v>
      </c>
      <c r="H266" s="73" t="s">
        <v>1063</v>
      </c>
      <c r="I266" s="100" t="s">
        <v>1064</v>
      </c>
      <c r="J266" s="2" t="s">
        <v>24</v>
      </c>
      <c r="K266" s="2" t="s">
        <v>116</v>
      </c>
      <c r="L266" s="11" t="s">
        <v>1064</v>
      </c>
      <c r="M266" s="2" t="s">
        <v>24</v>
      </c>
      <c r="N266" s="2" t="s">
        <v>116</v>
      </c>
      <c r="O266" s="11" t="s">
        <v>1064</v>
      </c>
      <c r="P266" s="7">
        <v>0</v>
      </c>
      <c r="Q266" s="99" t="s">
        <v>317</v>
      </c>
    </row>
    <row r="267" spans="1:18" ht="15" customHeight="1">
      <c r="A267" s="71">
        <v>2</v>
      </c>
      <c r="B267" s="2" t="s">
        <v>1011</v>
      </c>
      <c r="C267" s="71">
        <v>2</v>
      </c>
      <c r="D267" s="2" t="s">
        <v>1065</v>
      </c>
      <c r="E267" s="74">
        <v>0</v>
      </c>
      <c r="F267" s="71">
        <v>0</v>
      </c>
      <c r="G267" s="2" t="s">
        <v>20</v>
      </c>
      <c r="H267" s="73" t="s">
        <v>1066</v>
      </c>
      <c r="I267" s="76" t="s">
        <v>1067</v>
      </c>
      <c r="J267" s="2" t="s">
        <v>23</v>
      </c>
      <c r="K267" s="2" t="s">
        <v>23</v>
      </c>
      <c r="M267" s="2" t="s">
        <v>24</v>
      </c>
      <c r="N267" s="2" t="s">
        <v>25</v>
      </c>
      <c r="O267" s="5" t="s">
        <v>26</v>
      </c>
      <c r="P267" s="7">
        <v>0</v>
      </c>
      <c r="Q267" s="1" t="s">
        <v>1068</v>
      </c>
    </row>
    <row r="268" spans="1:18" ht="15" customHeight="1">
      <c r="A268" s="71">
        <v>2</v>
      </c>
      <c r="B268" s="2" t="s">
        <v>1011</v>
      </c>
      <c r="C268" s="71">
        <v>2</v>
      </c>
      <c r="D268" s="2" t="s">
        <v>1065</v>
      </c>
      <c r="E268" s="74">
        <v>0</v>
      </c>
      <c r="F268" s="71">
        <v>1</v>
      </c>
      <c r="G268" s="2" t="s">
        <v>1069</v>
      </c>
      <c r="H268" s="73" t="s">
        <v>1070</v>
      </c>
      <c r="I268" s="100" t="s">
        <v>1071</v>
      </c>
      <c r="J268" s="2" t="s">
        <v>38</v>
      </c>
      <c r="K268" s="2" t="s">
        <v>23</v>
      </c>
      <c r="M268" s="2" t="s">
        <v>38</v>
      </c>
      <c r="N268" s="2" t="s">
        <v>23</v>
      </c>
      <c r="O268" s="5"/>
      <c r="P268" s="7">
        <v>0</v>
      </c>
      <c r="Q268" s="99" t="s">
        <v>1072</v>
      </c>
    </row>
    <row r="269" spans="1:18" ht="15" customHeight="1">
      <c r="A269" s="71">
        <v>2</v>
      </c>
      <c r="B269" s="2" t="s">
        <v>1011</v>
      </c>
      <c r="C269" s="71">
        <v>2</v>
      </c>
      <c r="D269" s="2" t="s">
        <v>1065</v>
      </c>
      <c r="E269" s="74">
        <v>0</v>
      </c>
      <c r="F269" s="71">
        <v>2</v>
      </c>
      <c r="G269" s="2" t="s">
        <v>1073</v>
      </c>
      <c r="H269" s="73" t="s">
        <v>1074</v>
      </c>
      <c r="I269" s="100" t="s">
        <v>1075</v>
      </c>
      <c r="J269" s="2" t="s">
        <v>38</v>
      </c>
      <c r="K269" s="2" t="s">
        <v>23</v>
      </c>
      <c r="M269" s="2" t="s">
        <v>23</v>
      </c>
      <c r="N269" s="2" t="s">
        <v>23</v>
      </c>
      <c r="P269" s="7">
        <v>0</v>
      </c>
      <c r="Q269" s="99" t="s">
        <v>1076</v>
      </c>
    </row>
    <row r="270" spans="1:18" ht="15" customHeight="1">
      <c r="A270" s="71">
        <v>2</v>
      </c>
      <c r="B270" s="2" t="s">
        <v>1011</v>
      </c>
      <c r="C270" s="71">
        <v>2</v>
      </c>
      <c r="D270" s="2" t="s">
        <v>1065</v>
      </c>
      <c r="E270" s="74">
        <v>0</v>
      </c>
      <c r="F270" s="71">
        <v>3</v>
      </c>
      <c r="G270" s="2" t="s">
        <v>1077</v>
      </c>
      <c r="H270" s="73" t="s">
        <v>1078</v>
      </c>
      <c r="I270" s="100" t="s">
        <v>1079</v>
      </c>
      <c r="J270" s="2" t="s">
        <v>163</v>
      </c>
      <c r="K270" s="2" t="s">
        <v>23</v>
      </c>
      <c r="M270" s="2" t="s">
        <v>23</v>
      </c>
      <c r="N270" s="2" t="s">
        <v>23</v>
      </c>
      <c r="P270" s="7">
        <v>0</v>
      </c>
      <c r="Q270" s="99" t="s">
        <v>1080</v>
      </c>
    </row>
    <row r="271" spans="1:18" ht="15" customHeight="1">
      <c r="A271" s="21">
        <v>2</v>
      </c>
      <c r="B271" s="2" t="s">
        <v>1011</v>
      </c>
      <c r="C271" s="21">
        <v>3</v>
      </c>
      <c r="D271" s="2" t="s">
        <v>1081</v>
      </c>
      <c r="E271" s="14">
        <v>0</v>
      </c>
      <c r="F271" s="21">
        <v>0</v>
      </c>
      <c r="G271" s="2" t="s">
        <v>20</v>
      </c>
      <c r="H271" s="23" t="s">
        <v>1082</v>
      </c>
      <c r="I271" s="34" t="s">
        <v>1083</v>
      </c>
      <c r="J271" s="2" t="s">
        <v>23</v>
      </c>
      <c r="K271" s="2" t="s">
        <v>23</v>
      </c>
      <c r="M271" s="2" t="s">
        <v>24</v>
      </c>
      <c r="N271" s="2" t="s">
        <v>25</v>
      </c>
      <c r="O271" s="5" t="s">
        <v>26</v>
      </c>
      <c r="P271" s="7">
        <v>1</v>
      </c>
      <c r="Q271" s="1" t="s">
        <v>1084</v>
      </c>
      <c r="R271" s="16" t="s">
        <v>1085</v>
      </c>
    </row>
    <row r="272" spans="1:18" ht="15" customHeight="1">
      <c r="A272" s="71">
        <v>2</v>
      </c>
      <c r="B272" s="2" t="s">
        <v>1011</v>
      </c>
      <c r="C272" s="71">
        <v>3</v>
      </c>
      <c r="D272" s="2" t="s">
        <v>1081</v>
      </c>
      <c r="E272" s="74">
        <v>0</v>
      </c>
      <c r="F272" s="71">
        <v>1</v>
      </c>
      <c r="G272" s="2" t="s">
        <v>1038</v>
      </c>
      <c r="H272" s="73" t="s">
        <v>1086</v>
      </c>
      <c r="I272" s="100" t="s">
        <v>1087</v>
      </c>
      <c r="J272" s="2" t="s">
        <v>163</v>
      </c>
      <c r="K272" s="2" t="s">
        <v>23</v>
      </c>
      <c r="M272" s="2" t="s">
        <v>8105</v>
      </c>
      <c r="N272" s="2" t="s">
        <v>23</v>
      </c>
      <c r="O272" s="9" t="s">
        <v>8107</v>
      </c>
      <c r="P272" s="7">
        <v>0</v>
      </c>
      <c r="Q272" s="99" t="s">
        <v>1041</v>
      </c>
    </row>
    <row r="273" spans="1:18" ht="15" customHeight="1">
      <c r="A273" s="71">
        <v>2</v>
      </c>
      <c r="B273" s="2" t="s">
        <v>1011</v>
      </c>
      <c r="C273" s="71">
        <v>3</v>
      </c>
      <c r="D273" s="2" t="s">
        <v>1081</v>
      </c>
      <c r="E273" s="74">
        <v>0</v>
      </c>
      <c r="F273" s="71">
        <v>2</v>
      </c>
      <c r="G273" s="2" t="s">
        <v>1088</v>
      </c>
      <c r="H273" s="73" t="s">
        <v>1089</v>
      </c>
      <c r="I273" s="100" t="s">
        <v>1090</v>
      </c>
      <c r="J273" s="2" t="s">
        <v>8105</v>
      </c>
      <c r="K273" s="2" t="s">
        <v>23</v>
      </c>
      <c r="L273" s="16" t="s">
        <v>8936</v>
      </c>
      <c r="M273" s="2" t="s">
        <v>24</v>
      </c>
      <c r="N273" s="2" t="s">
        <v>23</v>
      </c>
      <c r="O273" s="5" t="s">
        <v>1045</v>
      </c>
      <c r="P273" s="7">
        <v>0</v>
      </c>
      <c r="Q273" s="99" t="s">
        <v>1091</v>
      </c>
    </row>
    <row r="274" spans="1:18" ht="15" customHeight="1">
      <c r="A274" s="21">
        <v>2</v>
      </c>
      <c r="B274" s="2" t="s">
        <v>1011</v>
      </c>
      <c r="C274" s="21">
        <v>3</v>
      </c>
      <c r="D274" s="2" t="s">
        <v>1081</v>
      </c>
      <c r="E274" s="14">
        <v>0</v>
      </c>
      <c r="F274" s="21">
        <v>3</v>
      </c>
      <c r="G274" s="2" t="s">
        <v>1092</v>
      </c>
      <c r="H274" s="23" t="s">
        <v>1093</v>
      </c>
      <c r="I274" s="101" t="s">
        <v>1094</v>
      </c>
      <c r="J274" s="2" t="s">
        <v>24</v>
      </c>
      <c r="K274" s="2" t="s">
        <v>116</v>
      </c>
      <c r="L274" s="16" t="s">
        <v>1095</v>
      </c>
      <c r="M274" s="2" t="s">
        <v>24</v>
      </c>
      <c r="N274" s="2" t="s">
        <v>116</v>
      </c>
      <c r="O274" s="16" t="s">
        <v>1096</v>
      </c>
      <c r="P274" s="7">
        <v>1</v>
      </c>
      <c r="Q274" s="99" t="s">
        <v>1097</v>
      </c>
    </row>
    <row r="275" spans="1:18" ht="15" customHeight="1">
      <c r="A275" s="71">
        <v>2</v>
      </c>
      <c r="B275" s="2" t="s">
        <v>1011</v>
      </c>
      <c r="C275" s="71">
        <v>3</v>
      </c>
      <c r="D275" s="2" t="s">
        <v>1081</v>
      </c>
      <c r="E275" s="74">
        <v>0</v>
      </c>
      <c r="F275" s="71">
        <v>4</v>
      </c>
      <c r="G275" s="2" t="s">
        <v>1098</v>
      </c>
      <c r="H275" s="73" t="s">
        <v>1099</v>
      </c>
      <c r="I275" s="100" t="s">
        <v>1100</v>
      </c>
      <c r="J275" s="2" t="s">
        <v>32</v>
      </c>
      <c r="K275" s="2" t="s">
        <v>23</v>
      </c>
      <c r="M275" s="2" t="s">
        <v>24</v>
      </c>
      <c r="N275" s="2" t="s">
        <v>23</v>
      </c>
      <c r="O275" s="5" t="s">
        <v>1045</v>
      </c>
      <c r="P275" s="7">
        <v>0</v>
      </c>
      <c r="Q275" s="99" t="s">
        <v>1101</v>
      </c>
    </row>
    <row r="276" spans="1:18" ht="15" customHeight="1">
      <c r="A276" s="71">
        <v>2</v>
      </c>
      <c r="B276" s="2" t="s">
        <v>1011</v>
      </c>
      <c r="C276" s="71">
        <v>3</v>
      </c>
      <c r="D276" s="2" t="s">
        <v>1081</v>
      </c>
      <c r="E276" s="74">
        <v>0</v>
      </c>
      <c r="F276" s="71">
        <v>5</v>
      </c>
      <c r="G276" s="2" t="s">
        <v>5762</v>
      </c>
      <c r="H276" s="73" t="s">
        <v>5764</v>
      </c>
      <c r="I276" s="100" t="s">
        <v>5765</v>
      </c>
      <c r="J276" s="2" t="s">
        <v>24</v>
      </c>
      <c r="K276" s="2" t="s">
        <v>121</v>
      </c>
      <c r="M276" s="2" t="s">
        <v>24</v>
      </c>
      <c r="N276" s="2" t="s">
        <v>121</v>
      </c>
      <c r="O276" s="5"/>
      <c r="P276" s="7">
        <v>0</v>
      </c>
      <c r="Q276" s="99" t="s">
        <v>5763</v>
      </c>
    </row>
    <row r="277" spans="1:18" ht="15" customHeight="1">
      <c r="A277" s="71">
        <v>2</v>
      </c>
      <c r="B277" s="2" t="s">
        <v>1011</v>
      </c>
      <c r="C277" s="71">
        <v>3</v>
      </c>
      <c r="D277" s="2" t="s">
        <v>1081</v>
      </c>
      <c r="E277" s="74">
        <v>0</v>
      </c>
      <c r="F277" s="71">
        <v>6</v>
      </c>
      <c r="G277" s="2" t="s">
        <v>7684</v>
      </c>
      <c r="H277" s="73" t="s">
        <v>7686</v>
      </c>
      <c r="I277" s="100" t="s">
        <v>7683</v>
      </c>
      <c r="J277" s="2" t="s">
        <v>23</v>
      </c>
      <c r="K277" s="2" t="s">
        <v>23</v>
      </c>
      <c r="M277" s="2" t="s">
        <v>24</v>
      </c>
      <c r="N277" s="2" t="s">
        <v>23</v>
      </c>
      <c r="O277" s="5"/>
      <c r="P277" s="7">
        <v>0</v>
      </c>
      <c r="Q277" s="99" t="s">
        <v>7685</v>
      </c>
    </row>
    <row r="278" spans="1:18" ht="15" customHeight="1">
      <c r="A278" s="71">
        <v>2</v>
      </c>
      <c r="B278" s="2" t="s">
        <v>1011</v>
      </c>
      <c r="C278" s="71">
        <v>3</v>
      </c>
      <c r="D278" s="2" t="s">
        <v>1081</v>
      </c>
      <c r="E278" s="74">
        <v>0</v>
      </c>
      <c r="F278" s="71">
        <v>7</v>
      </c>
      <c r="G278" s="2" t="s">
        <v>305</v>
      </c>
      <c r="H278" s="73" t="s">
        <v>9466</v>
      </c>
      <c r="I278" s="100" t="s">
        <v>9467</v>
      </c>
      <c r="J278" s="2" t="s">
        <v>24</v>
      </c>
      <c r="K278" s="2" t="s">
        <v>25</v>
      </c>
      <c r="L278" s="5" t="s">
        <v>308</v>
      </c>
      <c r="M278" s="2" t="s">
        <v>24</v>
      </c>
      <c r="N278" s="2" t="s">
        <v>25</v>
      </c>
      <c r="O278" s="5" t="s">
        <v>308</v>
      </c>
      <c r="P278" s="7">
        <v>0</v>
      </c>
      <c r="Q278" s="99" t="s">
        <v>9465</v>
      </c>
    </row>
    <row r="279" spans="1:18" ht="15" customHeight="1">
      <c r="A279" s="71">
        <v>2</v>
      </c>
      <c r="B279" s="2" t="s">
        <v>1011</v>
      </c>
      <c r="C279" s="71">
        <v>4</v>
      </c>
      <c r="D279" s="2" t="s">
        <v>1102</v>
      </c>
      <c r="E279" s="74">
        <v>0</v>
      </c>
      <c r="F279" s="71">
        <v>0</v>
      </c>
      <c r="G279" s="2" t="s">
        <v>20</v>
      </c>
      <c r="H279" s="73" t="s">
        <v>1103</v>
      </c>
      <c r="I279" s="76" t="s">
        <v>1104</v>
      </c>
      <c r="J279" s="2" t="s">
        <v>23</v>
      </c>
      <c r="K279" s="2" t="s">
        <v>23</v>
      </c>
      <c r="M279" s="2" t="s">
        <v>24</v>
      </c>
      <c r="N279" s="2" t="s">
        <v>25</v>
      </c>
      <c r="O279" s="5" t="s">
        <v>26</v>
      </c>
      <c r="P279" s="7">
        <v>0</v>
      </c>
      <c r="Q279" s="1" t="s">
        <v>1105</v>
      </c>
      <c r="R279" s="16" t="s">
        <v>1106</v>
      </c>
    </row>
    <row r="280" spans="1:18" ht="15" customHeight="1">
      <c r="A280" s="71">
        <v>2</v>
      </c>
      <c r="B280" s="2" t="s">
        <v>1011</v>
      </c>
      <c r="C280" s="71">
        <v>4</v>
      </c>
      <c r="D280" s="2" t="s">
        <v>1102</v>
      </c>
      <c r="E280" s="74">
        <v>0</v>
      </c>
      <c r="F280" s="71">
        <v>1</v>
      </c>
      <c r="G280" s="2" t="s">
        <v>1107</v>
      </c>
      <c r="H280" s="73" t="s">
        <v>1108</v>
      </c>
      <c r="I280" s="100" t="s">
        <v>1109</v>
      </c>
      <c r="J280" s="2" t="s">
        <v>23</v>
      </c>
      <c r="K280" s="2" t="s">
        <v>23</v>
      </c>
      <c r="M280" s="2" t="s">
        <v>24</v>
      </c>
      <c r="N280" s="2" t="s">
        <v>116</v>
      </c>
      <c r="O280" s="11" t="s">
        <v>1109</v>
      </c>
      <c r="P280" s="7">
        <v>0</v>
      </c>
      <c r="Q280" s="99" t="s">
        <v>1110</v>
      </c>
    </row>
    <row r="281" spans="1:18" ht="15" customHeight="1">
      <c r="A281" s="71">
        <v>2</v>
      </c>
      <c r="B281" s="2" t="s">
        <v>1011</v>
      </c>
      <c r="C281" s="71">
        <v>4</v>
      </c>
      <c r="D281" s="2" t="s">
        <v>1102</v>
      </c>
      <c r="E281" s="74">
        <v>0</v>
      </c>
      <c r="F281" s="71">
        <v>2</v>
      </c>
      <c r="G281" s="2" t="s">
        <v>1111</v>
      </c>
      <c r="H281" s="73" t="s">
        <v>1112</v>
      </c>
      <c r="I281" s="100" t="s">
        <v>1113</v>
      </c>
      <c r="J281" s="2" t="s">
        <v>23</v>
      </c>
      <c r="K281" s="2" t="s">
        <v>23</v>
      </c>
      <c r="M281" s="2" t="s">
        <v>32</v>
      </c>
      <c r="N281" s="2" t="s">
        <v>23</v>
      </c>
      <c r="O281" s="11"/>
      <c r="P281" s="7">
        <v>0</v>
      </c>
      <c r="Q281" s="99" t="s">
        <v>1114</v>
      </c>
    </row>
    <row r="282" spans="1:18" ht="15" customHeight="1">
      <c r="A282" s="71">
        <v>2</v>
      </c>
      <c r="B282" s="2" t="s">
        <v>1011</v>
      </c>
      <c r="C282" s="71">
        <v>4</v>
      </c>
      <c r="D282" s="2" t="s">
        <v>1102</v>
      </c>
      <c r="E282" s="74">
        <v>0</v>
      </c>
      <c r="F282" s="71">
        <v>3</v>
      </c>
      <c r="G282" s="2" t="s">
        <v>1077</v>
      </c>
      <c r="H282" s="73" t="s">
        <v>1115</v>
      </c>
      <c r="I282" s="100" t="s">
        <v>1116</v>
      </c>
      <c r="J282" s="2" t="s">
        <v>163</v>
      </c>
      <c r="K282" s="2" t="s">
        <v>23</v>
      </c>
      <c r="M282" s="2" t="s">
        <v>23</v>
      </c>
      <c r="N282" s="2" t="s">
        <v>23</v>
      </c>
      <c r="O282" s="5"/>
      <c r="P282" s="7">
        <v>0</v>
      </c>
      <c r="Q282" s="99" t="s">
        <v>1080</v>
      </c>
    </row>
    <row r="283" spans="1:18" ht="15" customHeight="1">
      <c r="A283" s="71">
        <v>2</v>
      </c>
      <c r="B283" s="2" t="s">
        <v>1011</v>
      </c>
      <c r="C283" s="71">
        <v>4</v>
      </c>
      <c r="D283" s="2" t="s">
        <v>1102</v>
      </c>
      <c r="E283" s="74">
        <v>0</v>
      </c>
      <c r="F283" s="71">
        <v>4</v>
      </c>
      <c r="G283" s="2" t="s">
        <v>1117</v>
      </c>
      <c r="H283" s="73" t="s">
        <v>1118</v>
      </c>
      <c r="I283" s="100" t="s">
        <v>1119</v>
      </c>
      <c r="J283" s="2" t="s">
        <v>163</v>
      </c>
      <c r="K283" s="2" t="s">
        <v>23</v>
      </c>
      <c r="M283" s="2" t="s">
        <v>23</v>
      </c>
      <c r="N283" s="2" t="s">
        <v>23</v>
      </c>
      <c r="O283" s="11"/>
      <c r="P283" s="7">
        <v>0</v>
      </c>
      <c r="Q283" s="99" t="s">
        <v>1120</v>
      </c>
    </row>
    <row r="284" spans="1:18" ht="15" customHeight="1">
      <c r="A284" s="71">
        <v>2</v>
      </c>
      <c r="B284" s="2" t="s">
        <v>1011</v>
      </c>
      <c r="C284" s="71">
        <v>4</v>
      </c>
      <c r="D284" s="2" t="s">
        <v>1102</v>
      </c>
      <c r="E284" s="74">
        <v>0</v>
      </c>
      <c r="F284" s="71">
        <v>5</v>
      </c>
      <c r="G284" s="2" t="s">
        <v>1121</v>
      </c>
      <c r="H284" s="73" t="s">
        <v>1122</v>
      </c>
      <c r="I284" s="100" t="s">
        <v>1123</v>
      </c>
      <c r="J284" s="2" t="s">
        <v>23</v>
      </c>
      <c r="K284" s="2" t="s">
        <v>23</v>
      </c>
      <c r="M284" s="2" t="s">
        <v>24</v>
      </c>
      <c r="N284" s="2" t="s">
        <v>10876</v>
      </c>
      <c r="O284" s="11" t="s">
        <v>1123</v>
      </c>
      <c r="P284" s="7">
        <v>0</v>
      </c>
      <c r="Q284" s="99" t="s">
        <v>1124</v>
      </c>
    </row>
    <row r="285" spans="1:18" ht="15" customHeight="1">
      <c r="A285" s="71">
        <v>2</v>
      </c>
      <c r="B285" s="2" t="s">
        <v>1011</v>
      </c>
      <c r="C285" s="71">
        <v>4</v>
      </c>
      <c r="D285" s="2" t="s">
        <v>1102</v>
      </c>
      <c r="E285" s="74">
        <v>0</v>
      </c>
      <c r="F285" s="71">
        <v>6</v>
      </c>
      <c r="G285" s="2" t="s">
        <v>1125</v>
      </c>
      <c r="H285" s="73" t="s">
        <v>1126</v>
      </c>
      <c r="I285" s="100" t="s">
        <v>1127</v>
      </c>
      <c r="J285" s="2" t="s">
        <v>23</v>
      </c>
      <c r="K285" s="2" t="s">
        <v>23</v>
      </c>
      <c r="M285" s="2" t="s">
        <v>32</v>
      </c>
      <c r="N285" s="2" t="s">
        <v>23</v>
      </c>
      <c r="O285" s="5"/>
      <c r="P285" s="7">
        <v>0</v>
      </c>
      <c r="Q285" s="99" t="s">
        <v>1128</v>
      </c>
      <c r="R285" s="2" t="s">
        <v>1129</v>
      </c>
    </row>
    <row r="286" spans="1:18" ht="15" customHeight="1">
      <c r="A286" s="71">
        <v>2</v>
      </c>
      <c r="B286" s="2" t="s">
        <v>1011</v>
      </c>
      <c r="C286" s="71">
        <v>4</v>
      </c>
      <c r="D286" s="2" t="s">
        <v>1102</v>
      </c>
      <c r="E286" s="74">
        <v>0</v>
      </c>
      <c r="F286" s="71">
        <v>7</v>
      </c>
      <c r="G286" s="2" t="s">
        <v>1130</v>
      </c>
      <c r="H286" s="73" t="s">
        <v>1131</v>
      </c>
      <c r="I286" s="100" t="s">
        <v>1132</v>
      </c>
      <c r="J286" s="2" t="s">
        <v>23</v>
      </c>
      <c r="K286" s="2" t="s">
        <v>23</v>
      </c>
      <c r="M286" s="2" t="s">
        <v>32</v>
      </c>
      <c r="N286" s="2" t="s">
        <v>23</v>
      </c>
      <c r="O286" s="5"/>
      <c r="P286" s="7">
        <v>0</v>
      </c>
      <c r="Q286" s="99" t="s">
        <v>1133</v>
      </c>
      <c r="R286" s="2" t="s">
        <v>1129</v>
      </c>
    </row>
    <row r="287" spans="1:18" ht="15" customHeight="1">
      <c r="A287" s="71">
        <v>2</v>
      </c>
      <c r="B287" s="2" t="s">
        <v>1011</v>
      </c>
      <c r="C287" s="71">
        <v>4</v>
      </c>
      <c r="D287" s="2" t="s">
        <v>1102</v>
      </c>
      <c r="E287" s="74">
        <v>0</v>
      </c>
      <c r="F287" s="71">
        <v>8</v>
      </c>
      <c r="G287" s="2" t="s">
        <v>1134</v>
      </c>
      <c r="H287" s="73" t="s">
        <v>1135</v>
      </c>
      <c r="I287" s="100" t="s">
        <v>1136</v>
      </c>
      <c r="J287" s="2" t="s">
        <v>163</v>
      </c>
      <c r="K287" s="2" t="s">
        <v>23</v>
      </c>
      <c r="M287" s="2" t="s">
        <v>23</v>
      </c>
      <c r="N287" s="2" t="s">
        <v>23</v>
      </c>
      <c r="O287" s="5"/>
      <c r="P287" s="7">
        <v>0</v>
      </c>
      <c r="Q287" s="99" t="s">
        <v>1137</v>
      </c>
    </row>
    <row r="288" spans="1:18" ht="15" customHeight="1">
      <c r="A288" s="71">
        <v>2</v>
      </c>
      <c r="B288" s="2" t="s">
        <v>1011</v>
      </c>
      <c r="C288" s="71">
        <v>4</v>
      </c>
      <c r="D288" s="2" t="s">
        <v>1102</v>
      </c>
      <c r="E288" s="74">
        <v>0</v>
      </c>
      <c r="F288" s="71">
        <v>9</v>
      </c>
      <c r="G288" s="2" t="s">
        <v>1138</v>
      </c>
      <c r="H288" s="73" t="s">
        <v>1139</v>
      </c>
      <c r="I288" s="100" t="s">
        <v>1140</v>
      </c>
      <c r="J288" s="2" t="s">
        <v>23</v>
      </c>
      <c r="K288" s="2" t="s">
        <v>23</v>
      </c>
      <c r="M288" s="2" t="s">
        <v>8100</v>
      </c>
      <c r="N288" s="2" t="s">
        <v>8099</v>
      </c>
      <c r="O288" s="11"/>
      <c r="P288" s="7">
        <v>0</v>
      </c>
      <c r="Q288" s="99" t="s">
        <v>1141</v>
      </c>
    </row>
    <row r="289" spans="1:17" ht="15" customHeight="1">
      <c r="A289" s="71">
        <v>2</v>
      </c>
      <c r="B289" s="2" t="s">
        <v>1011</v>
      </c>
      <c r="C289" s="71">
        <v>4</v>
      </c>
      <c r="D289" s="2" t="s">
        <v>1102</v>
      </c>
      <c r="E289" s="74">
        <v>0</v>
      </c>
      <c r="F289" s="71">
        <v>10</v>
      </c>
      <c r="G289" s="2" t="s">
        <v>1018</v>
      </c>
      <c r="H289" s="73" t="s">
        <v>5785</v>
      </c>
      <c r="I289" s="100" t="s">
        <v>5786</v>
      </c>
      <c r="J289" s="2" t="s">
        <v>23</v>
      </c>
      <c r="K289" s="2" t="s">
        <v>23</v>
      </c>
      <c r="M289" s="2" t="s">
        <v>24</v>
      </c>
      <c r="N289" s="2" t="s">
        <v>23</v>
      </c>
      <c r="O289" s="11"/>
      <c r="P289" s="7">
        <v>0</v>
      </c>
      <c r="Q289" s="99" t="s">
        <v>5784</v>
      </c>
    </row>
    <row r="290" spans="1:17" ht="15" customHeight="1">
      <c r="A290" s="71">
        <v>2</v>
      </c>
      <c r="B290" s="2" t="s">
        <v>1011</v>
      </c>
      <c r="C290" s="71">
        <v>4</v>
      </c>
      <c r="D290" s="2" t="s">
        <v>1102</v>
      </c>
      <c r="E290" s="74">
        <v>0</v>
      </c>
      <c r="F290" s="71">
        <v>11</v>
      </c>
      <c r="G290" s="2" t="s">
        <v>9557</v>
      </c>
      <c r="H290" s="73" t="s">
        <v>9558</v>
      </c>
      <c r="I290" s="100" t="s">
        <v>9559</v>
      </c>
      <c r="J290" s="2" t="s">
        <v>38</v>
      </c>
      <c r="K290" s="2" t="s">
        <v>23</v>
      </c>
      <c r="M290" s="2" t="s">
        <v>23</v>
      </c>
      <c r="N290" s="2" t="s">
        <v>23</v>
      </c>
      <c r="O290" s="11"/>
      <c r="P290" s="7">
        <v>0</v>
      </c>
      <c r="Q290" s="99" t="s">
        <v>1076</v>
      </c>
    </row>
    <row r="291" spans="1:17" ht="15" customHeight="1">
      <c r="A291" s="21">
        <v>2</v>
      </c>
      <c r="B291" s="2" t="s">
        <v>1011</v>
      </c>
      <c r="C291" s="21">
        <v>5</v>
      </c>
      <c r="D291" s="2" t="s">
        <v>1142</v>
      </c>
      <c r="E291" s="14">
        <v>0</v>
      </c>
      <c r="F291" s="21">
        <v>0</v>
      </c>
      <c r="G291" s="2" t="s">
        <v>20</v>
      </c>
      <c r="H291" s="23" t="s">
        <v>1143</v>
      </c>
      <c r="I291" s="34" t="s">
        <v>1144</v>
      </c>
      <c r="J291" s="2" t="s">
        <v>23</v>
      </c>
      <c r="K291" s="2" t="s">
        <v>23</v>
      </c>
      <c r="M291" s="2" t="s">
        <v>24</v>
      </c>
      <c r="N291" s="2" t="s">
        <v>25</v>
      </c>
      <c r="O291" s="5" t="s">
        <v>26</v>
      </c>
      <c r="P291" s="7">
        <v>1</v>
      </c>
      <c r="Q291" s="1" t="s">
        <v>1145</v>
      </c>
    </row>
    <row r="292" spans="1:17" ht="15" customHeight="1">
      <c r="A292" s="21">
        <v>2</v>
      </c>
      <c r="B292" s="2" t="s">
        <v>1011</v>
      </c>
      <c r="C292" s="21">
        <v>5</v>
      </c>
      <c r="D292" s="2" t="s">
        <v>1142</v>
      </c>
      <c r="E292" s="14">
        <v>0</v>
      </c>
      <c r="F292" s="21">
        <v>1</v>
      </c>
      <c r="G292" s="2" t="s">
        <v>1146</v>
      </c>
      <c r="H292" s="23" t="s">
        <v>1147</v>
      </c>
      <c r="I292" s="101" t="s">
        <v>1148</v>
      </c>
      <c r="J292" s="2" t="s">
        <v>38</v>
      </c>
      <c r="K292" s="2" t="s">
        <v>23</v>
      </c>
      <c r="M292" s="2" t="s">
        <v>38</v>
      </c>
      <c r="N292" s="2" t="s">
        <v>23</v>
      </c>
      <c r="O292" s="16"/>
      <c r="P292" s="7">
        <v>1</v>
      </c>
      <c r="Q292" s="99" t="s">
        <v>1149</v>
      </c>
    </row>
    <row r="293" spans="1:17" ht="15" customHeight="1">
      <c r="A293" s="21">
        <v>2</v>
      </c>
      <c r="B293" s="2" t="s">
        <v>1011</v>
      </c>
      <c r="C293" s="21">
        <v>5</v>
      </c>
      <c r="D293" s="2" t="s">
        <v>1142</v>
      </c>
      <c r="E293" s="14">
        <v>0</v>
      </c>
      <c r="F293" s="21">
        <v>2</v>
      </c>
      <c r="G293" s="2" t="s">
        <v>1150</v>
      </c>
      <c r="H293" s="23" t="s">
        <v>1151</v>
      </c>
      <c r="I293" s="101" t="s">
        <v>1152</v>
      </c>
      <c r="J293" s="2" t="s">
        <v>38</v>
      </c>
      <c r="K293" s="2" t="s">
        <v>23</v>
      </c>
      <c r="M293" s="2" t="s">
        <v>38</v>
      </c>
      <c r="N293" s="2" t="s">
        <v>23</v>
      </c>
      <c r="O293" s="16"/>
      <c r="P293" s="7">
        <v>1</v>
      </c>
      <c r="Q293" s="99" t="s">
        <v>1153</v>
      </c>
    </row>
    <row r="294" spans="1:17" ht="15" customHeight="1">
      <c r="A294" s="71">
        <v>2</v>
      </c>
      <c r="B294" s="2" t="s">
        <v>1011</v>
      </c>
      <c r="C294" s="71">
        <v>6</v>
      </c>
      <c r="D294" s="2" t="s">
        <v>1154</v>
      </c>
      <c r="E294" s="74">
        <v>0</v>
      </c>
      <c r="F294" s="71">
        <v>0</v>
      </c>
      <c r="G294" s="2" t="s">
        <v>20</v>
      </c>
      <c r="H294" s="73" t="s">
        <v>1155</v>
      </c>
      <c r="I294" s="76" t="s">
        <v>1156</v>
      </c>
      <c r="J294" s="2" t="s">
        <v>23</v>
      </c>
      <c r="K294" s="2" t="s">
        <v>23</v>
      </c>
      <c r="M294" s="2" t="s">
        <v>24</v>
      </c>
      <c r="N294" s="2" t="s">
        <v>25</v>
      </c>
      <c r="O294" s="5" t="s">
        <v>26</v>
      </c>
      <c r="P294" s="7">
        <v>0</v>
      </c>
      <c r="Q294" s="1" t="s">
        <v>1157</v>
      </c>
    </row>
    <row r="295" spans="1:17" ht="15" customHeight="1">
      <c r="A295" s="71">
        <v>2</v>
      </c>
      <c r="B295" s="2" t="s">
        <v>1011</v>
      </c>
      <c r="C295" s="71">
        <v>6</v>
      </c>
      <c r="D295" s="2" t="s">
        <v>1154</v>
      </c>
      <c r="E295" s="74">
        <v>0</v>
      </c>
      <c r="F295" s="71">
        <v>1</v>
      </c>
      <c r="G295" s="2" t="s">
        <v>859</v>
      </c>
      <c r="H295" s="73" t="s">
        <v>1158</v>
      </c>
      <c r="I295" s="100" t="s">
        <v>1159</v>
      </c>
      <c r="J295" s="2" t="s">
        <v>23</v>
      </c>
      <c r="K295" s="2" t="s">
        <v>23</v>
      </c>
      <c r="M295" s="2" t="s">
        <v>38</v>
      </c>
      <c r="N295" s="2" t="s">
        <v>23</v>
      </c>
      <c r="O295" s="16"/>
      <c r="P295" s="7">
        <v>0</v>
      </c>
      <c r="Q295" s="99" t="s">
        <v>863</v>
      </c>
    </row>
    <row r="296" spans="1:17" ht="15" customHeight="1">
      <c r="A296" s="71">
        <v>2</v>
      </c>
      <c r="B296" s="2" t="s">
        <v>1011</v>
      </c>
      <c r="C296" s="71">
        <v>6</v>
      </c>
      <c r="D296" s="2" t="s">
        <v>1154</v>
      </c>
      <c r="E296" s="74">
        <v>0</v>
      </c>
      <c r="F296" s="71">
        <v>2</v>
      </c>
      <c r="G296" s="2" t="s">
        <v>864</v>
      </c>
      <c r="H296" s="73" t="s">
        <v>1160</v>
      </c>
      <c r="I296" s="100" t="s">
        <v>1161</v>
      </c>
      <c r="J296" s="2" t="s">
        <v>23</v>
      </c>
      <c r="K296" s="2" t="s">
        <v>23</v>
      </c>
      <c r="M296" s="2" t="s">
        <v>38</v>
      </c>
      <c r="N296" s="2" t="s">
        <v>23</v>
      </c>
      <c r="O296" s="16"/>
      <c r="P296" s="7">
        <v>0</v>
      </c>
      <c r="Q296" s="99" t="s">
        <v>867</v>
      </c>
    </row>
    <row r="297" spans="1:17" ht="15" customHeight="1">
      <c r="A297" s="71">
        <v>2</v>
      </c>
      <c r="B297" s="2" t="s">
        <v>1011</v>
      </c>
      <c r="C297" s="71">
        <v>6</v>
      </c>
      <c r="D297" s="2" t="s">
        <v>1154</v>
      </c>
      <c r="E297" s="74">
        <v>0</v>
      </c>
      <c r="F297" s="71">
        <v>3</v>
      </c>
      <c r="G297" s="2" t="s">
        <v>1162</v>
      </c>
      <c r="H297" s="73" t="s">
        <v>1163</v>
      </c>
      <c r="I297" s="100" t="s">
        <v>1164</v>
      </c>
      <c r="J297" s="2" t="s">
        <v>23</v>
      </c>
      <c r="K297" s="2" t="s">
        <v>23</v>
      </c>
      <c r="M297" s="2" t="s">
        <v>38</v>
      </c>
      <c r="N297" s="2" t="s">
        <v>23</v>
      </c>
      <c r="O297" s="16"/>
      <c r="P297" s="7">
        <v>0</v>
      </c>
      <c r="Q297" s="99" t="s">
        <v>1165</v>
      </c>
    </row>
    <row r="298" spans="1:17" ht="15" customHeight="1">
      <c r="A298" s="71">
        <v>2</v>
      </c>
      <c r="B298" s="2" t="s">
        <v>1011</v>
      </c>
      <c r="C298" s="71">
        <v>6</v>
      </c>
      <c r="D298" s="2" t="s">
        <v>1154</v>
      </c>
      <c r="E298" s="74">
        <v>0</v>
      </c>
      <c r="F298" s="71">
        <v>4</v>
      </c>
      <c r="G298" s="2" t="s">
        <v>1166</v>
      </c>
      <c r="H298" s="73" t="s">
        <v>1167</v>
      </c>
      <c r="I298" s="100" t="s">
        <v>1168</v>
      </c>
      <c r="J298" s="2" t="s">
        <v>23</v>
      </c>
      <c r="K298" s="2" t="s">
        <v>23</v>
      </c>
      <c r="M298" s="2" t="s">
        <v>38</v>
      </c>
      <c r="N298" s="2" t="s">
        <v>23</v>
      </c>
      <c r="O298" s="16"/>
      <c r="P298" s="7">
        <v>0</v>
      </c>
      <c r="Q298" s="99" t="s">
        <v>1169</v>
      </c>
    </row>
    <row r="299" spans="1:17" ht="15" customHeight="1">
      <c r="A299" s="71">
        <v>2</v>
      </c>
      <c r="B299" s="2" t="s">
        <v>1011</v>
      </c>
      <c r="C299" s="71">
        <v>6</v>
      </c>
      <c r="D299" s="2" t="s">
        <v>1154</v>
      </c>
      <c r="E299" s="74">
        <v>0</v>
      </c>
      <c r="F299" s="71">
        <v>5</v>
      </c>
      <c r="G299" s="2" t="s">
        <v>1170</v>
      </c>
      <c r="H299" s="73" t="s">
        <v>1171</v>
      </c>
      <c r="I299" s="100" t="s">
        <v>1172</v>
      </c>
      <c r="J299" s="2" t="s">
        <v>23</v>
      </c>
      <c r="K299" s="2" t="s">
        <v>23</v>
      </c>
      <c r="M299" s="2" t="s">
        <v>38</v>
      </c>
      <c r="N299" s="2" t="s">
        <v>23</v>
      </c>
      <c r="O299" s="16"/>
      <c r="P299" s="7">
        <v>0</v>
      </c>
      <c r="Q299" s="99" t="s">
        <v>1173</v>
      </c>
    </row>
    <row r="300" spans="1:17" ht="15" customHeight="1">
      <c r="A300" s="71">
        <v>2</v>
      </c>
      <c r="B300" s="2" t="s">
        <v>1011</v>
      </c>
      <c r="C300" s="71">
        <v>6</v>
      </c>
      <c r="D300" s="2" t="s">
        <v>1154</v>
      </c>
      <c r="E300" s="74">
        <v>0</v>
      </c>
      <c r="F300" s="71">
        <v>6</v>
      </c>
      <c r="G300" s="2" t="s">
        <v>1174</v>
      </c>
      <c r="H300" s="73" t="s">
        <v>1175</v>
      </c>
      <c r="I300" s="100" t="s">
        <v>1176</v>
      </c>
      <c r="J300" s="2" t="s">
        <v>23</v>
      </c>
      <c r="K300" s="2" t="s">
        <v>23</v>
      </c>
      <c r="M300" s="2" t="s">
        <v>38</v>
      </c>
      <c r="N300" s="2" t="s">
        <v>23</v>
      </c>
      <c r="O300" s="16"/>
      <c r="P300" s="7">
        <v>0</v>
      </c>
      <c r="Q300" s="99" t="s">
        <v>1177</v>
      </c>
    </row>
    <row r="301" spans="1:17" ht="15" customHeight="1">
      <c r="A301" s="71">
        <v>2</v>
      </c>
      <c r="B301" s="2" t="s">
        <v>1011</v>
      </c>
      <c r="C301" s="71">
        <v>6</v>
      </c>
      <c r="D301" s="2" t="s">
        <v>1154</v>
      </c>
      <c r="E301" s="74">
        <v>0</v>
      </c>
      <c r="F301" s="71">
        <v>7</v>
      </c>
      <c r="G301" s="2" t="s">
        <v>1178</v>
      </c>
      <c r="H301" s="73" t="s">
        <v>1179</v>
      </c>
      <c r="I301" s="100" t="s">
        <v>1180</v>
      </c>
      <c r="J301" s="2" t="s">
        <v>23</v>
      </c>
      <c r="K301" s="2" t="s">
        <v>23</v>
      </c>
      <c r="M301" s="2" t="s">
        <v>38</v>
      </c>
      <c r="N301" s="2" t="s">
        <v>23</v>
      </c>
      <c r="O301" s="16"/>
      <c r="P301" s="7">
        <v>0</v>
      </c>
      <c r="Q301" s="99" t="s">
        <v>1178</v>
      </c>
    </row>
    <row r="302" spans="1:17" ht="15" customHeight="1">
      <c r="A302" s="71">
        <v>2</v>
      </c>
      <c r="B302" s="2" t="s">
        <v>1011</v>
      </c>
      <c r="C302" s="71">
        <v>6</v>
      </c>
      <c r="D302" s="2" t="s">
        <v>1154</v>
      </c>
      <c r="E302" s="74">
        <v>0</v>
      </c>
      <c r="F302" s="71">
        <v>8</v>
      </c>
      <c r="G302" s="2" t="s">
        <v>481</v>
      </c>
      <c r="H302" s="73" t="s">
        <v>1181</v>
      </c>
      <c r="I302" s="100" t="s">
        <v>1182</v>
      </c>
      <c r="J302" s="2" t="s">
        <v>23</v>
      </c>
      <c r="K302" s="2" t="s">
        <v>23</v>
      </c>
      <c r="M302" s="2" t="s">
        <v>38</v>
      </c>
      <c r="N302" s="2" t="s">
        <v>23</v>
      </c>
      <c r="O302" s="16"/>
      <c r="P302" s="7">
        <v>0</v>
      </c>
      <c r="Q302" s="99" t="s">
        <v>484</v>
      </c>
    </row>
    <row r="303" spans="1:17" ht="15" customHeight="1">
      <c r="A303" s="71">
        <v>2</v>
      </c>
      <c r="B303" s="2" t="s">
        <v>1011</v>
      </c>
      <c r="C303" s="71">
        <v>6</v>
      </c>
      <c r="D303" s="2" t="s">
        <v>1154</v>
      </c>
      <c r="E303" s="74">
        <v>0</v>
      </c>
      <c r="F303" s="71">
        <v>9</v>
      </c>
      <c r="G303" s="2" t="s">
        <v>1183</v>
      </c>
      <c r="H303" s="73" t="s">
        <v>1184</v>
      </c>
      <c r="I303" s="100" t="s">
        <v>1185</v>
      </c>
      <c r="J303" s="2" t="s">
        <v>23</v>
      </c>
      <c r="K303" s="2" t="s">
        <v>23</v>
      </c>
      <c r="M303" s="2" t="s">
        <v>38</v>
      </c>
      <c r="N303" s="2" t="s">
        <v>23</v>
      </c>
      <c r="O303" s="16"/>
      <c r="P303" s="7">
        <v>0</v>
      </c>
      <c r="Q303" s="99" t="s">
        <v>1186</v>
      </c>
    </row>
    <row r="304" spans="1:17" ht="15" customHeight="1">
      <c r="A304" s="21">
        <v>2</v>
      </c>
      <c r="B304" s="2" t="s">
        <v>1011</v>
      </c>
      <c r="C304" s="21">
        <v>7</v>
      </c>
      <c r="D304" s="2" t="s">
        <v>1187</v>
      </c>
      <c r="E304" s="14">
        <v>0</v>
      </c>
      <c r="F304" s="21">
        <v>0</v>
      </c>
      <c r="G304" s="2" t="s">
        <v>20</v>
      </c>
      <c r="H304" s="23" t="s">
        <v>1188</v>
      </c>
      <c r="I304" s="34" t="s">
        <v>1189</v>
      </c>
      <c r="J304" s="2" t="s">
        <v>23</v>
      </c>
      <c r="K304" s="2" t="s">
        <v>23</v>
      </c>
      <c r="M304" s="2" t="s">
        <v>24</v>
      </c>
      <c r="N304" s="2" t="s">
        <v>25</v>
      </c>
      <c r="O304" s="5" t="s">
        <v>26</v>
      </c>
      <c r="P304" s="7">
        <v>1</v>
      </c>
      <c r="Q304" s="1" t="s">
        <v>1190</v>
      </c>
    </row>
    <row r="305" spans="1:18" ht="15" customHeight="1">
      <c r="A305" s="21">
        <v>2</v>
      </c>
      <c r="B305" s="2" t="s">
        <v>1011</v>
      </c>
      <c r="C305" s="21">
        <v>7</v>
      </c>
      <c r="D305" s="2" t="s">
        <v>1187</v>
      </c>
      <c r="E305" s="14">
        <v>0</v>
      </c>
      <c r="F305" s="21">
        <v>1</v>
      </c>
      <c r="G305" s="2" t="s">
        <v>1191</v>
      </c>
      <c r="H305" s="23" t="s">
        <v>1192</v>
      </c>
      <c r="I305" s="101" t="s">
        <v>1193</v>
      </c>
      <c r="J305" s="2" t="s">
        <v>23</v>
      </c>
      <c r="K305" s="2" t="s">
        <v>23</v>
      </c>
      <c r="M305" s="2" t="s">
        <v>24</v>
      </c>
      <c r="N305" s="2" t="s">
        <v>116</v>
      </c>
      <c r="O305" s="11" t="s">
        <v>1193</v>
      </c>
      <c r="P305" s="7">
        <v>1</v>
      </c>
      <c r="Q305" s="99" t="s">
        <v>852</v>
      </c>
    </row>
    <row r="306" spans="1:18" ht="15" customHeight="1">
      <c r="A306" s="21">
        <v>2</v>
      </c>
      <c r="B306" s="2" t="s">
        <v>1011</v>
      </c>
      <c r="C306" s="21">
        <v>7</v>
      </c>
      <c r="D306" s="2" t="s">
        <v>1187</v>
      </c>
      <c r="E306" s="14">
        <v>0</v>
      </c>
      <c r="F306" s="21">
        <v>2</v>
      </c>
      <c r="G306" s="2" t="s">
        <v>1194</v>
      </c>
      <c r="H306" s="23" t="s">
        <v>1195</v>
      </c>
      <c r="I306" s="101" t="s">
        <v>1196</v>
      </c>
      <c r="J306" s="2" t="s">
        <v>23</v>
      </c>
      <c r="K306" s="2" t="s">
        <v>23</v>
      </c>
      <c r="M306" s="2" t="s">
        <v>24</v>
      </c>
      <c r="N306" s="2" t="s">
        <v>23</v>
      </c>
      <c r="O306" s="11"/>
      <c r="P306" s="7">
        <v>1</v>
      </c>
      <c r="Q306" s="99" t="s">
        <v>1197</v>
      </c>
    </row>
    <row r="307" spans="1:18" ht="15" customHeight="1">
      <c r="A307" s="71">
        <v>2</v>
      </c>
      <c r="B307" s="2" t="s">
        <v>1011</v>
      </c>
      <c r="C307" s="71">
        <v>7</v>
      </c>
      <c r="D307" s="2" t="s">
        <v>1187</v>
      </c>
      <c r="E307" s="74">
        <v>0</v>
      </c>
      <c r="F307" s="71">
        <v>3</v>
      </c>
      <c r="G307" s="2" t="s">
        <v>5719</v>
      </c>
      <c r="H307" s="73" t="s">
        <v>5722</v>
      </c>
      <c r="I307" s="100" t="s">
        <v>5723</v>
      </c>
      <c r="J307" s="2" t="s">
        <v>24</v>
      </c>
      <c r="K307" s="2" t="s">
        <v>25</v>
      </c>
      <c r="L307" s="2" t="s">
        <v>5724</v>
      </c>
      <c r="M307" s="2" t="s">
        <v>23</v>
      </c>
      <c r="N307" s="2" t="s">
        <v>23</v>
      </c>
      <c r="O307" s="11"/>
      <c r="P307" s="7">
        <v>0</v>
      </c>
      <c r="Q307" s="99" t="s">
        <v>5720</v>
      </c>
      <c r="R307" s="2" t="s">
        <v>5721</v>
      </c>
    </row>
    <row r="308" spans="1:18" ht="15" customHeight="1">
      <c r="A308" s="71">
        <v>2</v>
      </c>
      <c r="B308" s="2" t="s">
        <v>1011</v>
      </c>
      <c r="C308" s="71">
        <v>7</v>
      </c>
      <c r="D308" s="2" t="s">
        <v>1187</v>
      </c>
      <c r="E308" s="74">
        <v>0</v>
      </c>
      <c r="F308" s="71">
        <v>4</v>
      </c>
      <c r="G308" s="2" t="s">
        <v>8993</v>
      </c>
      <c r="H308" s="73" t="s">
        <v>8994</v>
      </c>
      <c r="I308" s="100" t="s">
        <v>8995</v>
      </c>
      <c r="J308" s="2" t="s">
        <v>38</v>
      </c>
      <c r="K308" s="2" t="s">
        <v>23</v>
      </c>
      <c r="M308" s="2" t="s">
        <v>38</v>
      </c>
      <c r="N308" s="2" t="s">
        <v>23</v>
      </c>
      <c r="O308" s="11"/>
      <c r="P308" s="7">
        <v>0</v>
      </c>
      <c r="Q308" s="99" t="s">
        <v>8997</v>
      </c>
      <c r="R308" s="2" t="s">
        <v>8996</v>
      </c>
    </row>
    <row r="309" spans="1:18" ht="15" customHeight="1">
      <c r="A309" s="71">
        <v>2</v>
      </c>
      <c r="B309" s="2" t="s">
        <v>1011</v>
      </c>
      <c r="C309" s="71">
        <v>7</v>
      </c>
      <c r="D309" s="2" t="s">
        <v>1187</v>
      </c>
      <c r="E309" s="74">
        <v>0</v>
      </c>
      <c r="F309" s="71">
        <v>5</v>
      </c>
      <c r="G309" s="2" t="s">
        <v>10750</v>
      </c>
      <c r="H309" s="73" t="s">
        <v>10751</v>
      </c>
      <c r="I309" s="100" t="s">
        <v>10752</v>
      </c>
      <c r="J309" s="2" t="s">
        <v>24</v>
      </c>
      <c r="K309" s="2" t="s">
        <v>25</v>
      </c>
      <c r="M309" s="2" t="s">
        <v>24</v>
      </c>
      <c r="N309" s="2" t="s">
        <v>25</v>
      </c>
      <c r="O309" s="11"/>
      <c r="P309" s="7">
        <v>0</v>
      </c>
      <c r="Q309" s="99" t="s">
        <v>10753</v>
      </c>
      <c r="R309" s="2" t="s">
        <v>10754</v>
      </c>
    </row>
    <row r="310" spans="1:18" ht="15" customHeight="1">
      <c r="A310" s="21">
        <v>2</v>
      </c>
      <c r="B310" s="2" t="s">
        <v>1011</v>
      </c>
      <c r="C310" s="21">
        <v>8</v>
      </c>
      <c r="D310" s="2" t="s">
        <v>1198</v>
      </c>
      <c r="E310" s="14">
        <v>0</v>
      </c>
      <c r="F310" s="21">
        <v>0</v>
      </c>
      <c r="G310" s="2" t="s">
        <v>20</v>
      </c>
      <c r="H310" s="23" t="s">
        <v>1199</v>
      </c>
      <c r="I310" s="34" t="s">
        <v>1200</v>
      </c>
      <c r="J310" s="2" t="s">
        <v>23</v>
      </c>
      <c r="K310" s="2" t="s">
        <v>23</v>
      </c>
      <c r="M310" s="2" t="s">
        <v>24</v>
      </c>
      <c r="N310" s="2" t="s">
        <v>25</v>
      </c>
      <c r="O310" s="5" t="s">
        <v>26</v>
      </c>
      <c r="P310" s="7">
        <v>1</v>
      </c>
      <c r="Q310" s="1" t="s">
        <v>1201</v>
      </c>
    </row>
    <row r="311" spans="1:18" ht="15" customHeight="1">
      <c r="A311" s="21">
        <v>2</v>
      </c>
      <c r="B311" s="2" t="s">
        <v>1011</v>
      </c>
      <c r="C311" s="21">
        <v>8</v>
      </c>
      <c r="D311" s="2" t="s">
        <v>1198</v>
      </c>
      <c r="E311" s="14">
        <v>0</v>
      </c>
      <c r="F311" s="21">
        <v>1</v>
      </c>
      <c r="G311" s="2" t="s">
        <v>35</v>
      </c>
      <c r="H311" s="23" t="s">
        <v>1202</v>
      </c>
      <c r="I311" s="101" t="s">
        <v>1203</v>
      </c>
      <c r="J311" s="2" t="s">
        <v>23</v>
      </c>
      <c r="K311" s="2" t="s">
        <v>23</v>
      </c>
      <c r="M311" s="2" t="s">
        <v>38</v>
      </c>
      <c r="N311" s="2" t="s">
        <v>23</v>
      </c>
      <c r="O311" s="16"/>
      <c r="P311" s="7">
        <v>1</v>
      </c>
      <c r="Q311" s="99" t="s">
        <v>503</v>
      </c>
    </row>
    <row r="312" spans="1:18" ht="15" customHeight="1">
      <c r="A312" s="21">
        <v>2</v>
      </c>
      <c r="B312" s="2" t="s">
        <v>1011</v>
      </c>
      <c r="C312" s="21">
        <v>8</v>
      </c>
      <c r="D312" s="2" t="s">
        <v>1198</v>
      </c>
      <c r="E312" s="14">
        <v>0</v>
      </c>
      <c r="F312" s="21">
        <v>2</v>
      </c>
      <c r="G312" s="2" t="s">
        <v>1204</v>
      </c>
      <c r="H312" s="23" t="s">
        <v>1205</v>
      </c>
      <c r="I312" s="101" t="s">
        <v>1206</v>
      </c>
      <c r="J312" s="2" t="s">
        <v>23</v>
      </c>
      <c r="K312" s="2" t="s">
        <v>23</v>
      </c>
      <c r="M312" s="2" t="s">
        <v>38</v>
      </c>
      <c r="N312" s="2" t="s">
        <v>23</v>
      </c>
      <c r="O312" s="16"/>
      <c r="P312" s="7">
        <v>1</v>
      </c>
      <c r="Q312" s="99" t="s">
        <v>1207</v>
      </c>
    </row>
    <row r="313" spans="1:18" ht="15" customHeight="1">
      <c r="A313" s="21">
        <v>2</v>
      </c>
      <c r="B313" s="2" t="s">
        <v>1011</v>
      </c>
      <c r="C313" s="21">
        <v>8</v>
      </c>
      <c r="D313" s="2" t="s">
        <v>1198</v>
      </c>
      <c r="E313" s="14">
        <v>0</v>
      </c>
      <c r="F313" s="21">
        <v>3</v>
      </c>
      <c r="G313" s="2" t="s">
        <v>1208</v>
      </c>
      <c r="H313" s="23" t="s">
        <v>1209</v>
      </c>
      <c r="I313" s="101" t="s">
        <v>1210</v>
      </c>
      <c r="J313" s="2" t="s">
        <v>23</v>
      </c>
      <c r="K313" s="2" t="s">
        <v>23</v>
      </c>
      <c r="M313" s="2" t="s">
        <v>38</v>
      </c>
      <c r="N313" s="2" t="s">
        <v>23</v>
      </c>
      <c r="O313" s="16"/>
      <c r="P313" s="7">
        <v>1</v>
      </c>
      <c r="Q313" s="99" t="s">
        <v>1211</v>
      </c>
    </row>
    <row r="314" spans="1:18" ht="15" customHeight="1">
      <c r="A314" s="21">
        <v>2</v>
      </c>
      <c r="B314" s="2" t="s">
        <v>1011</v>
      </c>
      <c r="C314" s="21">
        <v>9</v>
      </c>
      <c r="D314" s="2" t="s">
        <v>1212</v>
      </c>
      <c r="E314" s="14">
        <v>0</v>
      </c>
      <c r="F314" s="21">
        <v>0</v>
      </c>
      <c r="G314" s="2" t="s">
        <v>20</v>
      </c>
      <c r="H314" s="23" t="s">
        <v>1213</v>
      </c>
      <c r="I314" s="34" t="s">
        <v>1214</v>
      </c>
      <c r="J314" s="2" t="s">
        <v>23</v>
      </c>
      <c r="K314" s="2" t="s">
        <v>23</v>
      </c>
      <c r="M314" s="2" t="s">
        <v>24</v>
      </c>
      <c r="N314" s="2" t="s">
        <v>25</v>
      </c>
      <c r="O314" s="5" t="s">
        <v>26</v>
      </c>
      <c r="P314" s="7">
        <v>1</v>
      </c>
      <c r="Q314" s="1" t="s">
        <v>1215</v>
      </c>
    </row>
    <row r="315" spans="1:18" ht="15" customHeight="1">
      <c r="A315" s="21">
        <v>2</v>
      </c>
      <c r="B315" s="2" t="s">
        <v>1011</v>
      </c>
      <c r="C315" s="21">
        <v>9</v>
      </c>
      <c r="D315" s="2" t="s">
        <v>1212</v>
      </c>
      <c r="E315" s="14">
        <v>0</v>
      </c>
      <c r="F315" s="21">
        <v>1</v>
      </c>
      <c r="G315" s="2" t="s">
        <v>599</v>
      </c>
      <c r="H315" s="23" t="s">
        <v>1216</v>
      </c>
      <c r="I315" s="101" t="s">
        <v>1217</v>
      </c>
      <c r="J315" s="2" t="s">
        <v>23</v>
      </c>
      <c r="K315" s="2" t="s">
        <v>23</v>
      </c>
      <c r="M315" s="2" t="s">
        <v>24</v>
      </c>
      <c r="N315" s="2" t="s">
        <v>25</v>
      </c>
      <c r="O315" s="5" t="s">
        <v>1218</v>
      </c>
      <c r="P315" s="7">
        <v>1</v>
      </c>
      <c r="Q315" s="99" t="s">
        <v>1219</v>
      </c>
      <c r="R315" s="2" t="s">
        <v>1220</v>
      </c>
    </row>
    <row r="316" spans="1:18" ht="15" customHeight="1">
      <c r="A316" s="21">
        <v>2</v>
      </c>
      <c r="B316" s="2" t="s">
        <v>1011</v>
      </c>
      <c r="C316" s="21">
        <v>9</v>
      </c>
      <c r="D316" s="2" t="s">
        <v>1212</v>
      </c>
      <c r="E316" s="14">
        <v>0</v>
      </c>
      <c r="F316" s="21">
        <v>2</v>
      </c>
      <c r="G316" s="2" t="s">
        <v>1221</v>
      </c>
      <c r="H316" s="23" t="s">
        <v>1222</v>
      </c>
      <c r="I316" s="101" t="s">
        <v>1223</v>
      </c>
      <c r="J316" s="2" t="s">
        <v>23</v>
      </c>
      <c r="K316" s="2" t="s">
        <v>23</v>
      </c>
      <c r="M316" s="2" t="s">
        <v>38</v>
      </c>
      <c r="N316" s="2" t="s">
        <v>23</v>
      </c>
      <c r="O316" s="16"/>
      <c r="P316" s="7">
        <v>1</v>
      </c>
      <c r="Q316" s="99" t="s">
        <v>1224</v>
      </c>
      <c r="R316" s="2" t="s">
        <v>1225</v>
      </c>
    </row>
    <row r="317" spans="1:18" ht="15" customHeight="1">
      <c r="A317" s="21">
        <v>2</v>
      </c>
      <c r="B317" s="2" t="s">
        <v>1011</v>
      </c>
      <c r="C317" s="21">
        <v>9</v>
      </c>
      <c r="D317" s="2" t="s">
        <v>1212</v>
      </c>
      <c r="E317" s="14">
        <v>0</v>
      </c>
      <c r="F317" s="21">
        <v>3</v>
      </c>
      <c r="G317" s="2" t="s">
        <v>1226</v>
      </c>
      <c r="H317" s="23" t="s">
        <v>1227</v>
      </c>
      <c r="I317" s="101" t="s">
        <v>1228</v>
      </c>
      <c r="J317" s="2" t="s">
        <v>38</v>
      </c>
      <c r="K317" s="2" t="s">
        <v>23</v>
      </c>
      <c r="M317" s="2" t="s">
        <v>38</v>
      </c>
      <c r="N317" s="2" t="s">
        <v>23</v>
      </c>
      <c r="O317" s="16"/>
      <c r="P317" s="7">
        <v>1</v>
      </c>
      <c r="Q317" s="99" t="s">
        <v>1229</v>
      </c>
      <c r="R317" s="2" t="s">
        <v>1230</v>
      </c>
    </row>
    <row r="318" spans="1:18" ht="15" customHeight="1">
      <c r="A318" s="71">
        <v>2</v>
      </c>
      <c r="B318" s="2" t="s">
        <v>1011</v>
      </c>
      <c r="C318" s="71">
        <v>9</v>
      </c>
      <c r="D318" s="2" t="s">
        <v>1212</v>
      </c>
      <c r="E318" s="74">
        <v>0</v>
      </c>
      <c r="F318" s="71">
        <v>4</v>
      </c>
      <c r="G318" s="2" t="s">
        <v>1069</v>
      </c>
      <c r="H318" s="73" t="s">
        <v>1231</v>
      </c>
      <c r="I318" s="100" t="s">
        <v>1232</v>
      </c>
      <c r="J318" s="2" t="s">
        <v>38</v>
      </c>
      <c r="K318" s="2" t="s">
        <v>23</v>
      </c>
      <c r="M318" s="2" t="s">
        <v>38</v>
      </c>
      <c r="N318" s="2" t="s">
        <v>23</v>
      </c>
      <c r="O318" s="16"/>
      <c r="P318" s="7">
        <v>0</v>
      </c>
      <c r="Q318" s="99" t="s">
        <v>1233</v>
      </c>
      <c r="R318" s="2" t="s">
        <v>1234</v>
      </c>
    </row>
    <row r="319" spans="1:18" ht="15" customHeight="1">
      <c r="A319" s="71">
        <v>2</v>
      </c>
      <c r="B319" s="2" t="s">
        <v>1011</v>
      </c>
      <c r="C319" s="71">
        <v>10</v>
      </c>
      <c r="D319" s="2" t="s">
        <v>9450</v>
      </c>
      <c r="E319" s="74">
        <v>0</v>
      </c>
      <c r="F319" s="71">
        <v>0</v>
      </c>
      <c r="G319" s="2" t="s">
        <v>20</v>
      </c>
      <c r="H319" s="73" t="s">
        <v>9451</v>
      </c>
      <c r="I319" s="76" t="s">
        <v>9452</v>
      </c>
      <c r="J319" s="2" t="s">
        <v>23</v>
      </c>
      <c r="K319" s="2" t="s">
        <v>23</v>
      </c>
      <c r="M319" s="2" t="s">
        <v>24</v>
      </c>
      <c r="N319" s="2" t="s">
        <v>25</v>
      </c>
      <c r="O319" s="5" t="s">
        <v>26</v>
      </c>
      <c r="P319" s="7">
        <v>0</v>
      </c>
      <c r="Q319" s="1" t="s">
        <v>9453</v>
      </c>
    </row>
    <row r="320" spans="1:18" ht="15" customHeight="1">
      <c r="A320" s="71">
        <v>2</v>
      </c>
      <c r="B320" s="2" t="s">
        <v>1011</v>
      </c>
      <c r="C320" s="71">
        <v>10</v>
      </c>
      <c r="D320" s="2" t="s">
        <v>9450</v>
      </c>
      <c r="E320" s="74">
        <v>0</v>
      </c>
      <c r="F320" s="71">
        <v>1</v>
      </c>
      <c r="G320" s="2" t="s">
        <v>9454</v>
      </c>
      <c r="H320" s="73" t="s">
        <v>9456</v>
      </c>
      <c r="I320" s="100" t="s">
        <v>9457</v>
      </c>
      <c r="J320" s="2" t="s">
        <v>23</v>
      </c>
      <c r="K320" s="2" t="s">
        <v>23</v>
      </c>
      <c r="M320" s="2" t="s">
        <v>24</v>
      </c>
      <c r="N320" s="2" t="s">
        <v>25</v>
      </c>
      <c r="O320" s="16"/>
      <c r="P320" s="7">
        <v>0</v>
      </c>
      <c r="Q320" s="99" t="s">
        <v>9455</v>
      </c>
    </row>
    <row r="321" spans="1:18" ht="15" customHeight="1">
      <c r="A321" s="71">
        <v>2</v>
      </c>
      <c r="B321" s="2" t="s">
        <v>1011</v>
      </c>
      <c r="C321" s="71">
        <v>10</v>
      </c>
      <c r="D321" s="2" t="s">
        <v>9450</v>
      </c>
      <c r="E321" s="74">
        <v>0</v>
      </c>
      <c r="F321" s="71">
        <v>2</v>
      </c>
      <c r="G321" s="2" t="s">
        <v>181</v>
      </c>
      <c r="H321" s="73" t="s">
        <v>9458</v>
      </c>
      <c r="I321" s="100" t="s">
        <v>9459</v>
      </c>
      <c r="J321" s="2" t="s">
        <v>23</v>
      </c>
      <c r="K321" s="2" t="s">
        <v>23</v>
      </c>
      <c r="M321" s="2" t="s">
        <v>38</v>
      </c>
      <c r="N321" s="2" t="s">
        <v>23</v>
      </c>
      <c r="O321" s="16"/>
      <c r="P321" s="7">
        <v>0</v>
      </c>
      <c r="Q321" s="99" t="s">
        <v>2907</v>
      </c>
    </row>
    <row r="322" spans="1:18" ht="15" customHeight="1">
      <c r="A322" s="71">
        <v>2</v>
      </c>
      <c r="B322" s="2" t="s">
        <v>1011</v>
      </c>
      <c r="C322" s="71">
        <v>10</v>
      </c>
      <c r="D322" s="2" t="s">
        <v>9450</v>
      </c>
      <c r="E322" s="74">
        <v>0</v>
      </c>
      <c r="F322" s="71">
        <v>3</v>
      </c>
      <c r="G322" s="2" t="s">
        <v>1077</v>
      </c>
      <c r="H322" s="73" t="s">
        <v>9460</v>
      </c>
      <c r="I322" s="100" t="s">
        <v>9462</v>
      </c>
      <c r="J322" s="2" t="s">
        <v>163</v>
      </c>
      <c r="K322" s="2" t="s">
        <v>23</v>
      </c>
      <c r="M322" s="2" t="s">
        <v>23</v>
      </c>
      <c r="N322" s="2" t="s">
        <v>23</v>
      </c>
      <c r="O322" s="16"/>
      <c r="P322" s="7">
        <v>0</v>
      </c>
      <c r="Q322" s="99" t="s">
        <v>1080</v>
      </c>
      <c r="R322" s="2" t="s">
        <v>9461</v>
      </c>
    </row>
    <row r="323" spans="1:18" ht="15" customHeight="1">
      <c r="A323" s="21">
        <v>2</v>
      </c>
      <c r="B323" s="2" t="s">
        <v>1011</v>
      </c>
      <c r="C323" s="21">
        <v>11</v>
      </c>
      <c r="D323" s="2" t="s">
        <v>9498</v>
      </c>
      <c r="E323" s="14">
        <v>0</v>
      </c>
      <c r="F323" s="21">
        <v>0</v>
      </c>
      <c r="G323" s="2" t="s">
        <v>20</v>
      </c>
      <c r="H323" s="23" t="s">
        <v>9489</v>
      </c>
      <c r="I323" s="34" t="s">
        <v>9500</v>
      </c>
      <c r="J323" s="2" t="s">
        <v>23</v>
      </c>
      <c r="K323" s="2" t="s">
        <v>23</v>
      </c>
      <c r="M323" s="2" t="s">
        <v>24</v>
      </c>
      <c r="N323" s="2" t="s">
        <v>25</v>
      </c>
      <c r="O323" s="5" t="s">
        <v>26</v>
      </c>
      <c r="P323" s="7">
        <v>1</v>
      </c>
      <c r="Q323" s="1" t="s">
        <v>9499</v>
      </c>
    </row>
    <row r="324" spans="1:18" ht="15" customHeight="1">
      <c r="A324" s="71">
        <v>2</v>
      </c>
      <c r="B324" s="2" t="s">
        <v>1011</v>
      </c>
      <c r="C324" s="71">
        <v>11</v>
      </c>
      <c r="D324" s="2" t="s">
        <v>9498</v>
      </c>
      <c r="E324" s="74">
        <v>0</v>
      </c>
      <c r="F324" s="71">
        <v>1</v>
      </c>
      <c r="G324" s="2" t="s">
        <v>1077</v>
      </c>
      <c r="H324" s="73" t="s">
        <v>9490</v>
      </c>
      <c r="I324" s="100" t="s">
        <v>9501</v>
      </c>
      <c r="J324" s="2" t="s">
        <v>163</v>
      </c>
      <c r="K324" s="2" t="s">
        <v>23</v>
      </c>
      <c r="M324" s="2" t="s">
        <v>23</v>
      </c>
      <c r="N324" s="2" t="s">
        <v>23</v>
      </c>
      <c r="O324" s="5"/>
      <c r="P324" s="7">
        <v>0</v>
      </c>
      <c r="Q324" s="99" t="s">
        <v>9495</v>
      </c>
    </row>
    <row r="325" spans="1:18" ht="15" customHeight="1">
      <c r="A325" s="71">
        <v>2</v>
      </c>
      <c r="B325" s="2" t="s">
        <v>1011</v>
      </c>
      <c r="C325" s="71">
        <v>11</v>
      </c>
      <c r="D325" s="2" t="s">
        <v>9498</v>
      </c>
      <c r="E325" s="74">
        <v>0</v>
      </c>
      <c r="F325" s="71">
        <v>2</v>
      </c>
      <c r="G325" s="2" t="s">
        <v>9491</v>
      </c>
      <c r="H325" s="73" t="s">
        <v>9492</v>
      </c>
      <c r="I325" s="100" t="s">
        <v>9503</v>
      </c>
      <c r="J325" s="2" t="s">
        <v>163</v>
      </c>
      <c r="K325" s="2" t="s">
        <v>23</v>
      </c>
      <c r="M325" s="2" t="s">
        <v>60</v>
      </c>
      <c r="N325" s="2" t="s">
        <v>23</v>
      </c>
      <c r="O325" s="2" t="s">
        <v>61</v>
      </c>
      <c r="P325" s="7">
        <v>0</v>
      </c>
      <c r="Q325" s="99" t="s">
        <v>9508</v>
      </c>
    </row>
    <row r="326" spans="1:18" ht="15" customHeight="1">
      <c r="A326" s="71">
        <v>2</v>
      </c>
      <c r="B326" s="2" t="s">
        <v>1011</v>
      </c>
      <c r="C326" s="71">
        <v>11</v>
      </c>
      <c r="D326" s="2" t="s">
        <v>9498</v>
      </c>
      <c r="E326" s="74">
        <v>0</v>
      </c>
      <c r="F326" s="71">
        <v>3</v>
      </c>
      <c r="G326" s="2" t="s">
        <v>9504</v>
      </c>
      <c r="H326" s="73" t="s">
        <v>9496</v>
      </c>
      <c r="I326" s="100" t="s">
        <v>9505</v>
      </c>
      <c r="J326" s="2" t="s">
        <v>60</v>
      </c>
      <c r="K326" s="2" t="s">
        <v>23</v>
      </c>
      <c r="L326" s="2" t="s">
        <v>61</v>
      </c>
      <c r="M326" s="2" t="s">
        <v>24</v>
      </c>
      <c r="N326" s="2" t="s">
        <v>25</v>
      </c>
      <c r="O326" s="5" t="s">
        <v>9509</v>
      </c>
      <c r="P326" s="7">
        <v>0</v>
      </c>
      <c r="Q326" s="99" t="s">
        <v>9507</v>
      </c>
    </row>
    <row r="327" spans="1:18" ht="15" customHeight="1">
      <c r="A327" s="71">
        <v>2</v>
      </c>
      <c r="B327" s="2" t="s">
        <v>1011</v>
      </c>
      <c r="C327" s="71">
        <v>11</v>
      </c>
      <c r="D327" s="2" t="s">
        <v>9498</v>
      </c>
      <c r="E327" s="74">
        <v>0</v>
      </c>
      <c r="F327" s="71">
        <v>4</v>
      </c>
      <c r="G327" s="2" t="s">
        <v>9494</v>
      </c>
      <c r="H327" s="73" t="s">
        <v>9497</v>
      </c>
      <c r="I327" s="100" t="s">
        <v>9502</v>
      </c>
      <c r="J327" s="2" t="s">
        <v>60</v>
      </c>
      <c r="K327" s="2" t="s">
        <v>23</v>
      </c>
      <c r="L327" s="2" t="s">
        <v>61</v>
      </c>
      <c r="M327" s="2" t="s">
        <v>24</v>
      </c>
      <c r="N327" s="2" t="s">
        <v>25</v>
      </c>
      <c r="O327" s="5" t="s">
        <v>9509</v>
      </c>
      <c r="P327" s="7">
        <v>0</v>
      </c>
      <c r="Q327" s="99" t="s">
        <v>9506</v>
      </c>
      <c r="R327" s="2" t="s">
        <v>9493</v>
      </c>
    </row>
    <row r="328" spans="1:18" ht="15" customHeight="1">
      <c r="A328" s="71">
        <v>2</v>
      </c>
      <c r="B328" s="2" t="s">
        <v>1011</v>
      </c>
      <c r="C328" s="71">
        <v>11</v>
      </c>
      <c r="D328" s="2" t="s">
        <v>9498</v>
      </c>
      <c r="E328" s="74">
        <v>0</v>
      </c>
      <c r="F328" s="71">
        <v>5</v>
      </c>
      <c r="G328" s="2" t="s">
        <v>10545</v>
      </c>
      <c r="H328" s="73" t="s">
        <v>10547</v>
      </c>
      <c r="I328" s="100" t="s">
        <v>10548</v>
      </c>
      <c r="J328" s="2" t="s">
        <v>23</v>
      </c>
      <c r="K328" s="2" t="s">
        <v>23</v>
      </c>
      <c r="M328" s="2" t="s">
        <v>8100</v>
      </c>
      <c r="N328" s="2" t="s">
        <v>4082</v>
      </c>
      <c r="O328" s="5"/>
      <c r="P328" s="7">
        <v>0</v>
      </c>
      <c r="Q328" s="99" t="s">
        <v>10546</v>
      </c>
      <c r="R328" s="2" t="s">
        <v>10549</v>
      </c>
    </row>
    <row r="329" spans="1:18" ht="15" customHeight="1">
      <c r="A329" s="72"/>
      <c r="C329" s="72"/>
      <c r="E329" s="86"/>
      <c r="F329" s="72"/>
      <c r="H329" s="87" t="s">
        <v>234</v>
      </c>
      <c r="I329" s="105"/>
      <c r="O329" s="11"/>
      <c r="P329" s="7"/>
      <c r="Q329" s="99"/>
    </row>
    <row r="330" spans="1:18" ht="15" customHeight="1">
      <c r="A330" s="21">
        <v>3</v>
      </c>
      <c r="B330" s="2" t="s">
        <v>1235</v>
      </c>
      <c r="C330" s="21">
        <v>0</v>
      </c>
      <c r="D330" s="2" t="s">
        <v>1236</v>
      </c>
      <c r="E330" s="14">
        <v>0</v>
      </c>
      <c r="F330" s="21">
        <v>0</v>
      </c>
      <c r="G330" s="2" t="s">
        <v>20</v>
      </c>
      <c r="H330" s="23" t="s">
        <v>1237</v>
      </c>
      <c r="I330" s="34" t="s">
        <v>1238</v>
      </c>
      <c r="J330" s="2" t="s">
        <v>23</v>
      </c>
      <c r="K330" s="2" t="s">
        <v>23</v>
      </c>
      <c r="M330" s="2" t="s">
        <v>24</v>
      </c>
      <c r="N330" s="2" t="s">
        <v>25</v>
      </c>
      <c r="O330" s="5" t="s">
        <v>26</v>
      </c>
      <c r="P330" s="7">
        <v>1</v>
      </c>
      <c r="Q330" s="28" t="s">
        <v>1239</v>
      </c>
    </row>
    <row r="331" spans="1:18" ht="15" customHeight="1">
      <c r="A331" s="21">
        <v>3</v>
      </c>
      <c r="B331" s="2" t="s">
        <v>1235</v>
      </c>
      <c r="C331" s="21">
        <v>0</v>
      </c>
      <c r="D331" s="2" t="s">
        <v>1236</v>
      </c>
      <c r="E331" s="14">
        <v>0</v>
      </c>
      <c r="F331" s="21">
        <v>1</v>
      </c>
      <c r="G331" s="2" t="s">
        <v>35</v>
      </c>
      <c r="H331" s="23" t="s">
        <v>1240</v>
      </c>
      <c r="I331" s="101" t="s">
        <v>1241</v>
      </c>
      <c r="J331" s="2" t="s">
        <v>23</v>
      </c>
      <c r="K331" s="2" t="s">
        <v>23</v>
      </c>
      <c r="M331" s="2" t="s">
        <v>38</v>
      </c>
      <c r="N331" s="2" t="s">
        <v>23</v>
      </c>
      <c r="P331" s="7">
        <v>1</v>
      </c>
      <c r="Q331" s="99" t="s">
        <v>503</v>
      </c>
    </row>
    <row r="332" spans="1:18" ht="15" customHeight="1">
      <c r="A332" s="72"/>
      <c r="C332" s="72"/>
      <c r="E332" s="86"/>
      <c r="F332" s="72"/>
      <c r="H332" s="87" t="s">
        <v>234</v>
      </c>
      <c r="I332" s="105"/>
      <c r="P332" s="7"/>
      <c r="Q332" s="99"/>
    </row>
    <row r="333" spans="1:18" ht="15" customHeight="1">
      <c r="A333" s="21">
        <v>4</v>
      </c>
      <c r="B333" s="2" t="s">
        <v>1242</v>
      </c>
      <c r="C333" s="21">
        <v>0</v>
      </c>
      <c r="D333" s="2" t="s">
        <v>1243</v>
      </c>
      <c r="E333" s="14">
        <v>0</v>
      </c>
      <c r="F333" s="21">
        <v>0</v>
      </c>
      <c r="G333" s="2" t="s">
        <v>20</v>
      </c>
      <c r="H333" s="23" t="s">
        <v>1244</v>
      </c>
      <c r="I333" s="34" t="s">
        <v>1245</v>
      </c>
      <c r="J333" s="2" t="s">
        <v>23</v>
      </c>
      <c r="K333" s="2" t="s">
        <v>23</v>
      </c>
      <c r="M333" s="2" t="s">
        <v>24</v>
      </c>
      <c r="N333" s="2" t="s">
        <v>25</v>
      </c>
      <c r="O333" s="5" t="s">
        <v>26</v>
      </c>
      <c r="P333" s="7">
        <v>1</v>
      </c>
      <c r="Q333" s="28" t="s">
        <v>1246</v>
      </c>
    </row>
    <row r="334" spans="1:18" ht="15" customHeight="1">
      <c r="A334" s="21">
        <v>4</v>
      </c>
      <c r="B334" s="2" t="s">
        <v>1242</v>
      </c>
      <c r="C334" s="21">
        <v>0</v>
      </c>
      <c r="D334" s="2" t="s">
        <v>1243</v>
      </c>
      <c r="E334" s="14">
        <v>0</v>
      </c>
      <c r="F334" s="21">
        <v>1</v>
      </c>
      <c r="G334" s="2" t="s">
        <v>92</v>
      </c>
      <c r="H334" s="23" t="s">
        <v>1247</v>
      </c>
      <c r="I334" s="101" t="s">
        <v>1248</v>
      </c>
      <c r="J334" s="2" t="s">
        <v>38</v>
      </c>
      <c r="K334" s="2" t="s">
        <v>23</v>
      </c>
      <c r="M334" s="2" t="s">
        <v>38</v>
      </c>
      <c r="N334" s="2" t="s">
        <v>23</v>
      </c>
      <c r="P334" s="7">
        <v>1</v>
      </c>
      <c r="Q334" s="99" t="s">
        <v>95</v>
      </c>
    </row>
    <row r="335" spans="1:18" ht="15" customHeight="1">
      <c r="A335" s="21">
        <v>4</v>
      </c>
      <c r="B335" s="2" t="s">
        <v>1242</v>
      </c>
      <c r="C335" s="21">
        <v>0</v>
      </c>
      <c r="D335" s="2" t="s">
        <v>1243</v>
      </c>
      <c r="E335" s="14">
        <v>0</v>
      </c>
      <c r="F335" s="21">
        <v>2</v>
      </c>
      <c r="G335" s="2" t="s">
        <v>96</v>
      </c>
      <c r="H335" s="23" t="s">
        <v>1249</v>
      </c>
      <c r="I335" s="101" t="s">
        <v>1250</v>
      </c>
      <c r="J335" s="2" t="s">
        <v>38</v>
      </c>
      <c r="K335" s="2" t="s">
        <v>23</v>
      </c>
      <c r="M335" s="2" t="s">
        <v>38</v>
      </c>
      <c r="N335" s="2" t="s">
        <v>23</v>
      </c>
      <c r="P335" s="7">
        <v>1</v>
      </c>
      <c r="Q335" s="99" t="s">
        <v>99</v>
      </c>
    </row>
    <row r="336" spans="1:18" ht="15" customHeight="1">
      <c r="A336" s="21">
        <v>4</v>
      </c>
      <c r="B336" s="2" t="s">
        <v>1242</v>
      </c>
      <c r="C336" s="21">
        <v>0</v>
      </c>
      <c r="D336" s="2" t="s">
        <v>1243</v>
      </c>
      <c r="E336" s="14">
        <v>0</v>
      </c>
      <c r="F336" s="21">
        <v>3</v>
      </c>
      <c r="G336" s="2" t="s">
        <v>100</v>
      </c>
      <c r="H336" s="23" t="s">
        <v>1251</v>
      </c>
      <c r="I336" s="101" t="s">
        <v>1252</v>
      </c>
      <c r="J336" s="2" t="s">
        <v>38</v>
      </c>
      <c r="K336" s="2" t="s">
        <v>23</v>
      </c>
      <c r="M336" s="2" t="s">
        <v>38</v>
      </c>
      <c r="N336" s="2" t="s">
        <v>23</v>
      </c>
      <c r="P336" s="7">
        <v>1</v>
      </c>
      <c r="Q336" s="99" t="s">
        <v>103</v>
      </c>
    </row>
    <row r="337" spans="1:18" ht="15" customHeight="1">
      <c r="A337" s="21">
        <v>4</v>
      </c>
      <c r="B337" s="2" t="s">
        <v>1242</v>
      </c>
      <c r="C337" s="21">
        <v>0</v>
      </c>
      <c r="D337" s="2" t="s">
        <v>1243</v>
      </c>
      <c r="E337" s="14">
        <v>0</v>
      </c>
      <c r="F337" s="21">
        <v>4</v>
      </c>
      <c r="G337" s="2" t="s">
        <v>35</v>
      </c>
      <c r="H337" s="23" t="s">
        <v>1253</v>
      </c>
      <c r="I337" s="101" t="s">
        <v>1254</v>
      </c>
      <c r="J337" s="2" t="s">
        <v>23</v>
      </c>
      <c r="K337" s="2" t="s">
        <v>23</v>
      </c>
      <c r="M337" s="2" t="s">
        <v>38</v>
      </c>
      <c r="N337" s="2" t="s">
        <v>23</v>
      </c>
      <c r="P337" s="7">
        <v>1</v>
      </c>
      <c r="Q337" s="99" t="s">
        <v>1255</v>
      </c>
    </row>
    <row r="338" spans="1:18" ht="15" customHeight="1">
      <c r="A338" s="21">
        <v>4</v>
      </c>
      <c r="B338" s="2" t="s">
        <v>1242</v>
      </c>
      <c r="C338" s="21">
        <v>0</v>
      </c>
      <c r="D338" s="2" t="s">
        <v>1243</v>
      </c>
      <c r="E338" s="14">
        <v>0</v>
      </c>
      <c r="F338" s="21">
        <v>5</v>
      </c>
      <c r="G338" s="2" t="s">
        <v>1256</v>
      </c>
      <c r="H338" s="23" t="s">
        <v>1257</v>
      </c>
      <c r="I338" s="101" t="s">
        <v>1258</v>
      </c>
      <c r="J338" s="2" t="s">
        <v>24</v>
      </c>
      <c r="K338" s="2" t="s">
        <v>25</v>
      </c>
      <c r="L338" s="5" t="s">
        <v>308</v>
      </c>
      <c r="M338" s="2" t="s">
        <v>24</v>
      </c>
      <c r="N338" s="2" t="s">
        <v>25</v>
      </c>
      <c r="O338" s="5" t="s">
        <v>308</v>
      </c>
      <c r="P338" s="7">
        <v>1</v>
      </c>
      <c r="Q338" s="99" t="s">
        <v>1259</v>
      </c>
    </row>
    <row r="339" spans="1:18" ht="15" customHeight="1">
      <c r="A339" s="21">
        <v>4</v>
      </c>
      <c r="B339" s="2" t="s">
        <v>1242</v>
      </c>
      <c r="C339" s="21">
        <v>0</v>
      </c>
      <c r="D339" s="2" t="s">
        <v>1243</v>
      </c>
      <c r="E339" s="14">
        <v>0</v>
      </c>
      <c r="F339" s="21">
        <v>6</v>
      </c>
      <c r="G339" s="2" t="s">
        <v>1260</v>
      </c>
      <c r="H339" s="23" t="s">
        <v>1261</v>
      </c>
      <c r="I339" s="101" t="s">
        <v>1262</v>
      </c>
      <c r="J339" s="2" t="s">
        <v>24</v>
      </c>
      <c r="K339" s="2" t="s">
        <v>25</v>
      </c>
      <c r="L339" s="5" t="s">
        <v>308</v>
      </c>
      <c r="M339" s="2" t="s">
        <v>24</v>
      </c>
      <c r="N339" s="2" t="s">
        <v>25</v>
      </c>
      <c r="O339" s="5" t="s">
        <v>308</v>
      </c>
      <c r="P339" s="7">
        <v>1</v>
      </c>
      <c r="Q339" s="99" t="s">
        <v>1263</v>
      </c>
    </row>
    <row r="340" spans="1:18" ht="15" customHeight="1">
      <c r="A340" s="21">
        <v>4</v>
      </c>
      <c r="B340" s="2" t="s">
        <v>1242</v>
      </c>
      <c r="C340" s="21">
        <v>0</v>
      </c>
      <c r="D340" s="2" t="s">
        <v>1243</v>
      </c>
      <c r="E340" s="14">
        <v>0</v>
      </c>
      <c r="F340" s="21">
        <v>7</v>
      </c>
      <c r="G340" s="2" t="s">
        <v>1264</v>
      </c>
      <c r="H340" s="23" t="s">
        <v>1265</v>
      </c>
      <c r="I340" s="101" t="s">
        <v>1266</v>
      </c>
      <c r="J340" s="2" t="s">
        <v>24</v>
      </c>
      <c r="K340" s="2" t="s">
        <v>23</v>
      </c>
      <c r="L340" t="s">
        <v>1267</v>
      </c>
      <c r="M340" s="2" t="s">
        <v>24</v>
      </c>
      <c r="N340" s="2" t="s">
        <v>23</v>
      </c>
      <c r="O340" t="s">
        <v>1267</v>
      </c>
      <c r="P340" s="7">
        <v>1</v>
      </c>
      <c r="Q340" s="99" t="s">
        <v>1268</v>
      </c>
    </row>
    <row r="341" spans="1:18" ht="15" customHeight="1">
      <c r="A341" s="21">
        <v>4</v>
      </c>
      <c r="B341" s="2" t="s">
        <v>1242</v>
      </c>
      <c r="C341" s="21">
        <v>0</v>
      </c>
      <c r="D341" s="2" t="s">
        <v>1243</v>
      </c>
      <c r="E341" s="14">
        <v>0</v>
      </c>
      <c r="F341" s="21">
        <v>8</v>
      </c>
      <c r="G341" s="2" t="s">
        <v>1269</v>
      </c>
      <c r="H341" s="23" t="s">
        <v>1270</v>
      </c>
      <c r="I341" s="101" t="s">
        <v>1271</v>
      </c>
      <c r="J341" s="2" t="s">
        <v>23</v>
      </c>
      <c r="K341" s="2" t="s">
        <v>23</v>
      </c>
      <c r="M341" s="2" t="s">
        <v>24</v>
      </c>
      <c r="N341" s="2" t="s">
        <v>139</v>
      </c>
      <c r="O341" s="2" t="s">
        <v>1272</v>
      </c>
      <c r="P341" s="7">
        <v>1</v>
      </c>
      <c r="Q341" s="99" t="s">
        <v>1273</v>
      </c>
    </row>
    <row r="342" spans="1:18" ht="15" customHeight="1">
      <c r="A342" s="21">
        <v>4</v>
      </c>
      <c r="B342" s="2" t="s">
        <v>1242</v>
      </c>
      <c r="C342" s="21">
        <v>0</v>
      </c>
      <c r="D342" s="2" t="s">
        <v>1243</v>
      </c>
      <c r="E342" s="14">
        <v>0</v>
      </c>
      <c r="F342" s="21">
        <v>9</v>
      </c>
      <c r="G342" s="2" t="s">
        <v>1274</v>
      </c>
      <c r="H342" s="23" t="s">
        <v>1275</v>
      </c>
      <c r="I342" s="101" t="s">
        <v>1276</v>
      </c>
      <c r="J342" s="2" t="s">
        <v>24</v>
      </c>
      <c r="K342" s="2" t="s">
        <v>25</v>
      </c>
      <c r="L342" s="2" t="s">
        <v>1277</v>
      </c>
      <c r="M342" s="2" t="s">
        <v>24</v>
      </c>
      <c r="N342" s="2" t="s">
        <v>25</v>
      </c>
      <c r="O342" s="2" t="s">
        <v>1277</v>
      </c>
      <c r="P342" s="7">
        <v>1</v>
      </c>
      <c r="Q342" s="99" t="s">
        <v>1278</v>
      </c>
      <c r="R342" s="2" t="s">
        <v>1279</v>
      </c>
    </row>
    <row r="343" spans="1:18" ht="15" customHeight="1">
      <c r="A343" s="71">
        <v>4</v>
      </c>
      <c r="B343" s="2" t="s">
        <v>1242</v>
      </c>
      <c r="C343" s="71">
        <v>0</v>
      </c>
      <c r="D343" s="2" t="s">
        <v>1243</v>
      </c>
      <c r="E343" s="74">
        <v>0</v>
      </c>
      <c r="F343" s="71">
        <v>10</v>
      </c>
      <c r="G343" s="2" t="s">
        <v>1280</v>
      </c>
      <c r="H343" s="73" t="s">
        <v>1281</v>
      </c>
      <c r="I343" s="100" t="s">
        <v>1282</v>
      </c>
      <c r="J343" s="2" t="s">
        <v>23</v>
      </c>
      <c r="K343" s="2" t="s">
        <v>23</v>
      </c>
      <c r="M343" s="2" t="s">
        <v>24</v>
      </c>
      <c r="N343" s="2" t="s">
        <v>25</v>
      </c>
      <c r="O343" s="2" t="s">
        <v>1277</v>
      </c>
      <c r="P343" s="7">
        <v>0</v>
      </c>
      <c r="Q343" s="99" t="s">
        <v>1283</v>
      </c>
    </row>
    <row r="344" spans="1:18" ht="15" customHeight="1">
      <c r="A344" s="21">
        <v>4</v>
      </c>
      <c r="B344" s="2" t="s">
        <v>1242</v>
      </c>
      <c r="C344" s="21">
        <v>0</v>
      </c>
      <c r="D344" s="2" t="s">
        <v>1243</v>
      </c>
      <c r="E344" s="14">
        <v>0</v>
      </c>
      <c r="F344" s="21">
        <v>11</v>
      </c>
      <c r="G344" s="2" t="s">
        <v>1284</v>
      </c>
      <c r="H344" s="23" t="s">
        <v>1285</v>
      </c>
      <c r="I344" s="101" t="s">
        <v>1286</v>
      </c>
      <c r="J344" s="2" t="s">
        <v>24</v>
      </c>
      <c r="K344" s="2" t="s">
        <v>25</v>
      </c>
      <c r="L344" t="s">
        <v>1287</v>
      </c>
      <c r="M344" s="2" t="s">
        <v>24</v>
      </c>
      <c r="N344" s="2" t="s">
        <v>25</v>
      </c>
      <c r="O344" t="s">
        <v>1287</v>
      </c>
      <c r="P344" s="7">
        <v>1</v>
      </c>
      <c r="Q344" s="99" t="s">
        <v>618</v>
      </c>
    </row>
    <row r="345" spans="1:18" ht="15" customHeight="1">
      <c r="A345" s="21">
        <v>4</v>
      </c>
      <c r="B345" s="2" t="s">
        <v>1242</v>
      </c>
      <c r="C345" s="21">
        <v>0</v>
      </c>
      <c r="D345" s="2" t="s">
        <v>1243</v>
      </c>
      <c r="E345" s="14">
        <v>0</v>
      </c>
      <c r="F345" s="21">
        <v>12</v>
      </c>
      <c r="G345" s="2" t="s">
        <v>1288</v>
      </c>
      <c r="H345" s="23" t="s">
        <v>1289</v>
      </c>
      <c r="I345" s="101" t="s">
        <v>1290</v>
      </c>
      <c r="J345" s="2" t="s">
        <v>23</v>
      </c>
      <c r="K345" s="2" t="s">
        <v>23</v>
      </c>
      <c r="M345" s="2" t="s">
        <v>24</v>
      </c>
      <c r="N345" s="2" t="s">
        <v>25</v>
      </c>
      <c r="O345" s="5" t="s">
        <v>308</v>
      </c>
      <c r="P345" s="7">
        <v>1</v>
      </c>
      <c r="Q345" s="106" t="s">
        <v>1291</v>
      </c>
      <c r="R345" s="2" t="s">
        <v>1292</v>
      </c>
    </row>
    <row r="346" spans="1:18" ht="15" customHeight="1">
      <c r="A346" s="21">
        <v>4</v>
      </c>
      <c r="B346" s="2" t="s">
        <v>1242</v>
      </c>
      <c r="C346" s="21">
        <v>0</v>
      </c>
      <c r="D346" s="2" t="s">
        <v>1243</v>
      </c>
      <c r="E346" s="14">
        <v>0</v>
      </c>
      <c r="F346" s="21">
        <v>13</v>
      </c>
      <c r="G346" s="2" t="s">
        <v>1293</v>
      </c>
      <c r="H346" s="23" t="s">
        <v>1294</v>
      </c>
      <c r="I346" s="101" t="s">
        <v>1295</v>
      </c>
      <c r="J346" s="2" t="s">
        <v>23</v>
      </c>
      <c r="K346" s="2" t="s">
        <v>23</v>
      </c>
      <c r="M346" s="2" t="s">
        <v>24</v>
      </c>
      <c r="N346" s="2" t="s">
        <v>25</v>
      </c>
      <c r="O346" s="5" t="s">
        <v>308</v>
      </c>
      <c r="P346" s="7">
        <v>1</v>
      </c>
      <c r="Q346" s="106" t="s">
        <v>1296</v>
      </c>
      <c r="R346" s="2" t="s">
        <v>1297</v>
      </c>
    </row>
    <row r="347" spans="1:18" ht="15" customHeight="1">
      <c r="A347" s="21">
        <v>4</v>
      </c>
      <c r="B347" s="2" t="s">
        <v>1242</v>
      </c>
      <c r="C347" s="21">
        <v>0</v>
      </c>
      <c r="D347" s="2" t="s">
        <v>1243</v>
      </c>
      <c r="E347" s="14">
        <v>0</v>
      </c>
      <c r="F347" s="21">
        <v>14</v>
      </c>
      <c r="G347" s="2" t="s">
        <v>683</v>
      </c>
      <c r="H347" s="23" t="s">
        <v>1298</v>
      </c>
      <c r="I347" s="101" t="s">
        <v>1299</v>
      </c>
      <c r="J347" s="2" t="s">
        <v>23</v>
      </c>
      <c r="K347" s="2" t="s">
        <v>23</v>
      </c>
      <c r="M347" s="2" t="s">
        <v>24</v>
      </c>
      <c r="N347" s="2" t="s">
        <v>116</v>
      </c>
      <c r="O347" s="9" t="s">
        <v>1299</v>
      </c>
      <c r="P347" s="7">
        <v>1</v>
      </c>
      <c r="Q347" s="106" t="s">
        <v>686</v>
      </c>
      <c r="R347" s="2" t="s">
        <v>1300</v>
      </c>
    </row>
    <row r="348" spans="1:18" ht="15" customHeight="1">
      <c r="A348" s="21">
        <v>4</v>
      </c>
      <c r="B348" s="2" t="s">
        <v>1242</v>
      </c>
      <c r="C348" s="21">
        <v>1</v>
      </c>
      <c r="D348" s="2" t="s">
        <v>1301</v>
      </c>
      <c r="E348" s="14">
        <v>0</v>
      </c>
      <c r="F348" s="21">
        <v>0</v>
      </c>
      <c r="G348" s="2" t="s">
        <v>20</v>
      </c>
      <c r="H348" s="23" t="s">
        <v>1302</v>
      </c>
      <c r="I348" s="34" t="s">
        <v>1303</v>
      </c>
      <c r="J348" s="2" t="s">
        <v>23</v>
      </c>
      <c r="K348" s="2" t="s">
        <v>23</v>
      </c>
      <c r="M348" s="2" t="s">
        <v>24</v>
      </c>
      <c r="N348" s="2" t="s">
        <v>25</v>
      </c>
      <c r="O348" s="5" t="s">
        <v>26</v>
      </c>
      <c r="P348" s="7">
        <v>1</v>
      </c>
      <c r="Q348" s="28" t="s">
        <v>1304</v>
      </c>
    </row>
    <row r="349" spans="1:18" ht="15" customHeight="1">
      <c r="A349" s="21">
        <v>4</v>
      </c>
      <c r="B349" s="2" t="s">
        <v>1242</v>
      </c>
      <c r="C349" s="21">
        <v>1</v>
      </c>
      <c r="D349" s="2" t="s">
        <v>1301</v>
      </c>
      <c r="E349" s="14">
        <v>0</v>
      </c>
      <c r="F349" s="21">
        <v>1</v>
      </c>
      <c r="G349" s="2" t="s">
        <v>1305</v>
      </c>
      <c r="H349" s="23" t="s">
        <v>1306</v>
      </c>
      <c r="I349" s="101" t="s">
        <v>1307</v>
      </c>
      <c r="J349" s="2" t="s">
        <v>23</v>
      </c>
      <c r="K349" s="2" t="s">
        <v>23</v>
      </c>
      <c r="M349" s="2" t="s">
        <v>24</v>
      </c>
      <c r="N349" s="2" t="s">
        <v>25</v>
      </c>
      <c r="O349" s="5" t="s">
        <v>308</v>
      </c>
      <c r="P349" s="7">
        <v>1</v>
      </c>
      <c r="Q349" s="106" t="s">
        <v>1291</v>
      </c>
      <c r="R349" s="2" t="s">
        <v>1292</v>
      </c>
    </row>
    <row r="350" spans="1:18" ht="15" customHeight="1">
      <c r="A350" s="21">
        <v>4</v>
      </c>
      <c r="B350" s="2" t="s">
        <v>1242</v>
      </c>
      <c r="C350" s="21">
        <v>1</v>
      </c>
      <c r="D350" s="2" t="s">
        <v>1301</v>
      </c>
      <c r="E350" s="14">
        <v>0</v>
      </c>
      <c r="F350" s="21">
        <v>2</v>
      </c>
      <c r="G350" s="2" t="s">
        <v>1308</v>
      </c>
      <c r="H350" s="23" t="s">
        <v>1309</v>
      </c>
      <c r="I350" s="101" t="s">
        <v>1310</v>
      </c>
      <c r="J350" s="2" t="s">
        <v>24</v>
      </c>
      <c r="K350" s="2" t="s">
        <v>121</v>
      </c>
      <c r="M350" s="2" t="s">
        <v>24</v>
      </c>
      <c r="N350" s="2" t="s">
        <v>121</v>
      </c>
      <c r="O350" s="5"/>
      <c r="P350" s="7">
        <v>1</v>
      </c>
      <c r="Q350" s="106" t="s">
        <v>1311</v>
      </c>
      <c r="R350" s="2" t="s">
        <v>1312</v>
      </c>
    </row>
    <row r="351" spans="1:18" ht="15" customHeight="1">
      <c r="A351" s="21">
        <v>4</v>
      </c>
      <c r="B351" s="2" t="s">
        <v>1242</v>
      </c>
      <c r="C351" s="21">
        <v>1</v>
      </c>
      <c r="D351" s="2" t="s">
        <v>1301</v>
      </c>
      <c r="E351" s="14">
        <v>0</v>
      </c>
      <c r="F351" s="21">
        <v>3</v>
      </c>
      <c r="G351" s="2" t="s">
        <v>1313</v>
      </c>
      <c r="H351" s="23" t="s">
        <v>1314</v>
      </c>
      <c r="I351" s="101" t="s">
        <v>1315</v>
      </c>
      <c r="J351" s="2" t="s">
        <v>23</v>
      </c>
      <c r="K351" s="2" t="s">
        <v>23</v>
      </c>
      <c r="M351" s="2" t="s">
        <v>24</v>
      </c>
      <c r="N351" s="2" t="s">
        <v>25</v>
      </c>
      <c r="O351" s="5" t="s">
        <v>308</v>
      </c>
      <c r="P351" s="7">
        <v>1</v>
      </c>
      <c r="Q351" s="106" t="s">
        <v>1296</v>
      </c>
      <c r="R351" s="2" t="s">
        <v>1297</v>
      </c>
    </row>
    <row r="352" spans="1:18" ht="15" customHeight="1">
      <c r="A352" s="21">
        <v>4</v>
      </c>
      <c r="B352" s="2" t="s">
        <v>1242</v>
      </c>
      <c r="C352" s="21">
        <v>1</v>
      </c>
      <c r="D352" s="2" t="s">
        <v>1301</v>
      </c>
      <c r="E352" s="14">
        <v>0</v>
      </c>
      <c r="F352" s="21">
        <v>4</v>
      </c>
      <c r="G352" s="2" t="s">
        <v>1316</v>
      </c>
      <c r="H352" s="23" t="s">
        <v>1317</v>
      </c>
      <c r="I352" s="101" t="s">
        <v>1318</v>
      </c>
      <c r="J352" s="2" t="s">
        <v>24</v>
      </c>
      <c r="K352" s="2" t="s">
        <v>121</v>
      </c>
      <c r="M352" s="2" t="s">
        <v>24</v>
      </c>
      <c r="N352" s="2" t="s">
        <v>121</v>
      </c>
      <c r="O352" s="5"/>
      <c r="P352" s="7">
        <v>1</v>
      </c>
      <c r="Q352" s="106" t="s">
        <v>1319</v>
      </c>
      <c r="R352" s="2" t="s">
        <v>1312</v>
      </c>
    </row>
    <row r="353" spans="1:18" ht="15" customHeight="1">
      <c r="A353" s="21">
        <v>4</v>
      </c>
      <c r="B353" s="2" t="s">
        <v>1242</v>
      </c>
      <c r="C353" s="21">
        <v>1</v>
      </c>
      <c r="D353" s="2" t="s">
        <v>1301</v>
      </c>
      <c r="E353" s="14">
        <v>0</v>
      </c>
      <c r="F353" s="21">
        <v>5</v>
      </c>
      <c r="G353" s="2" t="s">
        <v>1320</v>
      </c>
      <c r="H353" s="23" t="s">
        <v>1321</v>
      </c>
      <c r="I353" s="101" t="s">
        <v>1322</v>
      </c>
      <c r="J353" s="2" t="s">
        <v>24</v>
      </c>
      <c r="K353" s="2" t="s">
        <v>139</v>
      </c>
      <c r="M353" s="2" t="s">
        <v>24</v>
      </c>
      <c r="N353" s="2" t="s">
        <v>139</v>
      </c>
      <c r="O353" s="2" t="s">
        <v>1272</v>
      </c>
      <c r="P353" s="7">
        <v>1</v>
      </c>
      <c r="Q353" s="99" t="s">
        <v>1323</v>
      </c>
    </row>
    <row r="354" spans="1:18" ht="15" customHeight="1">
      <c r="A354" s="21">
        <v>4</v>
      </c>
      <c r="B354" s="2" t="s">
        <v>1242</v>
      </c>
      <c r="C354" s="21">
        <v>1</v>
      </c>
      <c r="D354" s="2" t="s">
        <v>1301</v>
      </c>
      <c r="E354" s="14">
        <v>0</v>
      </c>
      <c r="F354" s="21">
        <v>6</v>
      </c>
      <c r="G354" s="2" t="s">
        <v>1324</v>
      </c>
      <c r="H354" s="23" t="s">
        <v>1325</v>
      </c>
      <c r="I354" s="101" t="s">
        <v>1326</v>
      </c>
      <c r="J354" s="2" t="s">
        <v>24</v>
      </c>
      <c r="K354" s="2" t="s">
        <v>139</v>
      </c>
      <c r="M354" s="2" t="s">
        <v>24</v>
      </c>
      <c r="N354" s="2" t="s">
        <v>139</v>
      </c>
      <c r="O354" s="2" t="s">
        <v>1272</v>
      </c>
      <c r="P354" s="7">
        <v>1</v>
      </c>
      <c r="Q354" s="99" t="s">
        <v>1327</v>
      </c>
    </row>
    <row r="355" spans="1:18" ht="15" customHeight="1">
      <c r="A355" s="21">
        <v>4</v>
      </c>
      <c r="B355" s="2" t="s">
        <v>1242</v>
      </c>
      <c r="C355" s="21">
        <v>1</v>
      </c>
      <c r="D355" s="2" t="s">
        <v>1301</v>
      </c>
      <c r="E355" s="14">
        <v>0</v>
      </c>
      <c r="F355" s="21">
        <v>7</v>
      </c>
      <c r="G355" s="2" t="s">
        <v>1328</v>
      </c>
      <c r="H355" s="23" t="s">
        <v>1329</v>
      </c>
      <c r="I355" s="101" t="s">
        <v>1330</v>
      </c>
      <c r="J355" s="2" t="s">
        <v>24</v>
      </c>
      <c r="K355" s="2" t="s">
        <v>139</v>
      </c>
      <c r="M355" s="2" t="s">
        <v>24</v>
      </c>
      <c r="N355" s="2" t="s">
        <v>139</v>
      </c>
      <c r="O355" s="2" t="s">
        <v>1272</v>
      </c>
      <c r="P355" s="7">
        <v>1</v>
      </c>
      <c r="Q355" s="99" t="s">
        <v>1331</v>
      </c>
    </row>
    <row r="356" spans="1:18" ht="15" customHeight="1">
      <c r="A356" s="21">
        <v>4</v>
      </c>
      <c r="B356" s="2" t="s">
        <v>1242</v>
      </c>
      <c r="C356" s="21">
        <v>1</v>
      </c>
      <c r="D356" s="2" t="s">
        <v>1301</v>
      </c>
      <c r="E356" s="14">
        <v>0</v>
      </c>
      <c r="F356" s="21">
        <v>8</v>
      </c>
      <c r="G356" s="2" t="s">
        <v>1332</v>
      </c>
      <c r="H356" s="23" t="s">
        <v>1333</v>
      </c>
      <c r="I356" s="101" t="s">
        <v>1334</v>
      </c>
      <c r="J356" s="2" t="s">
        <v>24</v>
      </c>
      <c r="K356" s="2" t="s">
        <v>139</v>
      </c>
      <c r="M356" s="2" t="s">
        <v>24</v>
      </c>
      <c r="N356" s="2" t="s">
        <v>139</v>
      </c>
      <c r="O356" s="2" t="s">
        <v>1272</v>
      </c>
      <c r="P356" s="7">
        <v>1</v>
      </c>
      <c r="Q356" s="99" t="s">
        <v>1335</v>
      </c>
    </row>
    <row r="357" spans="1:18" ht="15" customHeight="1">
      <c r="A357" s="21">
        <v>4</v>
      </c>
      <c r="B357" s="2" t="s">
        <v>1242</v>
      </c>
      <c r="C357" s="21">
        <v>1</v>
      </c>
      <c r="D357" s="2" t="s">
        <v>1301</v>
      </c>
      <c r="E357" s="14">
        <v>0</v>
      </c>
      <c r="F357" s="21">
        <v>9</v>
      </c>
      <c r="G357" s="2" t="s">
        <v>1336</v>
      </c>
      <c r="H357" s="23" t="s">
        <v>1337</v>
      </c>
      <c r="I357" s="101" t="s">
        <v>1338</v>
      </c>
      <c r="J357" s="2" t="s">
        <v>24</v>
      </c>
      <c r="K357" s="2" t="s">
        <v>121</v>
      </c>
      <c r="M357" s="2" t="s">
        <v>24</v>
      </c>
      <c r="N357" s="2" t="s">
        <v>121</v>
      </c>
      <c r="O357" s="5"/>
      <c r="P357" s="7">
        <v>1</v>
      </c>
      <c r="Q357" s="106" t="s">
        <v>1339</v>
      </c>
      <c r="R357" s="2" t="s">
        <v>1340</v>
      </c>
    </row>
    <row r="358" spans="1:18" ht="15" customHeight="1">
      <c r="A358" s="21">
        <v>4</v>
      </c>
      <c r="B358" s="2" t="s">
        <v>1242</v>
      </c>
      <c r="C358" s="21">
        <v>1</v>
      </c>
      <c r="D358" s="2" t="s">
        <v>1301</v>
      </c>
      <c r="E358" s="14">
        <v>0</v>
      </c>
      <c r="F358" s="21">
        <v>10</v>
      </c>
      <c r="G358" s="2" t="s">
        <v>1341</v>
      </c>
      <c r="H358" s="23" t="s">
        <v>1342</v>
      </c>
      <c r="I358" s="101" t="s">
        <v>1343</v>
      </c>
      <c r="J358" s="2" t="s">
        <v>24</v>
      </c>
      <c r="K358" s="2" t="s">
        <v>25</v>
      </c>
      <c r="L358" s="5" t="s">
        <v>1344</v>
      </c>
      <c r="M358" s="2" t="s">
        <v>24</v>
      </c>
      <c r="N358" s="2" t="s">
        <v>25</v>
      </c>
      <c r="O358" s="5" t="s">
        <v>308</v>
      </c>
      <c r="P358" s="7">
        <v>1</v>
      </c>
      <c r="Q358" s="106" t="s">
        <v>1345</v>
      </c>
    </row>
    <row r="359" spans="1:18" ht="15" customHeight="1">
      <c r="A359" s="21">
        <v>4</v>
      </c>
      <c r="B359" s="2" t="s">
        <v>1242</v>
      </c>
      <c r="C359" s="21">
        <v>1</v>
      </c>
      <c r="D359" s="2" t="s">
        <v>1301</v>
      </c>
      <c r="E359" s="14">
        <v>0</v>
      </c>
      <c r="F359" s="21">
        <v>11</v>
      </c>
      <c r="G359" s="2" t="s">
        <v>1346</v>
      </c>
      <c r="H359" s="23" t="s">
        <v>1347</v>
      </c>
      <c r="I359" s="101" t="s">
        <v>1348</v>
      </c>
      <c r="J359" s="2" t="s">
        <v>24</v>
      </c>
      <c r="K359" s="2" t="s">
        <v>25</v>
      </c>
      <c r="L359" s="5" t="s">
        <v>1344</v>
      </c>
      <c r="M359" s="2" t="s">
        <v>24</v>
      </c>
      <c r="N359" s="2" t="s">
        <v>25</v>
      </c>
      <c r="O359" s="5" t="s">
        <v>308</v>
      </c>
      <c r="P359" s="7">
        <v>1</v>
      </c>
      <c r="Q359" s="106" t="s">
        <v>1349</v>
      </c>
    </row>
    <row r="360" spans="1:18" ht="15" customHeight="1">
      <c r="A360" s="21">
        <v>4</v>
      </c>
      <c r="B360" s="2" t="s">
        <v>1242</v>
      </c>
      <c r="C360" s="21">
        <v>1</v>
      </c>
      <c r="D360" s="2" t="s">
        <v>1301</v>
      </c>
      <c r="E360" s="14">
        <v>0</v>
      </c>
      <c r="F360" s="21">
        <v>12</v>
      </c>
      <c r="G360" s="2" t="s">
        <v>1350</v>
      </c>
      <c r="H360" s="23" t="s">
        <v>1351</v>
      </c>
      <c r="I360" s="101" t="s">
        <v>1352</v>
      </c>
      <c r="J360" s="2" t="s">
        <v>32</v>
      </c>
      <c r="K360" s="2" t="s">
        <v>23</v>
      </c>
      <c r="M360" s="2" t="s">
        <v>32</v>
      </c>
      <c r="N360" s="2" t="s">
        <v>23</v>
      </c>
      <c r="O360" s="11"/>
      <c r="P360" s="26">
        <v>1</v>
      </c>
      <c r="Q360" s="99" t="s">
        <v>1353</v>
      </c>
      <c r="R360" s="2" t="s">
        <v>1354</v>
      </c>
    </row>
    <row r="361" spans="1:18" ht="15" customHeight="1">
      <c r="A361" s="21">
        <v>4</v>
      </c>
      <c r="B361" s="2" t="s">
        <v>1242</v>
      </c>
      <c r="C361" s="21">
        <v>1</v>
      </c>
      <c r="D361" s="2" t="s">
        <v>1301</v>
      </c>
      <c r="E361" s="14">
        <v>0</v>
      </c>
      <c r="F361" s="21">
        <v>13</v>
      </c>
      <c r="G361" s="2" t="s">
        <v>1355</v>
      </c>
      <c r="H361" s="23" t="s">
        <v>1356</v>
      </c>
      <c r="I361" s="101" t="s">
        <v>1357</v>
      </c>
      <c r="J361" s="2" t="s">
        <v>32</v>
      </c>
      <c r="K361" s="2" t="s">
        <v>23</v>
      </c>
      <c r="M361" s="2" t="s">
        <v>32</v>
      </c>
      <c r="N361" s="2" t="s">
        <v>23</v>
      </c>
      <c r="O361" s="11"/>
      <c r="P361" s="26">
        <v>1</v>
      </c>
      <c r="Q361" s="99" t="s">
        <v>1358</v>
      </c>
      <c r="R361" s="2" t="s">
        <v>1359</v>
      </c>
    </row>
    <row r="362" spans="1:18" ht="15" customHeight="1">
      <c r="A362" s="21">
        <v>4</v>
      </c>
      <c r="B362" s="2" t="s">
        <v>1242</v>
      </c>
      <c r="C362" s="21">
        <v>1</v>
      </c>
      <c r="D362" s="2" t="s">
        <v>1301</v>
      </c>
      <c r="E362" s="14">
        <v>0</v>
      </c>
      <c r="F362" s="21">
        <v>14</v>
      </c>
      <c r="G362" s="2" t="s">
        <v>1360</v>
      </c>
      <c r="H362" s="23" t="s">
        <v>1361</v>
      </c>
      <c r="I362" s="101" t="s">
        <v>1362</v>
      </c>
      <c r="J362" s="2" t="s">
        <v>32</v>
      </c>
      <c r="K362" s="2" t="s">
        <v>23</v>
      </c>
      <c r="M362" s="2" t="s">
        <v>32</v>
      </c>
      <c r="N362" s="2" t="s">
        <v>23</v>
      </c>
      <c r="O362" s="11"/>
      <c r="P362" s="26">
        <v>1</v>
      </c>
      <c r="Q362" s="99" t="s">
        <v>1363</v>
      </c>
      <c r="R362" s="2" t="s">
        <v>1364</v>
      </c>
    </row>
    <row r="363" spans="1:18" ht="15" customHeight="1">
      <c r="A363" s="21">
        <v>4</v>
      </c>
      <c r="B363" s="2" t="s">
        <v>1242</v>
      </c>
      <c r="C363" s="21">
        <v>1</v>
      </c>
      <c r="D363" s="2" t="s">
        <v>1301</v>
      </c>
      <c r="E363" s="14">
        <v>0</v>
      </c>
      <c r="F363" s="21">
        <v>15</v>
      </c>
      <c r="G363" s="2" t="s">
        <v>1365</v>
      </c>
      <c r="H363" s="23" t="s">
        <v>1366</v>
      </c>
      <c r="I363" s="101" t="s">
        <v>1367</v>
      </c>
      <c r="J363" s="2" t="s">
        <v>38</v>
      </c>
      <c r="K363" s="2" t="s">
        <v>23</v>
      </c>
      <c r="M363" s="2" t="s">
        <v>38</v>
      </c>
      <c r="N363" s="2" t="s">
        <v>23</v>
      </c>
      <c r="O363" s="11"/>
      <c r="P363" s="26">
        <v>1</v>
      </c>
      <c r="Q363" s="99" t="s">
        <v>1368</v>
      </c>
    </row>
    <row r="364" spans="1:18" ht="15" customHeight="1">
      <c r="A364" s="21">
        <v>4</v>
      </c>
      <c r="B364" s="2" t="s">
        <v>1242</v>
      </c>
      <c r="C364" s="21">
        <v>2</v>
      </c>
      <c r="D364" s="2" t="s">
        <v>1369</v>
      </c>
      <c r="E364" s="14">
        <v>0</v>
      </c>
      <c r="F364" s="21">
        <v>0</v>
      </c>
      <c r="G364" s="2" t="s">
        <v>1370</v>
      </c>
      <c r="H364" s="23" t="s">
        <v>1371</v>
      </c>
      <c r="I364" s="34" t="s">
        <v>1372</v>
      </c>
      <c r="J364" s="5" t="s">
        <v>23</v>
      </c>
      <c r="K364" s="5" t="s">
        <v>23</v>
      </c>
      <c r="L364" s="5"/>
      <c r="M364" s="2" t="s">
        <v>24</v>
      </c>
      <c r="N364" s="2" t="s">
        <v>1373</v>
      </c>
      <c r="O364" s="5" t="s">
        <v>26</v>
      </c>
      <c r="P364" s="7">
        <v>1</v>
      </c>
      <c r="Q364" s="96" t="s">
        <v>1374</v>
      </c>
    </row>
    <row r="365" spans="1:18" ht="15" customHeight="1">
      <c r="A365" s="21">
        <v>4</v>
      </c>
      <c r="B365" s="2" t="s">
        <v>1242</v>
      </c>
      <c r="C365" s="21">
        <v>2</v>
      </c>
      <c r="D365" s="2" t="s">
        <v>1369</v>
      </c>
      <c r="E365" s="14">
        <v>0</v>
      </c>
      <c r="F365" s="21">
        <v>1</v>
      </c>
      <c r="G365" s="2" t="s">
        <v>1375</v>
      </c>
      <c r="H365" s="23" t="s">
        <v>1376</v>
      </c>
      <c r="I365" s="101" t="s">
        <v>1377</v>
      </c>
      <c r="J365" s="5" t="s">
        <v>38</v>
      </c>
      <c r="K365" s="5" t="s">
        <v>23</v>
      </c>
      <c r="L365" s="5"/>
      <c r="M365" s="2" t="s">
        <v>38</v>
      </c>
      <c r="N365" s="2" t="s">
        <v>23</v>
      </c>
      <c r="O365" s="5"/>
      <c r="P365" s="7">
        <v>1</v>
      </c>
      <c r="Q365" s="97" t="s">
        <v>1378</v>
      </c>
    </row>
    <row r="366" spans="1:18" ht="15" customHeight="1">
      <c r="A366" s="21">
        <v>4</v>
      </c>
      <c r="B366" s="2" t="s">
        <v>1242</v>
      </c>
      <c r="C366" s="21">
        <v>2</v>
      </c>
      <c r="D366" s="2" t="s">
        <v>1369</v>
      </c>
      <c r="E366" s="14">
        <v>0</v>
      </c>
      <c r="F366" s="21">
        <v>2</v>
      </c>
      <c r="G366" s="2" t="s">
        <v>1379</v>
      </c>
      <c r="H366" s="23" t="s">
        <v>1380</v>
      </c>
      <c r="I366" s="101" t="s">
        <v>1381</v>
      </c>
      <c r="J366" s="5" t="s">
        <v>38</v>
      </c>
      <c r="K366" s="5" t="s">
        <v>23</v>
      </c>
      <c r="L366" s="5"/>
      <c r="M366" s="2" t="s">
        <v>38</v>
      </c>
      <c r="N366" s="2" t="s">
        <v>23</v>
      </c>
      <c r="O366" s="5"/>
      <c r="P366" s="7">
        <v>1</v>
      </c>
      <c r="Q366" s="97" t="s">
        <v>1382</v>
      </c>
    </row>
    <row r="367" spans="1:18" ht="15" customHeight="1">
      <c r="A367" s="21">
        <v>4</v>
      </c>
      <c r="B367" s="2" t="s">
        <v>1242</v>
      </c>
      <c r="C367" s="21">
        <v>2</v>
      </c>
      <c r="D367" s="2" t="s">
        <v>1369</v>
      </c>
      <c r="E367" s="14">
        <v>0</v>
      </c>
      <c r="F367" s="21">
        <v>3</v>
      </c>
      <c r="G367" s="2" t="s">
        <v>1383</v>
      </c>
      <c r="H367" s="23" t="s">
        <v>1384</v>
      </c>
      <c r="I367" s="101" t="s">
        <v>1385</v>
      </c>
      <c r="J367" s="5" t="s">
        <v>38</v>
      </c>
      <c r="K367" s="5" t="s">
        <v>23</v>
      </c>
      <c r="L367" s="5"/>
      <c r="M367" s="2" t="s">
        <v>38</v>
      </c>
      <c r="N367" s="2" t="s">
        <v>23</v>
      </c>
      <c r="O367" s="5"/>
      <c r="P367" s="7">
        <v>1</v>
      </c>
      <c r="Q367" s="97" t="s">
        <v>1386</v>
      </c>
    </row>
    <row r="368" spans="1:18" ht="15" customHeight="1">
      <c r="A368" s="21">
        <v>4</v>
      </c>
      <c r="B368" s="2" t="s">
        <v>1242</v>
      </c>
      <c r="C368" s="21">
        <v>2</v>
      </c>
      <c r="D368" s="2" t="s">
        <v>1369</v>
      </c>
      <c r="E368" s="14">
        <v>0</v>
      </c>
      <c r="F368" s="21">
        <v>4</v>
      </c>
      <c r="G368" s="2" t="s">
        <v>1387</v>
      </c>
      <c r="H368" s="23" t="s">
        <v>1388</v>
      </c>
      <c r="I368" s="101" t="s">
        <v>1389</v>
      </c>
      <c r="J368" s="5" t="s">
        <v>1390</v>
      </c>
      <c r="K368" s="5" t="s">
        <v>23</v>
      </c>
      <c r="L368" s="5"/>
      <c r="M368" s="2" t="s">
        <v>38</v>
      </c>
      <c r="N368" s="2" t="s">
        <v>23</v>
      </c>
      <c r="O368" s="5"/>
      <c r="P368" s="7">
        <v>1</v>
      </c>
      <c r="Q368" s="97" t="s">
        <v>1391</v>
      </c>
    </row>
    <row r="369" spans="1:18" ht="15" customHeight="1">
      <c r="A369" s="21">
        <v>4</v>
      </c>
      <c r="B369" s="2" t="s">
        <v>1242</v>
      </c>
      <c r="C369" s="21">
        <v>2</v>
      </c>
      <c r="D369" s="2" t="s">
        <v>1369</v>
      </c>
      <c r="E369" s="14">
        <v>0</v>
      </c>
      <c r="F369" s="21">
        <v>5</v>
      </c>
      <c r="G369" s="2" t="s">
        <v>1392</v>
      </c>
      <c r="H369" s="23" t="s">
        <v>1393</v>
      </c>
      <c r="I369" s="101" t="s">
        <v>1394</v>
      </c>
      <c r="J369" s="5" t="s">
        <v>24</v>
      </c>
      <c r="K369" s="5" t="s">
        <v>25</v>
      </c>
      <c r="L369" s="5" t="s">
        <v>308</v>
      </c>
      <c r="M369" s="2" t="s">
        <v>24</v>
      </c>
      <c r="N369" s="2" t="s">
        <v>25</v>
      </c>
      <c r="O369" s="5" t="s">
        <v>1395</v>
      </c>
      <c r="P369" s="7">
        <v>1</v>
      </c>
      <c r="Q369" s="97" t="s">
        <v>1396</v>
      </c>
    </row>
    <row r="370" spans="1:18" ht="15" customHeight="1">
      <c r="A370" s="21">
        <v>4</v>
      </c>
      <c r="B370" s="2" t="s">
        <v>1242</v>
      </c>
      <c r="C370" s="21">
        <v>2</v>
      </c>
      <c r="D370" s="2" t="s">
        <v>1369</v>
      </c>
      <c r="E370" s="14">
        <v>0</v>
      </c>
      <c r="F370" s="21">
        <v>6</v>
      </c>
      <c r="G370" s="2" t="s">
        <v>1397</v>
      </c>
      <c r="H370" s="23" t="s">
        <v>1398</v>
      </c>
      <c r="I370" s="101" t="s">
        <v>1399</v>
      </c>
      <c r="J370" s="5" t="s">
        <v>23</v>
      </c>
      <c r="K370" s="5" t="s">
        <v>23</v>
      </c>
      <c r="L370" s="5"/>
      <c r="M370" s="2" t="s">
        <v>1400</v>
      </c>
      <c r="N370" s="2" t="s">
        <v>25</v>
      </c>
      <c r="O370" s="5" t="s">
        <v>1395</v>
      </c>
      <c r="P370" s="7">
        <v>1</v>
      </c>
      <c r="Q370" s="97" t="s">
        <v>5718</v>
      </c>
    </row>
    <row r="371" spans="1:18" ht="15" customHeight="1">
      <c r="A371" s="21">
        <v>4</v>
      </c>
      <c r="B371" s="2" t="s">
        <v>1242</v>
      </c>
      <c r="C371" s="21">
        <v>2</v>
      </c>
      <c r="D371" s="2" t="s">
        <v>1369</v>
      </c>
      <c r="E371" s="14">
        <v>0</v>
      </c>
      <c r="F371" s="21">
        <v>7</v>
      </c>
      <c r="G371" s="2" t="s">
        <v>1401</v>
      </c>
      <c r="H371" s="23" t="s">
        <v>1402</v>
      </c>
      <c r="I371" s="101" t="s">
        <v>1403</v>
      </c>
      <c r="J371" s="5" t="s">
        <v>24</v>
      </c>
      <c r="K371" s="5" t="s">
        <v>1404</v>
      </c>
      <c r="L371" s="16" t="s">
        <v>1403</v>
      </c>
      <c r="M371" s="2" t="s">
        <v>24</v>
      </c>
      <c r="N371" s="2" t="s">
        <v>1404</v>
      </c>
      <c r="O371" s="16" t="s">
        <v>1403</v>
      </c>
      <c r="P371" s="7">
        <v>1</v>
      </c>
      <c r="Q371" s="97" t="s">
        <v>1405</v>
      </c>
    </row>
    <row r="372" spans="1:18" ht="15" customHeight="1">
      <c r="A372" s="21">
        <v>4</v>
      </c>
      <c r="B372" s="2" t="s">
        <v>1242</v>
      </c>
      <c r="C372" s="21">
        <v>2</v>
      </c>
      <c r="D372" s="2" t="s">
        <v>1369</v>
      </c>
      <c r="E372" s="14">
        <v>0</v>
      </c>
      <c r="F372" s="21">
        <v>8</v>
      </c>
      <c r="G372" s="2" t="s">
        <v>579</v>
      </c>
      <c r="H372" s="23" t="s">
        <v>1406</v>
      </c>
      <c r="I372" s="101" t="s">
        <v>1407</v>
      </c>
      <c r="J372" s="5" t="s">
        <v>24</v>
      </c>
      <c r="K372" s="5" t="s">
        <v>1404</v>
      </c>
      <c r="L372" s="16" t="s">
        <v>1408</v>
      </c>
      <c r="M372" s="2" t="s">
        <v>24</v>
      </c>
      <c r="N372" s="2" t="s">
        <v>1404</v>
      </c>
      <c r="O372" s="16" t="s">
        <v>1408</v>
      </c>
      <c r="P372" s="7">
        <v>1</v>
      </c>
      <c r="Q372" s="97" t="s">
        <v>1409</v>
      </c>
    </row>
    <row r="373" spans="1:18" ht="15" customHeight="1">
      <c r="A373" s="21">
        <v>4</v>
      </c>
      <c r="B373" s="2" t="s">
        <v>1242</v>
      </c>
      <c r="C373" s="21">
        <v>2</v>
      </c>
      <c r="D373" s="2" t="s">
        <v>1369</v>
      </c>
      <c r="E373" s="14">
        <v>0</v>
      </c>
      <c r="F373" s="21">
        <v>9</v>
      </c>
      <c r="G373" s="2" t="s">
        <v>1410</v>
      </c>
      <c r="H373" s="23" t="s">
        <v>1411</v>
      </c>
      <c r="I373" s="101" t="s">
        <v>1412</v>
      </c>
      <c r="J373" s="5" t="s">
        <v>1390</v>
      </c>
      <c r="K373" s="5" t="s">
        <v>1390</v>
      </c>
      <c r="L373" s="5"/>
      <c r="M373" s="2" t="s">
        <v>24</v>
      </c>
      <c r="N373" s="2" t="s">
        <v>139</v>
      </c>
      <c r="O373" s="5" t="s">
        <v>1413</v>
      </c>
      <c r="P373" s="7">
        <v>1</v>
      </c>
      <c r="Q373" s="97" t="s">
        <v>1414</v>
      </c>
    </row>
    <row r="374" spans="1:18" ht="15" customHeight="1">
      <c r="A374" s="21">
        <v>4</v>
      </c>
      <c r="B374" s="2" t="s">
        <v>1242</v>
      </c>
      <c r="C374" s="21">
        <v>2</v>
      </c>
      <c r="D374" s="2" t="s">
        <v>1369</v>
      </c>
      <c r="E374" s="14">
        <v>0</v>
      </c>
      <c r="F374" s="21">
        <v>10</v>
      </c>
      <c r="G374" s="2" t="s">
        <v>1415</v>
      </c>
      <c r="H374" s="23" t="s">
        <v>1416</v>
      </c>
      <c r="I374" s="101" t="s">
        <v>1417</v>
      </c>
      <c r="J374" s="5" t="s">
        <v>1390</v>
      </c>
      <c r="K374" s="5" t="s">
        <v>1390</v>
      </c>
      <c r="L374" s="5"/>
      <c r="M374" s="2" t="s">
        <v>24</v>
      </c>
      <c r="N374" s="2" t="s">
        <v>25</v>
      </c>
      <c r="O374" s="5" t="s">
        <v>1277</v>
      </c>
      <c r="P374" s="7">
        <v>1</v>
      </c>
      <c r="Q374" s="97" t="s">
        <v>1418</v>
      </c>
    </row>
    <row r="375" spans="1:18" ht="15" customHeight="1">
      <c r="A375" s="21">
        <v>4</v>
      </c>
      <c r="B375" s="2" t="s">
        <v>1242</v>
      </c>
      <c r="C375" s="21">
        <v>2</v>
      </c>
      <c r="D375" s="2" t="s">
        <v>1369</v>
      </c>
      <c r="E375" s="14">
        <v>0</v>
      </c>
      <c r="F375" s="21">
        <v>11</v>
      </c>
      <c r="G375" s="2" t="s">
        <v>1419</v>
      </c>
      <c r="H375" s="23" t="s">
        <v>1420</v>
      </c>
      <c r="I375" s="101" t="s">
        <v>1421</v>
      </c>
      <c r="J375" s="5" t="s">
        <v>1390</v>
      </c>
      <c r="K375" s="5" t="s">
        <v>1390</v>
      </c>
      <c r="L375" s="5"/>
      <c r="M375" s="2" t="s">
        <v>24</v>
      </c>
      <c r="N375" s="2" t="s">
        <v>25</v>
      </c>
      <c r="O375" s="5" t="s">
        <v>1395</v>
      </c>
      <c r="P375" s="7">
        <v>1</v>
      </c>
      <c r="Q375" s="97" t="s">
        <v>1422</v>
      </c>
    </row>
    <row r="376" spans="1:18" ht="15" customHeight="1">
      <c r="A376" s="21">
        <v>4</v>
      </c>
      <c r="B376" s="2" t="s">
        <v>1242</v>
      </c>
      <c r="C376" s="21">
        <v>2</v>
      </c>
      <c r="D376" s="2" t="s">
        <v>1369</v>
      </c>
      <c r="E376" s="14">
        <v>0</v>
      </c>
      <c r="F376" s="21">
        <v>12</v>
      </c>
      <c r="G376" s="2" t="s">
        <v>1423</v>
      </c>
      <c r="H376" s="23" t="s">
        <v>1424</v>
      </c>
      <c r="I376" s="101" t="s">
        <v>1425</v>
      </c>
      <c r="J376" s="5" t="s">
        <v>1390</v>
      </c>
      <c r="K376" s="5" t="s">
        <v>1390</v>
      </c>
      <c r="L376" s="5"/>
      <c r="M376" s="2" t="s">
        <v>24</v>
      </c>
      <c r="N376" s="2" t="s">
        <v>25</v>
      </c>
      <c r="O376" s="5" t="s">
        <v>1395</v>
      </c>
      <c r="P376" s="7">
        <v>1</v>
      </c>
      <c r="Q376" s="97" t="s">
        <v>1426</v>
      </c>
    </row>
    <row r="377" spans="1:18" ht="15" customHeight="1">
      <c r="A377" s="21">
        <v>4</v>
      </c>
      <c r="B377" s="2" t="s">
        <v>1242</v>
      </c>
      <c r="C377" s="21">
        <v>2</v>
      </c>
      <c r="D377" s="2" t="s">
        <v>1369</v>
      </c>
      <c r="E377" s="14">
        <v>0</v>
      </c>
      <c r="F377" s="21">
        <v>13</v>
      </c>
      <c r="G377" s="2" t="s">
        <v>1427</v>
      </c>
      <c r="H377" s="23" t="s">
        <v>1428</v>
      </c>
      <c r="I377" s="101" t="s">
        <v>1429</v>
      </c>
      <c r="J377" s="5" t="s">
        <v>1390</v>
      </c>
      <c r="K377" s="5" t="s">
        <v>1390</v>
      </c>
      <c r="L377" s="5"/>
      <c r="M377" s="2" t="s">
        <v>24</v>
      </c>
      <c r="N377" s="2" t="s">
        <v>25</v>
      </c>
      <c r="O377" s="5" t="s">
        <v>1395</v>
      </c>
      <c r="P377" s="7">
        <v>1</v>
      </c>
      <c r="Q377" s="97" t="s">
        <v>1430</v>
      </c>
    </row>
    <row r="378" spans="1:18" ht="15" customHeight="1">
      <c r="A378" s="21">
        <v>4</v>
      </c>
      <c r="B378" s="2" t="s">
        <v>1242</v>
      </c>
      <c r="C378" s="21">
        <v>2</v>
      </c>
      <c r="D378" s="2" t="s">
        <v>1369</v>
      </c>
      <c r="E378" s="14">
        <v>0</v>
      </c>
      <c r="F378" s="21">
        <v>14</v>
      </c>
      <c r="G378" s="2" t="s">
        <v>1431</v>
      </c>
      <c r="H378" s="23" t="s">
        <v>1432</v>
      </c>
      <c r="I378" s="101" t="s">
        <v>1433</v>
      </c>
      <c r="J378" s="5" t="s">
        <v>1390</v>
      </c>
      <c r="K378" s="5" t="s">
        <v>1390</v>
      </c>
      <c r="L378" s="5"/>
      <c r="M378" s="2" t="s">
        <v>24</v>
      </c>
      <c r="N378" s="2" t="s">
        <v>25</v>
      </c>
      <c r="O378" s="5" t="s">
        <v>1395</v>
      </c>
      <c r="P378" s="7">
        <v>1</v>
      </c>
      <c r="Q378" s="97" t="s">
        <v>1434</v>
      </c>
      <c r="R378" s="61" t="s">
        <v>1435</v>
      </c>
    </row>
    <row r="379" spans="1:18" ht="15" customHeight="1">
      <c r="A379" s="21">
        <v>4</v>
      </c>
      <c r="B379" s="2" t="s">
        <v>1242</v>
      </c>
      <c r="C379" s="21">
        <v>2</v>
      </c>
      <c r="D379" s="2" t="s">
        <v>1369</v>
      </c>
      <c r="E379" s="14">
        <v>0</v>
      </c>
      <c r="F379" s="21">
        <v>15</v>
      </c>
      <c r="G379" s="2" t="s">
        <v>1436</v>
      </c>
      <c r="H379" s="23" t="s">
        <v>1437</v>
      </c>
      <c r="I379" s="101" t="s">
        <v>1438</v>
      </c>
      <c r="J379" s="60" t="s">
        <v>1390</v>
      </c>
      <c r="K379" s="60" t="s">
        <v>1390</v>
      </c>
      <c r="L379" s="5"/>
      <c r="M379" s="2" t="s">
        <v>24</v>
      </c>
      <c r="N379" s="2" t="s">
        <v>116</v>
      </c>
      <c r="O379" s="16" t="s">
        <v>1438</v>
      </c>
      <c r="P379" s="7">
        <v>1</v>
      </c>
      <c r="Q379" s="97" t="s">
        <v>1439</v>
      </c>
    </row>
    <row r="380" spans="1:18" ht="15" customHeight="1">
      <c r="A380" s="72"/>
      <c r="C380" s="72"/>
      <c r="E380" s="86"/>
      <c r="F380" s="72"/>
      <c r="H380" s="87" t="s">
        <v>234</v>
      </c>
      <c r="I380" s="105"/>
      <c r="O380" s="11"/>
      <c r="P380" s="26"/>
      <c r="Q380" s="99"/>
    </row>
    <row r="381" spans="1:18" ht="15" customHeight="1">
      <c r="A381" s="21">
        <v>5</v>
      </c>
      <c r="B381" s="2" t="s">
        <v>1440</v>
      </c>
      <c r="C381" s="21">
        <v>0</v>
      </c>
      <c r="D381" s="2" t="s">
        <v>1441</v>
      </c>
      <c r="E381" s="14">
        <v>0</v>
      </c>
      <c r="F381" s="21">
        <v>0</v>
      </c>
      <c r="G381" s="2" t="s">
        <v>20</v>
      </c>
      <c r="H381" s="23" t="s">
        <v>1442</v>
      </c>
      <c r="I381" s="34" t="s">
        <v>1443</v>
      </c>
      <c r="J381" s="2" t="s">
        <v>23</v>
      </c>
      <c r="K381" s="2" t="s">
        <v>23</v>
      </c>
      <c r="M381" s="2" t="s">
        <v>24</v>
      </c>
      <c r="N381" s="2" t="s">
        <v>25</v>
      </c>
      <c r="O381" s="5" t="s">
        <v>26</v>
      </c>
      <c r="P381" s="7">
        <v>1</v>
      </c>
      <c r="Q381" s="1" t="s">
        <v>1444</v>
      </c>
      <c r="R381" s="7"/>
    </row>
    <row r="382" spans="1:18" ht="15" customHeight="1">
      <c r="A382" s="21">
        <v>5</v>
      </c>
      <c r="B382" s="2" t="s">
        <v>1440</v>
      </c>
      <c r="C382" s="21">
        <v>0</v>
      </c>
      <c r="D382" s="2" t="s">
        <v>1441</v>
      </c>
      <c r="E382" s="14">
        <v>0</v>
      </c>
      <c r="F382" s="21">
        <v>1</v>
      </c>
      <c r="G382" s="2" t="s">
        <v>346</v>
      </c>
      <c r="H382" s="23" t="s">
        <v>1445</v>
      </c>
      <c r="I382" s="101" t="s">
        <v>1446</v>
      </c>
      <c r="J382" s="2" t="s">
        <v>24</v>
      </c>
      <c r="K382" s="2" t="s">
        <v>139</v>
      </c>
      <c r="L382" s="2" t="s">
        <v>465</v>
      </c>
      <c r="M382" s="2" t="s">
        <v>24</v>
      </c>
      <c r="N382" s="2" t="s">
        <v>139</v>
      </c>
      <c r="O382" s="2" t="s">
        <v>465</v>
      </c>
      <c r="P382" s="7">
        <v>1</v>
      </c>
      <c r="Q382" s="99" t="s">
        <v>466</v>
      </c>
    </row>
    <row r="383" spans="1:18" ht="15" customHeight="1">
      <c r="A383" s="71">
        <v>5</v>
      </c>
      <c r="B383" s="2" t="s">
        <v>1440</v>
      </c>
      <c r="C383" s="71">
        <v>0</v>
      </c>
      <c r="D383" s="2" t="s">
        <v>1441</v>
      </c>
      <c r="E383" s="71">
        <v>0</v>
      </c>
      <c r="F383" s="71">
        <v>2</v>
      </c>
      <c r="G383" s="2" t="s">
        <v>1447</v>
      </c>
      <c r="H383" s="73" t="s">
        <v>1448</v>
      </c>
      <c r="I383" s="100" t="s">
        <v>1449</v>
      </c>
      <c r="J383" s="2" t="s">
        <v>23</v>
      </c>
      <c r="K383" s="2" t="s">
        <v>23</v>
      </c>
      <c r="M383" s="2" t="s">
        <v>24</v>
      </c>
      <c r="N383" s="2" t="s">
        <v>25</v>
      </c>
      <c r="O383" s="5" t="s">
        <v>1450</v>
      </c>
      <c r="P383" s="7">
        <v>0</v>
      </c>
      <c r="Q383" s="99" t="s">
        <v>1451</v>
      </c>
    </row>
    <row r="384" spans="1:18" ht="15" customHeight="1">
      <c r="A384" s="71">
        <v>5</v>
      </c>
      <c r="B384" s="2" t="s">
        <v>1440</v>
      </c>
      <c r="C384" s="71">
        <v>0</v>
      </c>
      <c r="D384" s="2" t="s">
        <v>1441</v>
      </c>
      <c r="E384" s="71">
        <v>0</v>
      </c>
      <c r="F384" s="71">
        <v>3</v>
      </c>
      <c r="G384" s="2" t="s">
        <v>1452</v>
      </c>
      <c r="H384" s="73" t="s">
        <v>1453</v>
      </c>
      <c r="I384" s="100" t="s">
        <v>1454</v>
      </c>
      <c r="J384" s="2" t="s">
        <v>23</v>
      </c>
      <c r="K384" s="2" t="s">
        <v>23</v>
      </c>
      <c r="M384" s="2" t="s">
        <v>24</v>
      </c>
      <c r="N384" s="2" t="s">
        <v>25</v>
      </c>
      <c r="O384" s="5" t="s">
        <v>1450</v>
      </c>
      <c r="P384" s="7">
        <v>0</v>
      </c>
      <c r="Q384" s="99" t="s">
        <v>1451</v>
      </c>
    </row>
    <row r="385" spans="1:19" ht="15" customHeight="1">
      <c r="A385" s="71">
        <v>5</v>
      </c>
      <c r="B385" s="2" t="s">
        <v>1440</v>
      </c>
      <c r="C385" s="71">
        <v>0</v>
      </c>
      <c r="D385" s="2" t="s">
        <v>1441</v>
      </c>
      <c r="E385" s="71">
        <v>0</v>
      </c>
      <c r="F385" s="71">
        <v>4</v>
      </c>
      <c r="G385" s="2" t="s">
        <v>1455</v>
      </c>
      <c r="H385" s="73" t="s">
        <v>1456</v>
      </c>
      <c r="I385" s="100" t="s">
        <v>1457</v>
      </c>
      <c r="J385" s="2" t="s">
        <v>23</v>
      </c>
      <c r="K385" s="2" t="s">
        <v>23</v>
      </c>
      <c r="M385" s="2" t="s">
        <v>24</v>
      </c>
      <c r="N385" s="2" t="s">
        <v>25</v>
      </c>
      <c r="O385" s="5" t="s">
        <v>1450</v>
      </c>
      <c r="P385" s="7">
        <v>0</v>
      </c>
      <c r="Q385" s="99" t="s">
        <v>1451</v>
      </c>
    </row>
    <row r="386" spans="1:19" ht="15" customHeight="1">
      <c r="A386" s="71">
        <v>5</v>
      </c>
      <c r="B386" s="2" t="s">
        <v>1440</v>
      </c>
      <c r="C386" s="71">
        <v>0</v>
      </c>
      <c r="D386" s="2" t="s">
        <v>1441</v>
      </c>
      <c r="E386" s="71">
        <v>0</v>
      </c>
      <c r="F386" s="71">
        <v>5</v>
      </c>
      <c r="G386" s="2" t="s">
        <v>1458</v>
      </c>
      <c r="H386" s="73" t="s">
        <v>1459</v>
      </c>
      <c r="I386" s="100" t="s">
        <v>1460</v>
      </c>
      <c r="J386" s="2" t="s">
        <v>23</v>
      </c>
      <c r="K386" s="2" t="s">
        <v>23</v>
      </c>
      <c r="M386" s="2" t="s">
        <v>24</v>
      </c>
      <c r="N386" s="2" t="s">
        <v>25</v>
      </c>
      <c r="O386" s="5" t="s">
        <v>1461</v>
      </c>
      <c r="P386" s="7">
        <v>0</v>
      </c>
      <c r="Q386" s="99" t="s">
        <v>1462</v>
      </c>
    </row>
    <row r="387" spans="1:19" ht="15" customHeight="1">
      <c r="A387" s="21">
        <v>5</v>
      </c>
      <c r="B387" s="2" t="s">
        <v>1440</v>
      </c>
      <c r="C387" s="21">
        <v>0</v>
      </c>
      <c r="D387" s="2" t="s">
        <v>1441</v>
      </c>
      <c r="E387" s="14">
        <v>0</v>
      </c>
      <c r="F387" s="21">
        <v>6</v>
      </c>
      <c r="G387" s="2" t="s">
        <v>1463</v>
      </c>
      <c r="H387" s="23" t="s">
        <v>1464</v>
      </c>
      <c r="I387" s="101" t="s">
        <v>1465</v>
      </c>
      <c r="J387" s="2" t="s">
        <v>24</v>
      </c>
      <c r="K387" s="2" t="s">
        <v>116</v>
      </c>
      <c r="L387" s="8" t="s">
        <v>1465</v>
      </c>
      <c r="M387" s="2" t="s">
        <v>24</v>
      </c>
      <c r="N387" s="2" t="s">
        <v>116</v>
      </c>
      <c r="O387" s="8" t="s">
        <v>1465</v>
      </c>
      <c r="P387" s="7">
        <v>1</v>
      </c>
      <c r="Q387" s="99" t="s">
        <v>1466</v>
      </c>
    </row>
    <row r="388" spans="1:19" ht="15" customHeight="1">
      <c r="A388" s="21">
        <v>5</v>
      </c>
      <c r="B388" s="2" t="s">
        <v>1440</v>
      </c>
      <c r="C388" s="21">
        <v>0</v>
      </c>
      <c r="D388" s="2" t="s">
        <v>1441</v>
      </c>
      <c r="E388" s="14">
        <v>0</v>
      </c>
      <c r="F388" s="21">
        <v>7</v>
      </c>
      <c r="G388" s="2" t="s">
        <v>1467</v>
      </c>
      <c r="H388" s="23" t="s">
        <v>1468</v>
      </c>
      <c r="I388" s="101" t="s">
        <v>1469</v>
      </c>
      <c r="J388" s="2" t="s">
        <v>24</v>
      </c>
      <c r="K388" s="2" t="s">
        <v>121</v>
      </c>
      <c r="L388" s="8"/>
      <c r="M388" s="2" t="s">
        <v>24</v>
      </c>
      <c r="N388" s="2" t="s">
        <v>121</v>
      </c>
      <c r="O388" s="8"/>
      <c r="P388" s="7">
        <v>1</v>
      </c>
      <c r="Q388" s="99" t="s">
        <v>1470</v>
      </c>
    </row>
    <row r="389" spans="1:19" ht="15" customHeight="1">
      <c r="A389" s="21">
        <v>5</v>
      </c>
      <c r="B389" s="2" t="s">
        <v>1440</v>
      </c>
      <c r="C389" s="21">
        <v>0</v>
      </c>
      <c r="D389" s="2" t="s">
        <v>1441</v>
      </c>
      <c r="E389" s="14">
        <v>0</v>
      </c>
      <c r="F389" s="21">
        <v>8</v>
      </c>
      <c r="G389" s="2" t="s">
        <v>1471</v>
      </c>
      <c r="H389" s="23" t="s">
        <v>1472</v>
      </c>
      <c r="I389" s="101" t="s">
        <v>1473</v>
      </c>
      <c r="J389" s="2" t="s">
        <v>24</v>
      </c>
      <c r="K389" s="2" t="s">
        <v>121</v>
      </c>
      <c r="L389" s="8"/>
      <c r="M389" s="2" t="s">
        <v>24</v>
      </c>
      <c r="N389" s="2" t="s">
        <v>121</v>
      </c>
      <c r="O389" s="8"/>
      <c r="P389" s="7">
        <v>1</v>
      </c>
      <c r="Q389" s="99" t="s">
        <v>1474</v>
      </c>
    </row>
    <row r="390" spans="1:19" ht="15" customHeight="1">
      <c r="A390" s="21">
        <v>5</v>
      </c>
      <c r="B390" s="2" t="s">
        <v>1440</v>
      </c>
      <c r="C390" s="21">
        <v>0</v>
      </c>
      <c r="D390" s="2" t="s">
        <v>1441</v>
      </c>
      <c r="E390" s="14">
        <v>0</v>
      </c>
      <c r="F390" s="21">
        <v>9</v>
      </c>
      <c r="G390" s="2" t="s">
        <v>1475</v>
      </c>
      <c r="H390" s="23" t="s">
        <v>1476</v>
      </c>
      <c r="I390" s="101" t="s">
        <v>1477</v>
      </c>
      <c r="J390" s="2" t="s">
        <v>23</v>
      </c>
      <c r="K390" s="2" t="s">
        <v>23</v>
      </c>
      <c r="L390" s="8"/>
      <c r="M390" s="2" t="s">
        <v>24</v>
      </c>
      <c r="N390" s="2" t="s">
        <v>23</v>
      </c>
      <c r="O390" s="8"/>
      <c r="P390" s="7">
        <v>1</v>
      </c>
      <c r="Q390" s="99" t="s">
        <v>1478</v>
      </c>
      <c r="R390" s="2" t="s">
        <v>1479</v>
      </c>
    </row>
    <row r="391" spans="1:19" ht="15" customHeight="1">
      <c r="A391" s="21">
        <v>5</v>
      </c>
      <c r="B391" s="2" t="s">
        <v>1440</v>
      </c>
      <c r="C391" s="21">
        <v>0</v>
      </c>
      <c r="D391" s="2" t="s">
        <v>1441</v>
      </c>
      <c r="E391" s="14">
        <v>0</v>
      </c>
      <c r="F391" s="21">
        <v>10</v>
      </c>
      <c r="G391" s="2" t="s">
        <v>1480</v>
      </c>
      <c r="H391" s="23" t="s">
        <v>1481</v>
      </c>
      <c r="I391" s="101" t="s">
        <v>1482</v>
      </c>
      <c r="J391" s="2" t="s">
        <v>24</v>
      </c>
      <c r="K391" s="2" t="s">
        <v>23</v>
      </c>
      <c r="L391" s="8"/>
      <c r="M391" s="2" t="s">
        <v>24</v>
      </c>
      <c r="N391" s="2" t="s">
        <v>23</v>
      </c>
      <c r="O391" s="8"/>
      <c r="P391" s="7">
        <v>1</v>
      </c>
      <c r="Q391" s="99" t="s">
        <v>1483</v>
      </c>
      <c r="R391" s="2" t="s">
        <v>1484</v>
      </c>
      <c r="S391" s="9"/>
    </row>
    <row r="392" spans="1:19" ht="15" customHeight="1">
      <c r="A392" s="72"/>
      <c r="C392" s="72"/>
      <c r="E392" s="86"/>
      <c r="F392" s="72"/>
      <c r="H392" s="87" t="s">
        <v>234</v>
      </c>
      <c r="I392" s="105"/>
      <c r="L392" s="8"/>
      <c r="O392" s="8"/>
      <c r="P392" s="7"/>
      <c r="Q392" s="99"/>
    </row>
    <row r="393" spans="1:19" ht="15" customHeight="1">
      <c r="A393" s="21">
        <v>6</v>
      </c>
      <c r="B393" s="2" t="s">
        <v>1485</v>
      </c>
      <c r="C393" s="21">
        <v>0</v>
      </c>
      <c r="D393" s="2" t="s">
        <v>1486</v>
      </c>
      <c r="E393" s="14">
        <v>0</v>
      </c>
      <c r="F393" s="21">
        <v>0</v>
      </c>
      <c r="G393" s="2" t="s">
        <v>20</v>
      </c>
      <c r="H393" s="23" t="s">
        <v>1487</v>
      </c>
      <c r="I393" s="34" t="s">
        <v>1488</v>
      </c>
      <c r="J393" s="2" t="s">
        <v>23</v>
      </c>
      <c r="K393" s="2" t="s">
        <v>23</v>
      </c>
      <c r="M393" s="2" t="s">
        <v>24</v>
      </c>
      <c r="N393" s="2" t="s">
        <v>25</v>
      </c>
      <c r="O393" s="5" t="s">
        <v>26</v>
      </c>
      <c r="P393" s="7">
        <v>1</v>
      </c>
      <c r="Q393" s="1" t="s">
        <v>1489</v>
      </c>
    </row>
    <row r="394" spans="1:19" ht="15" customHeight="1">
      <c r="A394" s="21">
        <v>6</v>
      </c>
      <c r="B394" s="2" t="s">
        <v>1485</v>
      </c>
      <c r="C394" s="21">
        <v>0</v>
      </c>
      <c r="D394" s="2" t="s">
        <v>1486</v>
      </c>
      <c r="E394" s="14">
        <v>0</v>
      </c>
      <c r="F394" s="21">
        <v>1</v>
      </c>
      <c r="G394" s="2" t="s">
        <v>1490</v>
      </c>
      <c r="H394" s="23" t="s">
        <v>1491</v>
      </c>
      <c r="I394" s="101" t="s">
        <v>1492</v>
      </c>
      <c r="J394" s="2" t="s">
        <v>24</v>
      </c>
      <c r="K394" s="2" t="s">
        <v>116</v>
      </c>
      <c r="L394" s="16" t="s">
        <v>1492</v>
      </c>
      <c r="M394" s="2" t="s">
        <v>24</v>
      </c>
      <c r="N394" s="2" t="s">
        <v>116</v>
      </c>
      <c r="O394" s="16" t="s">
        <v>1492</v>
      </c>
      <c r="P394" s="7">
        <v>1</v>
      </c>
      <c r="Q394" s="99" t="s">
        <v>1493</v>
      </c>
      <c r="R394" s="2" t="s">
        <v>1494</v>
      </c>
    </row>
    <row r="395" spans="1:19" ht="15" customHeight="1">
      <c r="A395" s="21">
        <v>6</v>
      </c>
      <c r="B395" s="2" t="s">
        <v>1485</v>
      </c>
      <c r="C395" s="21">
        <v>0</v>
      </c>
      <c r="D395" s="2" t="s">
        <v>1486</v>
      </c>
      <c r="E395" s="14">
        <v>0</v>
      </c>
      <c r="F395" s="21">
        <v>2</v>
      </c>
      <c r="G395" s="2" t="s">
        <v>1256</v>
      </c>
      <c r="H395" s="23" t="s">
        <v>1495</v>
      </c>
      <c r="I395" s="101" t="s">
        <v>1496</v>
      </c>
      <c r="J395" s="2" t="s">
        <v>24</v>
      </c>
      <c r="K395" s="2" t="s">
        <v>116</v>
      </c>
      <c r="L395" s="16" t="s">
        <v>1496</v>
      </c>
      <c r="M395" s="2" t="s">
        <v>24</v>
      </c>
      <c r="N395" s="2" t="s">
        <v>116</v>
      </c>
      <c r="O395" s="16" t="s">
        <v>1496</v>
      </c>
      <c r="P395" s="7">
        <v>1</v>
      </c>
      <c r="Q395" s="99" t="s">
        <v>1497</v>
      </c>
      <c r="R395" s="2" t="s">
        <v>1498</v>
      </c>
    </row>
    <row r="396" spans="1:19" ht="15" customHeight="1">
      <c r="A396" s="21">
        <v>6</v>
      </c>
      <c r="B396" s="2" t="s">
        <v>1485</v>
      </c>
      <c r="C396" s="21">
        <v>0</v>
      </c>
      <c r="D396" s="2" t="s">
        <v>1486</v>
      </c>
      <c r="E396" s="14">
        <v>0</v>
      </c>
      <c r="F396" s="21">
        <v>3</v>
      </c>
      <c r="G396" s="2" t="s">
        <v>1499</v>
      </c>
      <c r="H396" s="23" t="s">
        <v>1500</v>
      </c>
      <c r="I396" s="101" t="s">
        <v>1501</v>
      </c>
      <c r="J396" s="2" t="s">
        <v>24</v>
      </c>
      <c r="K396" s="2" t="s">
        <v>116</v>
      </c>
      <c r="L396" s="16" t="s">
        <v>1501</v>
      </c>
      <c r="M396" s="2" t="s">
        <v>24</v>
      </c>
      <c r="N396" s="2" t="s">
        <v>116</v>
      </c>
      <c r="O396" s="16" t="s">
        <v>1501</v>
      </c>
      <c r="P396" s="7">
        <v>1</v>
      </c>
      <c r="Q396" s="99" t="s">
        <v>1502</v>
      </c>
      <c r="R396" s="2" t="s">
        <v>1503</v>
      </c>
    </row>
    <row r="397" spans="1:19" ht="15" customHeight="1">
      <c r="A397" s="21">
        <v>6</v>
      </c>
      <c r="B397" s="2" t="s">
        <v>1485</v>
      </c>
      <c r="C397" s="21">
        <v>0</v>
      </c>
      <c r="D397" s="2" t="s">
        <v>1486</v>
      </c>
      <c r="E397" s="14">
        <v>0</v>
      </c>
      <c r="F397" s="21">
        <v>4</v>
      </c>
      <c r="G397" s="2" t="s">
        <v>1504</v>
      </c>
      <c r="H397" s="23" t="s">
        <v>1505</v>
      </c>
      <c r="I397" s="101" t="s">
        <v>1506</v>
      </c>
      <c r="J397" s="2" t="s">
        <v>24</v>
      </c>
      <c r="K397" s="2" t="s">
        <v>116</v>
      </c>
      <c r="L397" s="16" t="s">
        <v>1506</v>
      </c>
      <c r="M397" s="2" t="s">
        <v>24</v>
      </c>
      <c r="N397" s="2" t="s">
        <v>116</v>
      </c>
      <c r="O397" s="16" t="s">
        <v>1506</v>
      </c>
      <c r="P397" s="7">
        <v>1</v>
      </c>
      <c r="Q397" s="99" t="s">
        <v>1507</v>
      </c>
      <c r="R397" s="2" t="s">
        <v>1508</v>
      </c>
    </row>
    <row r="398" spans="1:19" ht="15" customHeight="1">
      <c r="A398" s="71">
        <v>6</v>
      </c>
      <c r="B398" s="2" t="s">
        <v>1485</v>
      </c>
      <c r="C398" s="71">
        <v>0</v>
      </c>
      <c r="D398" s="2" t="s">
        <v>1486</v>
      </c>
      <c r="E398" s="74">
        <v>0</v>
      </c>
      <c r="F398" s="71">
        <v>5</v>
      </c>
      <c r="G398" s="2" t="s">
        <v>683</v>
      </c>
      <c r="H398" s="73" t="s">
        <v>1509</v>
      </c>
      <c r="I398" s="100" t="s">
        <v>1510</v>
      </c>
      <c r="J398" s="2" t="s">
        <v>8100</v>
      </c>
      <c r="K398" s="2" t="s">
        <v>9287</v>
      </c>
      <c r="L398" s="16" t="s">
        <v>1510</v>
      </c>
      <c r="M398" s="2" t="s">
        <v>8100</v>
      </c>
      <c r="N398" s="2" t="s">
        <v>9287</v>
      </c>
      <c r="O398" s="16" t="s">
        <v>1510</v>
      </c>
      <c r="P398" s="7">
        <v>0</v>
      </c>
      <c r="Q398" s="99" t="s">
        <v>1511</v>
      </c>
      <c r="R398" s="2" t="s">
        <v>5881</v>
      </c>
    </row>
    <row r="399" spans="1:19" ht="15" customHeight="1">
      <c r="A399" s="21">
        <v>6</v>
      </c>
      <c r="B399" s="2" t="s">
        <v>1485</v>
      </c>
      <c r="C399" s="21">
        <v>0</v>
      </c>
      <c r="D399" s="2" t="s">
        <v>1486</v>
      </c>
      <c r="E399" s="14">
        <v>0</v>
      </c>
      <c r="F399" s="21">
        <v>6</v>
      </c>
      <c r="G399" s="2" t="s">
        <v>1512</v>
      </c>
      <c r="H399" s="23" t="s">
        <v>1513</v>
      </c>
      <c r="I399" s="101" t="s">
        <v>1514</v>
      </c>
      <c r="J399" s="2" t="s">
        <v>23</v>
      </c>
      <c r="K399" s="2" t="s">
        <v>23</v>
      </c>
      <c r="M399" s="2" t="s">
        <v>24</v>
      </c>
      <c r="N399" s="2" t="s">
        <v>116</v>
      </c>
      <c r="O399" s="9" t="s">
        <v>1514</v>
      </c>
      <c r="P399" s="7">
        <v>1</v>
      </c>
      <c r="Q399" s="99" t="s">
        <v>1515</v>
      </c>
      <c r="R399" s="2" t="s">
        <v>1516</v>
      </c>
    </row>
    <row r="400" spans="1:19" ht="15" customHeight="1">
      <c r="A400" s="21">
        <v>6</v>
      </c>
      <c r="B400" s="2" t="s">
        <v>1485</v>
      </c>
      <c r="C400" s="21">
        <v>0</v>
      </c>
      <c r="D400" s="2" t="s">
        <v>1486</v>
      </c>
      <c r="E400" s="14">
        <v>0</v>
      </c>
      <c r="F400" s="21">
        <v>7</v>
      </c>
      <c r="G400" s="2" t="s">
        <v>1517</v>
      </c>
      <c r="H400" s="23" t="s">
        <v>1518</v>
      </c>
      <c r="I400" s="101" t="s">
        <v>1519</v>
      </c>
      <c r="J400" s="2" t="s">
        <v>23</v>
      </c>
      <c r="K400" s="2" t="s">
        <v>23</v>
      </c>
      <c r="M400" s="2" t="s">
        <v>24</v>
      </c>
      <c r="N400" s="2" t="s">
        <v>116</v>
      </c>
      <c r="O400" s="9" t="s">
        <v>1519</v>
      </c>
      <c r="P400" s="7">
        <v>1</v>
      </c>
      <c r="Q400" s="99" t="s">
        <v>1520</v>
      </c>
      <c r="R400" s="2" t="s">
        <v>1521</v>
      </c>
    </row>
    <row r="401" spans="1:18" ht="15" customHeight="1">
      <c r="A401" s="21">
        <v>6</v>
      </c>
      <c r="B401" s="2" t="s">
        <v>1485</v>
      </c>
      <c r="C401" s="21">
        <v>0</v>
      </c>
      <c r="D401" s="2" t="s">
        <v>1486</v>
      </c>
      <c r="E401" s="14">
        <v>0</v>
      </c>
      <c r="F401" s="21">
        <v>8</v>
      </c>
      <c r="G401" s="2" t="s">
        <v>1522</v>
      </c>
      <c r="H401" s="23" t="s">
        <v>1523</v>
      </c>
      <c r="I401" s="101" t="s">
        <v>1524</v>
      </c>
      <c r="J401" s="2" t="s">
        <v>23</v>
      </c>
      <c r="K401" s="2" t="s">
        <v>23</v>
      </c>
      <c r="M401" s="2" t="s">
        <v>24</v>
      </c>
      <c r="N401" s="2" t="s">
        <v>116</v>
      </c>
      <c r="O401" s="9" t="s">
        <v>1524</v>
      </c>
      <c r="P401" s="7">
        <v>1</v>
      </c>
      <c r="Q401" s="99" t="s">
        <v>1525</v>
      </c>
      <c r="R401" s="2" t="s">
        <v>1526</v>
      </c>
    </row>
    <row r="402" spans="1:18" ht="15" customHeight="1">
      <c r="A402" s="21">
        <v>6</v>
      </c>
      <c r="B402" s="2" t="s">
        <v>1485</v>
      </c>
      <c r="C402" s="21">
        <v>0</v>
      </c>
      <c r="D402" s="2" t="s">
        <v>1486</v>
      </c>
      <c r="E402" s="14">
        <v>0</v>
      </c>
      <c r="F402" s="21">
        <v>9</v>
      </c>
      <c r="G402" s="2" t="s">
        <v>1527</v>
      </c>
      <c r="H402" s="23" t="s">
        <v>1528</v>
      </c>
      <c r="I402" s="101" t="s">
        <v>1529</v>
      </c>
      <c r="J402" s="2" t="s">
        <v>23</v>
      </c>
      <c r="K402" s="2" t="s">
        <v>23</v>
      </c>
      <c r="M402" s="2" t="s">
        <v>24</v>
      </c>
      <c r="N402" s="2" t="s">
        <v>116</v>
      </c>
      <c r="O402" s="9" t="s">
        <v>1529</v>
      </c>
      <c r="P402" s="7">
        <v>1</v>
      </c>
      <c r="Q402" s="99" t="s">
        <v>1530</v>
      </c>
      <c r="R402" s="2" t="s">
        <v>1531</v>
      </c>
    </row>
    <row r="403" spans="1:18" ht="15" customHeight="1">
      <c r="A403" s="71">
        <v>6</v>
      </c>
      <c r="B403" s="2" t="s">
        <v>1485</v>
      </c>
      <c r="C403" s="71">
        <v>0</v>
      </c>
      <c r="D403" s="2" t="s">
        <v>1486</v>
      </c>
      <c r="E403" s="74">
        <v>0</v>
      </c>
      <c r="F403" s="71">
        <v>10</v>
      </c>
      <c r="G403" s="2" t="s">
        <v>1532</v>
      </c>
      <c r="H403" s="73" t="s">
        <v>1533</v>
      </c>
      <c r="I403" s="100" t="s">
        <v>1534</v>
      </c>
      <c r="J403" s="2" t="s">
        <v>24</v>
      </c>
      <c r="K403" s="2" t="s">
        <v>116</v>
      </c>
      <c r="L403" s="16" t="s">
        <v>1534</v>
      </c>
      <c r="M403" s="2" t="s">
        <v>24</v>
      </c>
      <c r="N403" s="2" t="s">
        <v>116</v>
      </c>
      <c r="O403" s="16" t="s">
        <v>1534</v>
      </c>
      <c r="P403" s="7">
        <v>0</v>
      </c>
      <c r="Q403" s="107" t="s">
        <v>1535</v>
      </c>
      <c r="R403" s="2" t="s">
        <v>1536</v>
      </c>
    </row>
    <row r="404" spans="1:18" ht="15" customHeight="1">
      <c r="A404" s="21">
        <v>6</v>
      </c>
      <c r="B404" s="2" t="s">
        <v>1485</v>
      </c>
      <c r="C404" s="21">
        <v>0</v>
      </c>
      <c r="D404" s="2" t="s">
        <v>1486</v>
      </c>
      <c r="E404" s="14">
        <v>0</v>
      </c>
      <c r="F404" s="21">
        <v>11</v>
      </c>
      <c r="G404" s="2" t="s">
        <v>1537</v>
      </c>
      <c r="H404" s="23" t="s">
        <v>1538</v>
      </c>
      <c r="I404" s="101" t="s">
        <v>1539</v>
      </c>
      <c r="J404" s="2" t="s">
        <v>23</v>
      </c>
      <c r="K404" s="2" t="s">
        <v>23</v>
      </c>
      <c r="M404" s="2" t="s">
        <v>24</v>
      </c>
      <c r="N404" s="2" t="s">
        <v>116</v>
      </c>
      <c r="O404" s="9" t="s">
        <v>1539</v>
      </c>
      <c r="P404" s="7">
        <v>1</v>
      </c>
      <c r="Q404" s="99" t="s">
        <v>1540</v>
      </c>
      <c r="R404" s="2" t="s">
        <v>1541</v>
      </c>
    </row>
    <row r="405" spans="1:18" ht="15" customHeight="1">
      <c r="A405" s="71">
        <v>6</v>
      </c>
      <c r="B405" s="2" t="s">
        <v>1485</v>
      </c>
      <c r="C405" s="71">
        <v>0</v>
      </c>
      <c r="D405" s="2" t="s">
        <v>1486</v>
      </c>
      <c r="E405" s="74">
        <v>0</v>
      </c>
      <c r="F405" s="71">
        <v>12</v>
      </c>
      <c r="G405" s="2" t="s">
        <v>1542</v>
      </c>
      <c r="H405" s="73" t="s">
        <v>1543</v>
      </c>
      <c r="I405" s="100" t="s">
        <v>1544</v>
      </c>
      <c r="J405" s="2" t="s">
        <v>24</v>
      </c>
      <c r="K405" s="2" t="s">
        <v>23</v>
      </c>
      <c r="L405" s="2" t="s">
        <v>1545</v>
      </c>
      <c r="M405" s="2" t="s">
        <v>24</v>
      </c>
      <c r="N405" s="2" t="s">
        <v>23</v>
      </c>
      <c r="O405" s="2" t="s">
        <v>1545</v>
      </c>
      <c r="P405" s="7">
        <v>0</v>
      </c>
      <c r="Q405" s="99" t="s">
        <v>1546</v>
      </c>
      <c r="R405" s="2" t="s">
        <v>1547</v>
      </c>
    </row>
    <row r="406" spans="1:18" ht="15" customHeight="1">
      <c r="A406" s="21">
        <v>6</v>
      </c>
      <c r="B406" s="2" t="s">
        <v>1485</v>
      </c>
      <c r="C406" s="21">
        <v>0</v>
      </c>
      <c r="D406" s="2" t="s">
        <v>1486</v>
      </c>
      <c r="E406" s="14">
        <v>0</v>
      </c>
      <c r="F406" s="21">
        <v>13</v>
      </c>
      <c r="G406" s="2" t="s">
        <v>5732</v>
      </c>
      <c r="H406" s="23" t="s">
        <v>5733</v>
      </c>
      <c r="I406" s="101" t="s">
        <v>5734</v>
      </c>
      <c r="J406" s="2" t="s">
        <v>24</v>
      </c>
      <c r="K406" s="2" t="s">
        <v>23</v>
      </c>
      <c r="M406" s="2" t="s">
        <v>24</v>
      </c>
      <c r="N406" s="2" t="s">
        <v>23</v>
      </c>
      <c r="O406" s="9"/>
      <c r="P406" s="7">
        <v>1</v>
      </c>
      <c r="Q406" s="99" t="s">
        <v>5735</v>
      </c>
      <c r="R406" s="2" t="s">
        <v>5735</v>
      </c>
    </row>
    <row r="407" spans="1:18" ht="15" customHeight="1">
      <c r="A407" s="71">
        <v>6</v>
      </c>
      <c r="B407" s="2" t="s">
        <v>1485</v>
      </c>
      <c r="C407" s="71">
        <v>0</v>
      </c>
      <c r="D407" s="2" t="s">
        <v>1486</v>
      </c>
      <c r="E407" s="74">
        <v>0</v>
      </c>
      <c r="F407" s="71">
        <v>14</v>
      </c>
      <c r="G407" s="2" t="s">
        <v>5736</v>
      </c>
      <c r="H407" s="73" t="s">
        <v>5737</v>
      </c>
      <c r="I407" s="100" t="s">
        <v>5738</v>
      </c>
      <c r="J407" s="2" t="s">
        <v>24</v>
      </c>
      <c r="K407" s="2" t="s">
        <v>23</v>
      </c>
      <c r="M407" s="2" t="s">
        <v>24</v>
      </c>
      <c r="N407" s="2" t="s">
        <v>23</v>
      </c>
      <c r="P407" s="7">
        <v>0</v>
      </c>
      <c r="Q407" s="99" t="s">
        <v>5739</v>
      </c>
      <c r="R407" s="2" t="s">
        <v>5739</v>
      </c>
    </row>
    <row r="408" spans="1:18" ht="15" customHeight="1">
      <c r="A408" s="21">
        <v>6</v>
      </c>
      <c r="B408" s="2" t="s">
        <v>1485</v>
      </c>
      <c r="C408" s="21">
        <v>0</v>
      </c>
      <c r="D408" s="2" t="s">
        <v>1486</v>
      </c>
      <c r="E408" s="14">
        <v>0</v>
      </c>
      <c r="F408" s="21">
        <v>15</v>
      </c>
      <c r="G408" s="2" t="s">
        <v>5874</v>
      </c>
      <c r="H408" s="23" t="s">
        <v>5876</v>
      </c>
      <c r="I408" s="101" t="s">
        <v>5877</v>
      </c>
      <c r="J408" s="2" t="s">
        <v>23</v>
      </c>
      <c r="K408" s="2" t="s">
        <v>23</v>
      </c>
      <c r="L408" s="16"/>
      <c r="M408" s="2" t="s">
        <v>24</v>
      </c>
      <c r="N408" s="2" t="s">
        <v>116</v>
      </c>
      <c r="O408" s="16" t="s">
        <v>5877</v>
      </c>
      <c r="P408" s="7">
        <v>1</v>
      </c>
      <c r="Q408" s="99" t="s">
        <v>5875</v>
      </c>
      <c r="R408" s="2" t="s">
        <v>5880</v>
      </c>
    </row>
    <row r="409" spans="1:18" ht="15" customHeight="1">
      <c r="A409" s="21">
        <v>6</v>
      </c>
      <c r="B409" s="2" t="s">
        <v>1485</v>
      </c>
      <c r="C409" s="21">
        <v>1</v>
      </c>
      <c r="D409" s="2" t="s">
        <v>1548</v>
      </c>
      <c r="E409" s="14">
        <v>0</v>
      </c>
      <c r="F409" s="21">
        <v>0</v>
      </c>
      <c r="G409" s="2" t="s">
        <v>20</v>
      </c>
      <c r="H409" s="23" t="s">
        <v>1549</v>
      </c>
      <c r="I409" s="34" t="s">
        <v>1550</v>
      </c>
      <c r="J409" s="2" t="s">
        <v>23</v>
      </c>
      <c r="K409" s="2" t="s">
        <v>23</v>
      </c>
      <c r="M409" s="2" t="s">
        <v>24</v>
      </c>
      <c r="N409" s="2" t="s">
        <v>25</v>
      </c>
      <c r="O409" s="5" t="s">
        <v>26</v>
      </c>
      <c r="P409" s="7">
        <v>1</v>
      </c>
      <c r="Q409" s="1" t="s">
        <v>1551</v>
      </c>
    </row>
    <row r="410" spans="1:18" ht="15" customHeight="1">
      <c r="A410" s="21">
        <v>6</v>
      </c>
      <c r="B410" s="2" t="s">
        <v>1485</v>
      </c>
      <c r="C410" s="21">
        <v>1</v>
      </c>
      <c r="D410" s="2" t="s">
        <v>1548</v>
      </c>
      <c r="E410" s="14">
        <v>0</v>
      </c>
      <c r="F410" s="21">
        <v>1</v>
      </c>
      <c r="G410" s="2" t="s">
        <v>1552</v>
      </c>
      <c r="H410" s="23" t="s">
        <v>1553</v>
      </c>
      <c r="I410" s="101" t="s">
        <v>1554</v>
      </c>
      <c r="J410" s="2" t="s">
        <v>23</v>
      </c>
      <c r="K410" s="2" t="s">
        <v>23</v>
      </c>
      <c r="M410" s="2" t="s">
        <v>24</v>
      </c>
      <c r="N410" s="2" t="s">
        <v>116</v>
      </c>
      <c r="O410" s="11" t="s">
        <v>1554</v>
      </c>
      <c r="P410" s="7">
        <v>1</v>
      </c>
      <c r="Q410" s="99" t="s">
        <v>1555</v>
      </c>
      <c r="R410" s="2" t="s">
        <v>1556</v>
      </c>
    </row>
    <row r="411" spans="1:18" ht="15" customHeight="1">
      <c r="A411" s="21">
        <v>6</v>
      </c>
      <c r="B411" s="2" t="s">
        <v>1485</v>
      </c>
      <c r="C411" s="21">
        <v>2</v>
      </c>
      <c r="D411" s="2" t="s">
        <v>1557</v>
      </c>
      <c r="E411" s="14">
        <v>0</v>
      </c>
      <c r="F411" s="21">
        <v>0</v>
      </c>
      <c r="G411" s="2" t="s">
        <v>20</v>
      </c>
      <c r="H411" s="23" t="s">
        <v>1558</v>
      </c>
      <c r="I411" s="34" t="s">
        <v>1559</v>
      </c>
      <c r="J411" s="2" t="s">
        <v>23</v>
      </c>
      <c r="K411" s="2" t="s">
        <v>23</v>
      </c>
      <c r="M411" s="2" t="s">
        <v>24</v>
      </c>
      <c r="N411" s="2" t="s">
        <v>25</v>
      </c>
      <c r="O411" s="5" t="s">
        <v>26</v>
      </c>
      <c r="P411" s="7">
        <v>1</v>
      </c>
      <c r="Q411" s="1" t="s">
        <v>1560</v>
      </c>
    </row>
    <row r="412" spans="1:18" ht="15" customHeight="1">
      <c r="A412" s="21">
        <v>6</v>
      </c>
      <c r="B412" s="2" t="s">
        <v>1485</v>
      </c>
      <c r="C412" s="21">
        <v>2</v>
      </c>
      <c r="D412" s="2" t="s">
        <v>1557</v>
      </c>
      <c r="E412" s="14">
        <v>0</v>
      </c>
      <c r="F412" s="21">
        <v>1</v>
      </c>
      <c r="G412" s="2" t="s">
        <v>49</v>
      </c>
      <c r="H412" s="23" t="s">
        <v>1561</v>
      </c>
      <c r="I412" s="101" t="s">
        <v>1562</v>
      </c>
      <c r="J412" s="2" t="s">
        <v>24</v>
      </c>
      <c r="K412" s="2" t="s">
        <v>23</v>
      </c>
      <c r="L412" s="22" t="s">
        <v>1563</v>
      </c>
      <c r="M412" s="2" t="s">
        <v>24</v>
      </c>
      <c r="N412" s="2" t="s">
        <v>23</v>
      </c>
      <c r="O412" s="9"/>
      <c r="P412" s="7">
        <v>1</v>
      </c>
      <c r="Q412" s="99" t="s">
        <v>1564</v>
      </c>
      <c r="R412" s="2" t="s">
        <v>1565</v>
      </c>
    </row>
    <row r="413" spans="1:18" ht="15" customHeight="1">
      <c r="A413" s="21">
        <v>6</v>
      </c>
      <c r="B413" s="2" t="s">
        <v>1485</v>
      </c>
      <c r="C413" s="21">
        <v>2</v>
      </c>
      <c r="D413" s="2" t="s">
        <v>1557</v>
      </c>
      <c r="E413" s="14">
        <v>0</v>
      </c>
      <c r="F413" s="21">
        <v>2</v>
      </c>
      <c r="G413" s="2" t="s">
        <v>1566</v>
      </c>
      <c r="H413" s="23" t="s">
        <v>1567</v>
      </c>
      <c r="I413" s="101" t="s">
        <v>1568</v>
      </c>
      <c r="J413" s="2" t="s">
        <v>24</v>
      </c>
      <c r="K413" s="2" t="s">
        <v>23</v>
      </c>
      <c r="L413" s="22" t="s">
        <v>1563</v>
      </c>
      <c r="M413" s="2" t="s">
        <v>24</v>
      </c>
      <c r="N413" s="2" t="s">
        <v>23</v>
      </c>
      <c r="O413" s="9"/>
      <c r="P413" s="7">
        <v>1</v>
      </c>
      <c r="Q413" s="99" t="s">
        <v>1569</v>
      </c>
      <c r="R413" s="2" t="s">
        <v>1570</v>
      </c>
    </row>
    <row r="414" spans="1:18" ht="15" customHeight="1">
      <c r="A414" s="71">
        <v>6</v>
      </c>
      <c r="B414" s="2" t="s">
        <v>1485</v>
      </c>
      <c r="C414" s="71">
        <v>3</v>
      </c>
      <c r="D414" s="2" t="s">
        <v>1571</v>
      </c>
      <c r="E414" s="74">
        <v>0</v>
      </c>
      <c r="F414" s="71">
        <v>0</v>
      </c>
      <c r="G414" s="2" t="s">
        <v>20</v>
      </c>
      <c r="H414" s="73" t="s">
        <v>1572</v>
      </c>
      <c r="I414" s="76" t="s">
        <v>1573</v>
      </c>
      <c r="J414" s="2" t="s">
        <v>23</v>
      </c>
      <c r="K414" s="2" t="s">
        <v>23</v>
      </c>
      <c r="M414" s="2" t="s">
        <v>24</v>
      </c>
      <c r="N414" s="2" t="s">
        <v>25</v>
      </c>
      <c r="O414" s="5" t="s">
        <v>26</v>
      </c>
      <c r="P414" s="7">
        <v>0</v>
      </c>
      <c r="Q414" s="1" t="s">
        <v>1574</v>
      </c>
    </row>
    <row r="415" spans="1:18" ht="15" customHeight="1">
      <c r="A415" s="71">
        <v>6</v>
      </c>
      <c r="B415" s="2" t="s">
        <v>1485</v>
      </c>
      <c r="C415" s="71">
        <v>3</v>
      </c>
      <c r="D415" s="2" t="s">
        <v>1571</v>
      </c>
      <c r="E415" s="74">
        <v>0</v>
      </c>
      <c r="F415" s="71">
        <v>1</v>
      </c>
      <c r="G415" s="2" t="s">
        <v>1575</v>
      </c>
      <c r="H415" s="73" t="s">
        <v>1576</v>
      </c>
      <c r="I415" s="100" t="s">
        <v>1577</v>
      </c>
      <c r="J415" s="2" t="s">
        <v>24</v>
      </c>
      <c r="K415" s="2" t="s">
        <v>23</v>
      </c>
      <c r="L415" s="22" t="s">
        <v>23</v>
      </c>
      <c r="M415" s="2" t="s">
        <v>24</v>
      </c>
      <c r="N415" s="2" t="s">
        <v>23</v>
      </c>
      <c r="O415" s="9"/>
      <c r="P415" s="7">
        <v>0</v>
      </c>
      <c r="Q415" s="99" t="s">
        <v>1578</v>
      </c>
    </row>
    <row r="416" spans="1:18" ht="15" customHeight="1">
      <c r="A416" s="71">
        <v>6</v>
      </c>
      <c r="B416" s="2" t="s">
        <v>1485</v>
      </c>
      <c r="C416" s="71">
        <v>3</v>
      </c>
      <c r="D416" s="2" t="s">
        <v>1571</v>
      </c>
      <c r="E416" s="74">
        <v>0</v>
      </c>
      <c r="F416" s="71">
        <v>2</v>
      </c>
      <c r="G416" s="2" t="s">
        <v>1579</v>
      </c>
      <c r="H416" s="73" t="s">
        <v>1580</v>
      </c>
      <c r="I416" s="100" t="s">
        <v>1581</v>
      </c>
      <c r="J416" s="2" t="s">
        <v>24</v>
      </c>
      <c r="K416" s="2" t="s">
        <v>23</v>
      </c>
      <c r="L416" s="22" t="s">
        <v>23</v>
      </c>
      <c r="M416" s="2" t="s">
        <v>24</v>
      </c>
      <c r="N416" s="2" t="s">
        <v>23</v>
      </c>
      <c r="O416" s="9"/>
      <c r="P416" s="7">
        <v>0</v>
      </c>
      <c r="Q416" s="99" t="s">
        <v>1582</v>
      </c>
    </row>
    <row r="417" spans="1:19" ht="15" customHeight="1">
      <c r="A417" s="72"/>
      <c r="C417" s="72"/>
      <c r="E417" s="86"/>
      <c r="F417" s="72"/>
      <c r="H417" s="87" t="s">
        <v>234</v>
      </c>
      <c r="I417" s="105"/>
      <c r="O417" s="9"/>
      <c r="P417" s="7"/>
      <c r="Q417" s="99"/>
    </row>
    <row r="418" spans="1:19" ht="15" customHeight="1">
      <c r="A418" s="21">
        <v>7</v>
      </c>
      <c r="B418" s="2" t="s">
        <v>1583</v>
      </c>
      <c r="C418" s="21">
        <v>0</v>
      </c>
      <c r="D418" s="2" t="s">
        <v>1584</v>
      </c>
      <c r="E418" s="14">
        <v>0</v>
      </c>
      <c r="F418" s="21">
        <v>0</v>
      </c>
      <c r="G418" s="2" t="s">
        <v>20</v>
      </c>
      <c r="H418" s="23" t="s">
        <v>1585</v>
      </c>
      <c r="I418" s="34" t="s">
        <v>1586</v>
      </c>
      <c r="J418" s="2" t="s">
        <v>23</v>
      </c>
      <c r="K418" s="2" t="s">
        <v>23</v>
      </c>
      <c r="M418" s="2" t="s">
        <v>24</v>
      </c>
      <c r="N418" s="2" t="s">
        <v>25</v>
      </c>
      <c r="O418" s="5" t="s">
        <v>26</v>
      </c>
      <c r="P418" s="7">
        <v>1</v>
      </c>
      <c r="Q418" s="1" t="s">
        <v>1587</v>
      </c>
    </row>
    <row r="419" spans="1:19" ht="15" customHeight="1">
      <c r="A419" s="21">
        <v>7</v>
      </c>
      <c r="B419" s="2" t="s">
        <v>1583</v>
      </c>
      <c r="C419" s="21">
        <v>0</v>
      </c>
      <c r="D419" s="2" t="s">
        <v>1584</v>
      </c>
      <c r="E419" s="14">
        <v>0</v>
      </c>
      <c r="F419" s="21">
        <v>1</v>
      </c>
      <c r="G419" s="2" t="s">
        <v>181</v>
      </c>
      <c r="H419" s="23" t="s">
        <v>1588</v>
      </c>
      <c r="I419" s="101" t="s">
        <v>1589</v>
      </c>
      <c r="J419" s="2" t="s">
        <v>38</v>
      </c>
      <c r="K419" s="2" t="s">
        <v>23</v>
      </c>
      <c r="L419" s="5"/>
      <c r="M419" s="2" t="s">
        <v>38</v>
      </c>
      <c r="N419" s="2" t="s">
        <v>23</v>
      </c>
      <c r="O419" s="5"/>
      <c r="P419" s="7">
        <v>1</v>
      </c>
      <c r="Q419" s="106" t="s">
        <v>181</v>
      </c>
      <c r="R419" s="2" t="s">
        <v>1590</v>
      </c>
    </row>
    <row r="420" spans="1:19" ht="15" customHeight="1">
      <c r="A420" s="21">
        <v>7</v>
      </c>
      <c r="B420" s="2" t="s">
        <v>1583</v>
      </c>
      <c r="C420" s="21">
        <v>0</v>
      </c>
      <c r="D420" s="2" t="s">
        <v>1584</v>
      </c>
      <c r="E420" s="14">
        <v>0</v>
      </c>
      <c r="F420" s="21">
        <v>2</v>
      </c>
      <c r="G420" s="2" t="s">
        <v>1591</v>
      </c>
      <c r="H420" s="23" t="s">
        <v>1592</v>
      </c>
      <c r="I420" s="101" t="s">
        <v>1593</v>
      </c>
      <c r="J420" s="2" t="s">
        <v>24</v>
      </c>
      <c r="K420" s="2" t="s">
        <v>116</v>
      </c>
      <c r="L420" s="9" t="s">
        <v>1594</v>
      </c>
      <c r="M420" s="2" t="s">
        <v>24</v>
      </c>
      <c r="N420" s="2" t="s">
        <v>116</v>
      </c>
      <c r="O420" s="9" t="s">
        <v>1594</v>
      </c>
      <c r="P420" s="7">
        <v>1</v>
      </c>
      <c r="Q420" s="106" t="s">
        <v>1595</v>
      </c>
      <c r="R420" s="2" t="s">
        <v>1596</v>
      </c>
    </row>
    <row r="421" spans="1:19" ht="15" customHeight="1">
      <c r="A421" s="21">
        <v>7</v>
      </c>
      <c r="B421" s="2" t="s">
        <v>1583</v>
      </c>
      <c r="C421" s="21">
        <v>0</v>
      </c>
      <c r="D421" s="2" t="s">
        <v>1584</v>
      </c>
      <c r="E421" s="14">
        <v>0</v>
      </c>
      <c r="F421" s="21">
        <v>3</v>
      </c>
      <c r="G421" s="2" t="s">
        <v>1597</v>
      </c>
      <c r="H421" s="23" t="s">
        <v>1598</v>
      </c>
      <c r="I421" s="101" t="s">
        <v>1599</v>
      </c>
      <c r="J421" s="2" t="s">
        <v>24</v>
      </c>
      <c r="K421" s="2" t="s">
        <v>25</v>
      </c>
      <c r="L421" s="2" t="s">
        <v>1600</v>
      </c>
      <c r="M421" s="2" t="s">
        <v>24</v>
      </c>
      <c r="N421" s="2" t="s">
        <v>25</v>
      </c>
      <c r="O421" s="2" t="s">
        <v>1600</v>
      </c>
      <c r="P421" s="7">
        <v>1</v>
      </c>
      <c r="Q421" s="106" t="s">
        <v>1601</v>
      </c>
      <c r="R421" s="2" t="s">
        <v>1602</v>
      </c>
    </row>
    <row r="422" spans="1:19" ht="15" customHeight="1">
      <c r="A422" s="21">
        <v>7</v>
      </c>
      <c r="B422" s="2" t="s">
        <v>1583</v>
      </c>
      <c r="C422" s="21">
        <v>0</v>
      </c>
      <c r="D422" s="2" t="s">
        <v>1584</v>
      </c>
      <c r="E422" s="14">
        <v>0</v>
      </c>
      <c r="F422" s="21">
        <v>4</v>
      </c>
      <c r="G422" s="2" t="s">
        <v>1603</v>
      </c>
      <c r="H422" s="23" t="s">
        <v>1604</v>
      </c>
      <c r="I422" s="101" t="s">
        <v>1605</v>
      </c>
      <c r="J422" s="2" t="s">
        <v>24</v>
      </c>
      <c r="K422" s="2" t="s">
        <v>25</v>
      </c>
      <c r="L422" s="2" t="s">
        <v>5767</v>
      </c>
      <c r="M422" s="2" t="s">
        <v>24</v>
      </c>
      <c r="N422" s="2" t="s">
        <v>25</v>
      </c>
      <c r="O422" s="2" t="s">
        <v>5767</v>
      </c>
      <c r="P422" s="7">
        <v>1</v>
      </c>
      <c r="Q422" s="106" t="s">
        <v>1606</v>
      </c>
      <c r="R422" s="2" t="s">
        <v>5768</v>
      </c>
    </row>
    <row r="423" spans="1:19" ht="15" customHeight="1">
      <c r="A423" s="21">
        <v>7</v>
      </c>
      <c r="B423" s="2" t="s">
        <v>1583</v>
      </c>
      <c r="C423" s="21">
        <v>0</v>
      </c>
      <c r="D423" s="2" t="s">
        <v>1584</v>
      </c>
      <c r="E423" s="14">
        <v>0</v>
      </c>
      <c r="F423" s="21">
        <v>5</v>
      </c>
      <c r="G423" s="2" t="s">
        <v>310</v>
      </c>
      <c r="H423" s="23" t="s">
        <v>1607</v>
      </c>
      <c r="I423" s="101" t="s">
        <v>1608</v>
      </c>
      <c r="J423" s="2" t="s">
        <v>24</v>
      </c>
      <c r="K423" s="2" t="s">
        <v>206</v>
      </c>
      <c r="L423" s="2" t="s">
        <v>1609</v>
      </c>
      <c r="M423" s="2" t="s">
        <v>24</v>
      </c>
      <c r="N423" s="2" t="s">
        <v>206</v>
      </c>
      <c r="O423" s="2" t="s">
        <v>1609</v>
      </c>
      <c r="P423" s="7">
        <v>1</v>
      </c>
      <c r="Q423" s="106" t="s">
        <v>1610</v>
      </c>
      <c r="R423" s="2" t="s">
        <v>1611</v>
      </c>
    </row>
    <row r="424" spans="1:19" ht="15" customHeight="1">
      <c r="A424" s="21">
        <v>7</v>
      </c>
      <c r="B424" s="2" t="s">
        <v>1583</v>
      </c>
      <c r="C424" s="21">
        <v>0</v>
      </c>
      <c r="D424" s="2" t="s">
        <v>1584</v>
      </c>
      <c r="E424" s="14">
        <v>0</v>
      </c>
      <c r="F424" s="21">
        <v>6</v>
      </c>
      <c r="G424" s="2" t="s">
        <v>1612</v>
      </c>
      <c r="H424" s="23" t="s">
        <v>1613</v>
      </c>
      <c r="I424" s="101" t="s">
        <v>1614</v>
      </c>
      <c r="J424" s="2" t="s">
        <v>24</v>
      </c>
      <c r="K424" s="2" t="s">
        <v>139</v>
      </c>
      <c r="L424" s="2" t="s">
        <v>1615</v>
      </c>
      <c r="M424" s="2" t="s">
        <v>24</v>
      </c>
      <c r="N424" s="2" t="s">
        <v>139</v>
      </c>
      <c r="O424" s="2" t="s">
        <v>1615</v>
      </c>
      <c r="P424" s="7">
        <v>1</v>
      </c>
      <c r="Q424" s="106" t="s">
        <v>1616</v>
      </c>
      <c r="R424" s="2" t="s">
        <v>1617</v>
      </c>
    </row>
    <row r="425" spans="1:19" ht="15" customHeight="1">
      <c r="A425" s="21">
        <v>7</v>
      </c>
      <c r="B425" s="2" t="s">
        <v>1583</v>
      </c>
      <c r="C425" s="21">
        <v>0</v>
      </c>
      <c r="D425" s="2" t="s">
        <v>1584</v>
      </c>
      <c r="E425" s="14">
        <v>0</v>
      </c>
      <c r="F425" s="21">
        <v>7</v>
      </c>
      <c r="G425" s="2" t="s">
        <v>1618</v>
      </c>
      <c r="H425" s="23" t="s">
        <v>1619</v>
      </c>
      <c r="I425" s="101" t="s">
        <v>1620</v>
      </c>
      <c r="J425" s="25" t="s">
        <v>24</v>
      </c>
      <c r="K425" s="25" t="s">
        <v>139</v>
      </c>
      <c r="L425" s="2" t="s">
        <v>1621</v>
      </c>
      <c r="M425" s="25" t="s">
        <v>24</v>
      </c>
      <c r="N425" s="25" t="s">
        <v>139</v>
      </c>
      <c r="O425" s="2" t="s">
        <v>1621</v>
      </c>
      <c r="P425" s="26">
        <v>1</v>
      </c>
      <c r="Q425" s="106" t="s">
        <v>1622</v>
      </c>
      <c r="R425" s="2" t="s">
        <v>1623</v>
      </c>
    </row>
    <row r="426" spans="1:19" ht="15" customHeight="1">
      <c r="A426" s="21">
        <v>7</v>
      </c>
      <c r="B426" s="2" t="s">
        <v>1583</v>
      </c>
      <c r="C426" s="21">
        <v>0</v>
      </c>
      <c r="D426" s="2" t="s">
        <v>1584</v>
      </c>
      <c r="E426" s="14">
        <v>0</v>
      </c>
      <c r="F426" s="21">
        <v>8</v>
      </c>
      <c r="G426" s="2" t="s">
        <v>1624</v>
      </c>
      <c r="H426" s="23" t="s">
        <v>1625</v>
      </c>
      <c r="I426" s="101" t="s">
        <v>1626</v>
      </c>
      <c r="J426" s="2" t="s">
        <v>24</v>
      </c>
      <c r="K426" s="2" t="s">
        <v>116</v>
      </c>
      <c r="L426" s="16" t="s">
        <v>1605</v>
      </c>
      <c r="M426" s="2" t="s">
        <v>24</v>
      </c>
      <c r="N426" s="2" t="s">
        <v>116</v>
      </c>
      <c r="O426" s="16" t="s">
        <v>1605</v>
      </c>
      <c r="P426" s="7">
        <v>1</v>
      </c>
      <c r="Q426" s="106" t="s">
        <v>1627</v>
      </c>
      <c r="R426" s="2" t="s">
        <v>1628</v>
      </c>
    </row>
    <row r="427" spans="1:19" ht="15" customHeight="1">
      <c r="A427" s="21">
        <v>7</v>
      </c>
      <c r="B427" s="2" t="s">
        <v>1583</v>
      </c>
      <c r="C427" s="21">
        <v>0</v>
      </c>
      <c r="D427" s="2" t="s">
        <v>1584</v>
      </c>
      <c r="E427" s="14">
        <v>0</v>
      </c>
      <c r="F427" s="21">
        <v>9</v>
      </c>
      <c r="G427" s="2" t="s">
        <v>1629</v>
      </c>
      <c r="H427" s="23" t="s">
        <v>1630</v>
      </c>
      <c r="I427" s="101" t="s">
        <v>1631</v>
      </c>
      <c r="J427" s="2" t="s">
        <v>24</v>
      </c>
      <c r="K427" s="2" t="s">
        <v>23</v>
      </c>
      <c r="M427" s="2" t="s">
        <v>24</v>
      </c>
      <c r="N427" s="2" t="s">
        <v>23</v>
      </c>
      <c r="P427" s="7">
        <v>1</v>
      </c>
      <c r="Q427" s="106" t="s">
        <v>1632</v>
      </c>
      <c r="R427" s="2" t="s">
        <v>1633</v>
      </c>
    </row>
    <row r="428" spans="1:19" ht="15" customHeight="1">
      <c r="A428" s="21">
        <v>7</v>
      </c>
      <c r="B428" s="2" t="s">
        <v>1583</v>
      </c>
      <c r="C428" s="21">
        <v>0</v>
      </c>
      <c r="D428" s="2" t="s">
        <v>1584</v>
      </c>
      <c r="E428" s="14">
        <v>0</v>
      </c>
      <c r="F428" s="21">
        <v>10</v>
      </c>
      <c r="G428" s="2" t="s">
        <v>346</v>
      </c>
      <c r="H428" s="23" t="s">
        <v>1634</v>
      </c>
      <c r="I428" s="101" t="s">
        <v>1635</v>
      </c>
      <c r="J428" s="2" t="s">
        <v>23</v>
      </c>
      <c r="K428" s="2" t="s">
        <v>23</v>
      </c>
      <c r="M428" s="2" t="s">
        <v>24</v>
      </c>
      <c r="N428" s="2" t="s">
        <v>139</v>
      </c>
      <c r="O428" s="2" t="s">
        <v>465</v>
      </c>
      <c r="P428" s="7">
        <v>1</v>
      </c>
      <c r="Q428" s="106" t="s">
        <v>1636</v>
      </c>
      <c r="R428" s="2" t="s">
        <v>466</v>
      </c>
    </row>
    <row r="429" spans="1:19" ht="15" customHeight="1">
      <c r="A429" s="21">
        <v>7</v>
      </c>
      <c r="B429" s="2" t="s">
        <v>1583</v>
      </c>
      <c r="C429" s="21">
        <v>0</v>
      </c>
      <c r="D429" s="2" t="s">
        <v>1584</v>
      </c>
      <c r="E429" s="14">
        <v>0</v>
      </c>
      <c r="F429" s="21">
        <v>11</v>
      </c>
      <c r="G429" s="2" t="s">
        <v>1637</v>
      </c>
      <c r="H429" s="23" t="s">
        <v>1638</v>
      </c>
      <c r="I429" s="101" t="s">
        <v>1639</v>
      </c>
      <c r="J429" s="2" t="s">
        <v>24</v>
      </c>
      <c r="K429" s="2" t="s">
        <v>139</v>
      </c>
      <c r="M429" s="2" t="s">
        <v>24</v>
      </c>
      <c r="N429" s="2" t="s">
        <v>139</v>
      </c>
      <c r="P429" s="7">
        <v>1</v>
      </c>
      <c r="Q429" s="106" t="s">
        <v>1640</v>
      </c>
      <c r="R429" s="2" t="s">
        <v>1641</v>
      </c>
    </row>
    <row r="430" spans="1:19" ht="15" customHeight="1">
      <c r="A430" s="21">
        <v>7</v>
      </c>
      <c r="B430" s="2" t="s">
        <v>1583</v>
      </c>
      <c r="C430" s="21">
        <v>0</v>
      </c>
      <c r="D430" s="2" t="s">
        <v>1584</v>
      </c>
      <c r="E430" s="14">
        <v>0</v>
      </c>
      <c r="F430" s="21">
        <v>12</v>
      </c>
      <c r="G430" s="2" t="s">
        <v>1642</v>
      </c>
      <c r="H430" s="23" t="s">
        <v>1643</v>
      </c>
      <c r="I430" s="101" t="s">
        <v>1644</v>
      </c>
      <c r="J430" s="2" t="s">
        <v>24</v>
      </c>
      <c r="K430" s="2" t="s">
        <v>139</v>
      </c>
      <c r="M430" s="2" t="s">
        <v>24</v>
      </c>
      <c r="N430" s="2" t="s">
        <v>139</v>
      </c>
      <c r="P430" s="7">
        <v>1</v>
      </c>
      <c r="Q430" s="106" t="s">
        <v>1645</v>
      </c>
      <c r="R430" s="2" t="s">
        <v>1646</v>
      </c>
      <c r="S430" s="2" t="s">
        <v>1647</v>
      </c>
    </row>
    <row r="431" spans="1:19" ht="15" customHeight="1">
      <c r="A431" s="21">
        <v>7</v>
      </c>
      <c r="B431" s="2" t="s">
        <v>1583</v>
      </c>
      <c r="C431" s="21">
        <v>0</v>
      </c>
      <c r="D431" s="2" t="s">
        <v>1584</v>
      </c>
      <c r="E431" s="14">
        <v>0</v>
      </c>
      <c r="F431" s="21">
        <v>13</v>
      </c>
      <c r="G431" s="2" t="s">
        <v>1648</v>
      </c>
      <c r="H431" s="23" t="s">
        <v>1649</v>
      </c>
      <c r="I431" s="101" t="s">
        <v>1650</v>
      </c>
      <c r="J431" s="2" t="s">
        <v>24</v>
      </c>
      <c r="K431" s="2" t="s">
        <v>23</v>
      </c>
      <c r="M431" s="2" t="s">
        <v>24</v>
      </c>
      <c r="N431" s="2" t="s">
        <v>23</v>
      </c>
      <c r="P431" s="7">
        <v>1</v>
      </c>
      <c r="Q431" s="106" t="s">
        <v>1651</v>
      </c>
      <c r="R431" s="2" t="s">
        <v>1652</v>
      </c>
      <c r="S431" s="2" t="s">
        <v>1647</v>
      </c>
    </row>
    <row r="432" spans="1:19" ht="15" customHeight="1">
      <c r="A432" s="21">
        <v>7</v>
      </c>
      <c r="B432" s="2" t="s">
        <v>1583</v>
      </c>
      <c r="C432" s="21">
        <v>0</v>
      </c>
      <c r="D432" s="2" t="s">
        <v>1584</v>
      </c>
      <c r="E432" s="14">
        <v>0</v>
      </c>
      <c r="F432" s="21">
        <v>14</v>
      </c>
      <c r="G432" s="2" t="s">
        <v>1653</v>
      </c>
      <c r="H432" s="23" t="s">
        <v>1654</v>
      </c>
      <c r="I432" s="101" t="s">
        <v>1655</v>
      </c>
      <c r="J432" s="2" t="s">
        <v>24</v>
      </c>
      <c r="K432" s="2" t="s">
        <v>23</v>
      </c>
      <c r="M432" s="2" t="s">
        <v>24</v>
      </c>
      <c r="N432" s="2" t="s">
        <v>23</v>
      </c>
      <c r="P432" s="7">
        <v>1</v>
      </c>
      <c r="Q432" s="106" t="s">
        <v>1656</v>
      </c>
      <c r="R432" s="2" t="s">
        <v>1657</v>
      </c>
      <c r="S432" s="2" t="s">
        <v>1647</v>
      </c>
    </row>
    <row r="433" spans="1:19" ht="15" customHeight="1">
      <c r="A433" s="21">
        <v>7</v>
      </c>
      <c r="B433" s="2" t="s">
        <v>1583</v>
      </c>
      <c r="C433" s="21">
        <v>0</v>
      </c>
      <c r="D433" s="2" t="s">
        <v>1584</v>
      </c>
      <c r="E433" s="14">
        <v>0</v>
      </c>
      <c r="F433" s="21">
        <v>15</v>
      </c>
      <c r="G433" s="2" t="s">
        <v>1658</v>
      </c>
      <c r="H433" s="23" t="s">
        <v>1659</v>
      </c>
      <c r="I433" s="101" t="s">
        <v>1660</v>
      </c>
      <c r="J433" s="2" t="s">
        <v>24</v>
      </c>
      <c r="K433" s="2" t="s">
        <v>139</v>
      </c>
      <c r="M433" s="2" t="s">
        <v>24</v>
      </c>
      <c r="N433" s="2" t="s">
        <v>139</v>
      </c>
      <c r="P433" s="7">
        <v>1</v>
      </c>
      <c r="Q433" s="106" t="s">
        <v>1661</v>
      </c>
      <c r="R433" s="2" t="s">
        <v>1641</v>
      </c>
      <c r="S433" s="2" t="s">
        <v>1647</v>
      </c>
    </row>
    <row r="434" spans="1:19" ht="15" customHeight="1">
      <c r="A434" s="21">
        <v>7</v>
      </c>
      <c r="B434" s="2" t="s">
        <v>1583</v>
      </c>
      <c r="C434" s="21">
        <v>0</v>
      </c>
      <c r="D434" s="2" t="s">
        <v>1584</v>
      </c>
      <c r="E434" s="14">
        <v>0</v>
      </c>
      <c r="F434" s="21">
        <v>16</v>
      </c>
      <c r="G434" s="2" t="s">
        <v>1662</v>
      </c>
      <c r="H434" s="23" t="s">
        <v>1663</v>
      </c>
      <c r="I434" s="101" t="s">
        <v>1664</v>
      </c>
      <c r="J434" s="2" t="s">
        <v>24</v>
      </c>
      <c r="K434" s="2" t="s">
        <v>139</v>
      </c>
      <c r="M434" s="2" t="s">
        <v>24</v>
      </c>
      <c r="N434" s="2" t="s">
        <v>139</v>
      </c>
      <c r="P434" s="7">
        <v>1</v>
      </c>
      <c r="Q434" s="106" t="s">
        <v>1665</v>
      </c>
      <c r="R434" s="2" t="s">
        <v>1646</v>
      </c>
      <c r="S434" s="2" t="s">
        <v>1647</v>
      </c>
    </row>
    <row r="435" spans="1:19" ht="15" customHeight="1">
      <c r="A435" s="21">
        <v>7</v>
      </c>
      <c r="B435" s="2" t="s">
        <v>1583</v>
      </c>
      <c r="C435" s="21">
        <v>0</v>
      </c>
      <c r="D435" s="2" t="s">
        <v>1584</v>
      </c>
      <c r="E435" s="14">
        <v>0</v>
      </c>
      <c r="F435" s="21">
        <v>17</v>
      </c>
      <c r="G435" s="2" t="s">
        <v>1666</v>
      </c>
      <c r="H435" s="23" t="s">
        <v>1667</v>
      </c>
      <c r="I435" s="101" t="s">
        <v>1668</v>
      </c>
      <c r="J435" s="2" t="s">
        <v>24</v>
      </c>
      <c r="K435" s="2" t="s">
        <v>23</v>
      </c>
      <c r="M435" s="2" t="s">
        <v>24</v>
      </c>
      <c r="N435" s="2" t="s">
        <v>23</v>
      </c>
      <c r="P435" s="7">
        <v>1</v>
      </c>
      <c r="Q435" s="106" t="s">
        <v>1669</v>
      </c>
      <c r="R435" s="2" t="s">
        <v>1652</v>
      </c>
      <c r="S435" s="2" t="s">
        <v>1647</v>
      </c>
    </row>
    <row r="436" spans="1:19" ht="15" customHeight="1">
      <c r="A436" s="21">
        <v>7</v>
      </c>
      <c r="B436" s="2" t="s">
        <v>1583</v>
      </c>
      <c r="C436" s="21">
        <v>0</v>
      </c>
      <c r="D436" s="2" t="s">
        <v>1584</v>
      </c>
      <c r="E436" s="14">
        <v>0</v>
      </c>
      <c r="F436" s="21">
        <v>18</v>
      </c>
      <c r="G436" s="2" t="s">
        <v>1670</v>
      </c>
      <c r="H436" s="23" t="s">
        <v>1671</v>
      </c>
      <c r="I436" s="101" t="s">
        <v>1672</v>
      </c>
      <c r="J436" s="2" t="s">
        <v>24</v>
      </c>
      <c r="K436" s="2" t="s">
        <v>23</v>
      </c>
      <c r="M436" s="2" t="s">
        <v>24</v>
      </c>
      <c r="N436" s="2" t="s">
        <v>23</v>
      </c>
      <c r="P436" s="7">
        <v>1</v>
      </c>
      <c r="Q436" s="106" t="s">
        <v>1673</v>
      </c>
      <c r="R436" s="2" t="s">
        <v>1657</v>
      </c>
      <c r="S436" s="2" t="s">
        <v>1674</v>
      </c>
    </row>
    <row r="437" spans="1:19" ht="15" customHeight="1">
      <c r="A437" s="21">
        <v>7</v>
      </c>
      <c r="B437" s="2" t="s">
        <v>1583</v>
      </c>
      <c r="C437" s="21">
        <v>0</v>
      </c>
      <c r="D437" s="2" t="s">
        <v>1584</v>
      </c>
      <c r="E437" s="14">
        <v>0</v>
      </c>
      <c r="F437" s="21">
        <v>19</v>
      </c>
      <c r="G437" s="2" t="s">
        <v>1675</v>
      </c>
      <c r="H437" s="23" t="s">
        <v>1676</v>
      </c>
      <c r="I437" s="101" t="s">
        <v>1677</v>
      </c>
      <c r="J437" s="2" t="s">
        <v>24</v>
      </c>
      <c r="K437" s="2" t="s">
        <v>139</v>
      </c>
      <c r="M437" s="2" t="s">
        <v>24</v>
      </c>
      <c r="N437" s="2" t="s">
        <v>139</v>
      </c>
      <c r="P437" s="7">
        <v>1</v>
      </c>
      <c r="Q437" s="106" t="s">
        <v>1678</v>
      </c>
      <c r="R437" s="2" t="s">
        <v>1641</v>
      </c>
      <c r="S437" s="2" t="s">
        <v>1674</v>
      </c>
    </row>
    <row r="438" spans="1:19" ht="15" customHeight="1">
      <c r="A438" s="21">
        <v>7</v>
      </c>
      <c r="B438" s="2" t="s">
        <v>1583</v>
      </c>
      <c r="C438" s="21">
        <v>0</v>
      </c>
      <c r="D438" s="2" t="s">
        <v>1584</v>
      </c>
      <c r="E438" s="14">
        <v>0</v>
      </c>
      <c r="F438" s="21">
        <v>20</v>
      </c>
      <c r="G438" s="2" t="s">
        <v>1679</v>
      </c>
      <c r="H438" s="23" t="s">
        <v>1680</v>
      </c>
      <c r="I438" s="101" t="s">
        <v>1681</v>
      </c>
      <c r="J438" s="2" t="s">
        <v>24</v>
      </c>
      <c r="K438" s="2" t="s">
        <v>139</v>
      </c>
      <c r="M438" s="2" t="s">
        <v>24</v>
      </c>
      <c r="N438" s="2" t="s">
        <v>139</v>
      </c>
      <c r="P438" s="7">
        <v>1</v>
      </c>
      <c r="Q438" s="106" t="s">
        <v>1682</v>
      </c>
      <c r="R438" s="2" t="s">
        <v>1646</v>
      </c>
      <c r="S438" s="2" t="s">
        <v>1683</v>
      </c>
    </row>
    <row r="439" spans="1:19" ht="15" customHeight="1">
      <c r="A439" s="21">
        <v>7</v>
      </c>
      <c r="B439" s="2" t="s">
        <v>1583</v>
      </c>
      <c r="C439" s="21">
        <v>0</v>
      </c>
      <c r="D439" s="2" t="s">
        <v>1584</v>
      </c>
      <c r="E439" s="14">
        <v>0</v>
      </c>
      <c r="F439" s="21">
        <v>21</v>
      </c>
      <c r="G439" s="2" t="s">
        <v>1684</v>
      </c>
      <c r="H439" s="23" t="s">
        <v>1685</v>
      </c>
      <c r="I439" s="101" t="s">
        <v>1686</v>
      </c>
      <c r="J439" s="2" t="s">
        <v>24</v>
      </c>
      <c r="K439" s="2" t="s">
        <v>25</v>
      </c>
      <c r="L439" s="2" t="s">
        <v>1687</v>
      </c>
      <c r="M439" s="2" t="s">
        <v>24</v>
      </c>
      <c r="N439" s="2" t="s">
        <v>25</v>
      </c>
      <c r="O439" s="2" t="s">
        <v>1687</v>
      </c>
      <c r="P439" s="7">
        <v>1</v>
      </c>
      <c r="Q439" s="106" t="s">
        <v>1684</v>
      </c>
      <c r="R439" s="2" t="s">
        <v>1688</v>
      </c>
      <c r="S439" s="2" t="s">
        <v>1689</v>
      </c>
    </row>
    <row r="440" spans="1:19" ht="15" customHeight="1">
      <c r="A440" s="21">
        <v>7</v>
      </c>
      <c r="B440" s="2" t="s">
        <v>1583</v>
      </c>
      <c r="C440" s="21">
        <v>0</v>
      </c>
      <c r="D440" s="2" t="s">
        <v>1584</v>
      </c>
      <c r="E440" s="14">
        <v>0</v>
      </c>
      <c r="F440" s="21">
        <v>22</v>
      </c>
      <c r="G440" s="2" t="s">
        <v>305</v>
      </c>
      <c r="H440" s="23" t="s">
        <v>1690</v>
      </c>
      <c r="I440" s="101" t="s">
        <v>1691</v>
      </c>
      <c r="J440" s="2" t="s">
        <v>24</v>
      </c>
      <c r="K440" s="2" t="s">
        <v>25</v>
      </c>
      <c r="L440" s="2" t="s">
        <v>1692</v>
      </c>
      <c r="M440" s="2" t="s">
        <v>24</v>
      </c>
      <c r="N440" s="2" t="s">
        <v>25</v>
      </c>
      <c r="O440" s="2" t="s">
        <v>1692</v>
      </c>
      <c r="P440" s="7">
        <v>1</v>
      </c>
      <c r="Q440" s="106" t="s">
        <v>1693</v>
      </c>
      <c r="S440" s="2" t="s">
        <v>1689</v>
      </c>
    </row>
    <row r="441" spans="1:19" ht="15" customHeight="1">
      <c r="A441" s="21">
        <v>7</v>
      </c>
      <c r="B441" s="2" t="s">
        <v>1583</v>
      </c>
      <c r="C441" s="21">
        <v>0</v>
      </c>
      <c r="D441" s="2" t="s">
        <v>1584</v>
      </c>
      <c r="E441" s="14">
        <v>0</v>
      </c>
      <c r="F441" s="21">
        <v>23</v>
      </c>
      <c r="G441" s="2" t="s">
        <v>1694</v>
      </c>
      <c r="H441" s="23" t="s">
        <v>1695</v>
      </c>
      <c r="I441" s="101" t="s">
        <v>1696</v>
      </c>
      <c r="J441" s="2" t="s">
        <v>24</v>
      </c>
      <c r="K441" s="2" t="s">
        <v>116</v>
      </c>
      <c r="L441" s="9" t="s">
        <v>1696</v>
      </c>
      <c r="M441" s="2" t="s">
        <v>24</v>
      </c>
      <c r="N441" s="2" t="s">
        <v>116</v>
      </c>
      <c r="O441" s="9" t="s">
        <v>1696</v>
      </c>
      <c r="P441" s="7">
        <v>1</v>
      </c>
      <c r="Q441" s="106" t="s">
        <v>1697</v>
      </c>
      <c r="S441" s="2" t="s">
        <v>1689</v>
      </c>
    </row>
    <row r="442" spans="1:19" ht="15" customHeight="1">
      <c r="A442" s="21">
        <v>7</v>
      </c>
      <c r="B442" s="2" t="s">
        <v>1583</v>
      </c>
      <c r="C442" s="21">
        <v>0</v>
      </c>
      <c r="D442" s="2" t="s">
        <v>1584</v>
      </c>
      <c r="E442" s="14">
        <v>0</v>
      </c>
      <c r="F442" s="21">
        <v>24</v>
      </c>
      <c r="G442" s="2" t="s">
        <v>1698</v>
      </c>
      <c r="H442" s="23" t="s">
        <v>1699</v>
      </c>
      <c r="I442" s="101" t="s">
        <v>1700</v>
      </c>
      <c r="J442" s="2" t="s">
        <v>24</v>
      </c>
      <c r="K442" s="2" t="s">
        <v>206</v>
      </c>
      <c r="L442" s="2" t="s">
        <v>271</v>
      </c>
      <c r="M442" s="2" t="s">
        <v>24</v>
      </c>
      <c r="N442" s="2" t="s">
        <v>206</v>
      </c>
      <c r="O442" s="2" t="s">
        <v>271</v>
      </c>
      <c r="P442" s="7">
        <v>1</v>
      </c>
      <c r="Q442" s="106" t="s">
        <v>1701</v>
      </c>
      <c r="S442" s="2" t="s">
        <v>1689</v>
      </c>
    </row>
    <row r="443" spans="1:19" ht="15" customHeight="1">
      <c r="A443" s="21">
        <v>7</v>
      </c>
      <c r="B443" s="2" t="s">
        <v>1583</v>
      </c>
      <c r="C443" s="21">
        <v>0</v>
      </c>
      <c r="D443" s="2" t="s">
        <v>1584</v>
      </c>
      <c r="E443" s="14">
        <v>0</v>
      </c>
      <c r="F443" s="21">
        <v>25</v>
      </c>
      <c r="G443" s="2" t="s">
        <v>1702</v>
      </c>
      <c r="H443" s="23" t="s">
        <v>1703</v>
      </c>
      <c r="I443" s="101" t="s">
        <v>1704</v>
      </c>
      <c r="J443" s="2" t="s">
        <v>24</v>
      </c>
      <c r="K443" s="2" t="s">
        <v>206</v>
      </c>
      <c r="L443" s="2" t="s">
        <v>271</v>
      </c>
      <c r="M443" s="2" t="s">
        <v>24</v>
      </c>
      <c r="N443" s="2" t="s">
        <v>206</v>
      </c>
      <c r="O443" s="2" t="s">
        <v>271</v>
      </c>
      <c r="P443" s="7">
        <v>1</v>
      </c>
      <c r="Q443" s="106" t="s">
        <v>1705</v>
      </c>
      <c r="S443" s="2" t="s">
        <v>1689</v>
      </c>
    </row>
    <row r="444" spans="1:19" ht="15" customHeight="1">
      <c r="A444" s="21">
        <v>7</v>
      </c>
      <c r="B444" s="2" t="s">
        <v>1583</v>
      </c>
      <c r="C444" s="21">
        <v>0</v>
      </c>
      <c r="D444" s="2" t="s">
        <v>1584</v>
      </c>
      <c r="E444" s="14">
        <v>0</v>
      </c>
      <c r="F444" s="21">
        <v>26</v>
      </c>
      <c r="G444" s="2" t="s">
        <v>1441</v>
      </c>
      <c r="H444" s="23" t="s">
        <v>1706</v>
      </c>
      <c r="I444" s="101" t="s">
        <v>1707</v>
      </c>
      <c r="J444" s="2" t="s">
        <v>24</v>
      </c>
      <c r="K444" s="2" t="s">
        <v>206</v>
      </c>
      <c r="L444" s="2" t="s">
        <v>271</v>
      </c>
      <c r="M444" s="2" t="s">
        <v>24</v>
      </c>
      <c r="N444" s="2" t="s">
        <v>206</v>
      </c>
      <c r="O444" s="2" t="s">
        <v>271</v>
      </c>
      <c r="P444" s="7">
        <v>1</v>
      </c>
      <c r="Q444" s="106" t="s">
        <v>1708</v>
      </c>
      <c r="S444" s="2" t="s">
        <v>1689</v>
      </c>
    </row>
    <row r="445" spans="1:19" ht="15" customHeight="1">
      <c r="A445" s="21">
        <v>7</v>
      </c>
      <c r="B445" s="2" t="s">
        <v>1583</v>
      </c>
      <c r="C445" s="21">
        <v>0</v>
      </c>
      <c r="D445" s="2" t="s">
        <v>1584</v>
      </c>
      <c r="E445" s="14">
        <v>0</v>
      </c>
      <c r="F445" s="21">
        <v>27</v>
      </c>
      <c r="G445" s="2" t="s">
        <v>1709</v>
      </c>
      <c r="H445" s="23" t="s">
        <v>1710</v>
      </c>
      <c r="I445" s="101" t="s">
        <v>1711</v>
      </c>
      <c r="J445" s="2" t="s">
        <v>24</v>
      </c>
      <c r="K445" s="2" t="s">
        <v>206</v>
      </c>
      <c r="L445" s="2" t="s">
        <v>271</v>
      </c>
      <c r="M445" s="2" t="s">
        <v>24</v>
      </c>
      <c r="N445" s="2" t="s">
        <v>206</v>
      </c>
      <c r="O445" s="2" t="s">
        <v>271</v>
      </c>
      <c r="P445" s="7">
        <v>1</v>
      </c>
      <c r="Q445" s="106" t="s">
        <v>1712</v>
      </c>
      <c r="S445" s="2" t="s">
        <v>1689</v>
      </c>
    </row>
    <row r="446" spans="1:19" ht="15" customHeight="1">
      <c r="A446" s="21">
        <v>7</v>
      </c>
      <c r="B446" s="2" t="s">
        <v>1583</v>
      </c>
      <c r="C446" s="21">
        <v>0</v>
      </c>
      <c r="D446" s="2" t="s">
        <v>1584</v>
      </c>
      <c r="E446" s="14">
        <v>0</v>
      </c>
      <c r="F446" s="21">
        <v>28</v>
      </c>
      <c r="G446" s="2" t="s">
        <v>1713</v>
      </c>
      <c r="H446" s="23" t="s">
        <v>1714</v>
      </c>
      <c r="I446" s="101" t="s">
        <v>1715</v>
      </c>
      <c r="J446" s="2" t="s">
        <v>24</v>
      </c>
      <c r="K446" s="2" t="s">
        <v>206</v>
      </c>
      <c r="L446" s="2" t="s">
        <v>271</v>
      </c>
      <c r="M446" s="2" t="s">
        <v>24</v>
      </c>
      <c r="N446" s="2" t="s">
        <v>206</v>
      </c>
      <c r="O446" s="2" t="s">
        <v>271</v>
      </c>
      <c r="P446" s="7">
        <v>1</v>
      </c>
      <c r="Q446" s="106" t="s">
        <v>1716</v>
      </c>
      <c r="S446" s="2" t="s">
        <v>1689</v>
      </c>
    </row>
    <row r="447" spans="1:19" ht="15" customHeight="1">
      <c r="A447" s="21">
        <v>7</v>
      </c>
      <c r="B447" s="2" t="s">
        <v>1583</v>
      </c>
      <c r="C447" s="21">
        <v>0</v>
      </c>
      <c r="D447" s="2" t="s">
        <v>1584</v>
      </c>
      <c r="E447" s="14">
        <v>0</v>
      </c>
      <c r="F447" s="21">
        <v>29</v>
      </c>
      <c r="G447" s="2" t="s">
        <v>1717</v>
      </c>
      <c r="H447" s="23" t="s">
        <v>1718</v>
      </c>
      <c r="I447" s="101" t="s">
        <v>1719</v>
      </c>
      <c r="J447" s="2" t="s">
        <v>24</v>
      </c>
      <c r="K447" s="2" t="s">
        <v>206</v>
      </c>
      <c r="L447" s="2" t="s">
        <v>271</v>
      </c>
      <c r="M447" s="2" t="s">
        <v>24</v>
      </c>
      <c r="N447" s="2" t="s">
        <v>206</v>
      </c>
      <c r="O447" s="2" t="s">
        <v>271</v>
      </c>
      <c r="P447" s="7">
        <v>1</v>
      </c>
      <c r="Q447" s="106" t="s">
        <v>1720</v>
      </c>
      <c r="S447" s="2" t="s">
        <v>1689</v>
      </c>
    </row>
    <row r="448" spans="1:19" ht="15" customHeight="1">
      <c r="A448" s="21">
        <v>7</v>
      </c>
      <c r="B448" s="2" t="s">
        <v>1583</v>
      </c>
      <c r="C448" s="21">
        <v>0</v>
      </c>
      <c r="D448" s="2" t="s">
        <v>1584</v>
      </c>
      <c r="E448" s="14">
        <v>0</v>
      </c>
      <c r="F448" s="21">
        <v>30</v>
      </c>
      <c r="G448" s="2" t="s">
        <v>1721</v>
      </c>
      <c r="H448" s="23" t="s">
        <v>1722</v>
      </c>
      <c r="I448" s="101" t="s">
        <v>1723</v>
      </c>
      <c r="J448" s="2" t="s">
        <v>24</v>
      </c>
      <c r="K448" s="2" t="s">
        <v>23</v>
      </c>
      <c r="M448" s="2" t="s">
        <v>24</v>
      </c>
      <c r="N448" s="2" t="s">
        <v>23</v>
      </c>
      <c r="P448" s="7">
        <v>1</v>
      </c>
      <c r="Q448" s="106" t="s">
        <v>1724</v>
      </c>
      <c r="R448" s="2" t="s">
        <v>1725</v>
      </c>
      <c r="S448" s="2" t="s">
        <v>1689</v>
      </c>
    </row>
    <row r="449" spans="1:19" ht="15" customHeight="1">
      <c r="A449" s="21">
        <v>7</v>
      </c>
      <c r="B449" s="2" t="s">
        <v>1583</v>
      </c>
      <c r="C449" s="21">
        <v>0</v>
      </c>
      <c r="D449" s="2" t="s">
        <v>1584</v>
      </c>
      <c r="E449" s="14">
        <v>0</v>
      </c>
      <c r="F449" s="21">
        <v>31</v>
      </c>
      <c r="G449" s="2" t="s">
        <v>1726</v>
      </c>
      <c r="H449" s="23" t="s">
        <v>1727</v>
      </c>
      <c r="I449" s="101" t="s">
        <v>1728</v>
      </c>
      <c r="J449" s="2" t="s">
        <v>163</v>
      </c>
      <c r="K449" s="2" t="s">
        <v>23</v>
      </c>
      <c r="M449" s="2" t="s">
        <v>23</v>
      </c>
      <c r="N449" s="2" t="s">
        <v>23</v>
      </c>
      <c r="P449" s="7">
        <v>1</v>
      </c>
      <c r="Q449" s="106" t="s">
        <v>1729</v>
      </c>
      <c r="S449" s="2" t="s">
        <v>1730</v>
      </c>
    </row>
    <row r="450" spans="1:19" ht="15" customHeight="1">
      <c r="A450" s="21">
        <v>7</v>
      </c>
      <c r="B450" s="2" t="s">
        <v>1583</v>
      </c>
      <c r="C450" s="21">
        <v>0</v>
      </c>
      <c r="D450" s="2" t="s">
        <v>1584</v>
      </c>
      <c r="E450" s="14">
        <v>0</v>
      </c>
      <c r="F450" s="21">
        <v>32</v>
      </c>
      <c r="G450" s="2" t="s">
        <v>1731</v>
      </c>
      <c r="H450" s="23" t="s">
        <v>1732</v>
      </c>
      <c r="I450" s="101" t="s">
        <v>1733</v>
      </c>
      <c r="J450" s="2" t="s">
        <v>24</v>
      </c>
      <c r="K450" s="2" t="s">
        <v>139</v>
      </c>
      <c r="L450" s="9"/>
      <c r="M450" s="2" t="s">
        <v>24</v>
      </c>
      <c r="N450" s="2" t="s">
        <v>139</v>
      </c>
      <c r="O450" s="9"/>
      <c r="P450" s="7">
        <v>1</v>
      </c>
      <c r="Q450" s="106" t="s">
        <v>1734</v>
      </c>
    </row>
    <row r="451" spans="1:19" ht="15" customHeight="1">
      <c r="A451" s="21">
        <v>7</v>
      </c>
      <c r="B451" s="2" t="s">
        <v>1583</v>
      </c>
      <c r="C451" s="21">
        <v>0</v>
      </c>
      <c r="D451" s="2" t="s">
        <v>1584</v>
      </c>
      <c r="E451" s="14">
        <v>0</v>
      </c>
      <c r="F451" s="21">
        <v>33</v>
      </c>
      <c r="G451" s="2" t="s">
        <v>1735</v>
      </c>
      <c r="H451" s="23" t="s">
        <v>1736</v>
      </c>
      <c r="I451" s="101" t="s">
        <v>1737</v>
      </c>
      <c r="J451" s="2" t="s">
        <v>24</v>
      </c>
      <c r="K451" s="2" t="s">
        <v>116</v>
      </c>
      <c r="L451" s="9" t="s">
        <v>1737</v>
      </c>
      <c r="M451" s="2" t="s">
        <v>24</v>
      </c>
      <c r="N451" s="2" t="s">
        <v>116</v>
      </c>
      <c r="O451" s="9" t="s">
        <v>1737</v>
      </c>
      <c r="P451" s="7">
        <v>1</v>
      </c>
      <c r="Q451" s="106" t="s">
        <v>1738</v>
      </c>
    </row>
    <row r="452" spans="1:19" ht="15" customHeight="1">
      <c r="A452" s="21">
        <v>7</v>
      </c>
      <c r="B452" s="2" t="s">
        <v>1583</v>
      </c>
      <c r="C452" s="21">
        <v>0</v>
      </c>
      <c r="D452" s="2" t="s">
        <v>1584</v>
      </c>
      <c r="E452" s="14">
        <v>0</v>
      </c>
      <c r="F452" s="21">
        <v>34</v>
      </c>
      <c r="G452" s="2" t="s">
        <v>1739</v>
      </c>
      <c r="H452" s="23" t="s">
        <v>1740</v>
      </c>
      <c r="I452" s="101" t="s">
        <v>1741</v>
      </c>
      <c r="J452" s="2" t="s">
        <v>24</v>
      </c>
      <c r="K452" s="2" t="s">
        <v>116</v>
      </c>
      <c r="L452" s="16" t="s">
        <v>1741</v>
      </c>
      <c r="M452" s="2" t="s">
        <v>24</v>
      </c>
      <c r="N452" s="2" t="s">
        <v>116</v>
      </c>
      <c r="O452" s="16" t="s">
        <v>1741</v>
      </c>
      <c r="P452" s="7">
        <v>1</v>
      </c>
      <c r="Q452" s="106" t="s">
        <v>1742</v>
      </c>
    </row>
    <row r="453" spans="1:19" ht="15" customHeight="1">
      <c r="A453" s="21">
        <v>7</v>
      </c>
      <c r="B453" s="2" t="s">
        <v>1583</v>
      </c>
      <c r="C453" s="21">
        <v>0</v>
      </c>
      <c r="D453" s="2" t="s">
        <v>1584</v>
      </c>
      <c r="E453" s="14">
        <v>0</v>
      </c>
      <c r="F453" s="21">
        <v>35</v>
      </c>
      <c r="G453" s="2" t="s">
        <v>8966</v>
      </c>
      <c r="H453" s="23" t="s">
        <v>8969</v>
      </c>
      <c r="I453" s="101" t="s">
        <v>8970</v>
      </c>
      <c r="J453" s="2" t="s">
        <v>24</v>
      </c>
      <c r="K453" s="2" t="s">
        <v>25</v>
      </c>
      <c r="L453" s="2" t="s">
        <v>1692</v>
      </c>
      <c r="M453" s="2" t="s">
        <v>24</v>
      </c>
      <c r="N453" s="2" t="s">
        <v>25</v>
      </c>
      <c r="O453" s="2" t="s">
        <v>1692</v>
      </c>
      <c r="P453" s="7">
        <v>1</v>
      </c>
      <c r="Q453" s="106" t="s">
        <v>8967</v>
      </c>
    </row>
    <row r="454" spans="1:19" ht="15" customHeight="1">
      <c r="A454" s="21">
        <v>7</v>
      </c>
      <c r="B454" s="2" t="s">
        <v>1583</v>
      </c>
      <c r="C454" s="21">
        <v>0</v>
      </c>
      <c r="D454" s="2" t="s">
        <v>1584</v>
      </c>
      <c r="E454" s="14">
        <v>0</v>
      </c>
      <c r="F454" s="21">
        <v>36</v>
      </c>
      <c r="G454" s="2" t="s">
        <v>417</v>
      </c>
      <c r="H454" s="23" t="s">
        <v>8971</v>
      </c>
      <c r="I454" s="101" t="s">
        <v>8972</v>
      </c>
      <c r="J454" s="2" t="s">
        <v>24</v>
      </c>
      <c r="K454" s="2" t="s">
        <v>25</v>
      </c>
      <c r="L454" s="2" t="s">
        <v>1692</v>
      </c>
      <c r="M454" s="2" t="s">
        <v>24</v>
      </c>
      <c r="N454" s="2" t="s">
        <v>25</v>
      </c>
      <c r="O454" s="2" t="s">
        <v>1692</v>
      </c>
      <c r="P454" s="7">
        <v>1</v>
      </c>
      <c r="Q454" s="106" t="s">
        <v>8968</v>
      </c>
    </row>
    <row r="455" spans="1:19" ht="15" customHeight="1">
      <c r="A455" s="21">
        <v>7</v>
      </c>
      <c r="B455" s="2" t="s">
        <v>1583</v>
      </c>
      <c r="C455" s="21">
        <v>1</v>
      </c>
      <c r="D455" s="2" t="s">
        <v>1743</v>
      </c>
      <c r="E455" s="14">
        <v>0</v>
      </c>
      <c r="F455" s="21">
        <v>0</v>
      </c>
      <c r="G455" s="2" t="s">
        <v>20</v>
      </c>
      <c r="H455" s="23" t="s">
        <v>1744</v>
      </c>
      <c r="I455" s="34" t="s">
        <v>1745</v>
      </c>
      <c r="J455" s="2" t="s">
        <v>23</v>
      </c>
      <c r="K455" s="2" t="s">
        <v>23</v>
      </c>
      <c r="M455" s="2" t="s">
        <v>24</v>
      </c>
      <c r="N455" s="2" t="s">
        <v>25</v>
      </c>
      <c r="O455" s="5" t="s">
        <v>26</v>
      </c>
      <c r="P455" s="7">
        <v>1</v>
      </c>
      <c r="Q455" s="28" t="s">
        <v>1746</v>
      </c>
    </row>
    <row r="456" spans="1:19" ht="15" customHeight="1">
      <c r="A456" s="21">
        <v>7</v>
      </c>
      <c r="B456" s="2" t="s">
        <v>1583</v>
      </c>
      <c r="C456" s="21">
        <v>1</v>
      </c>
      <c r="D456" s="2" t="s">
        <v>1743</v>
      </c>
      <c r="E456" s="14">
        <v>0</v>
      </c>
      <c r="F456" s="21">
        <v>1</v>
      </c>
      <c r="G456" s="2" t="s">
        <v>1584</v>
      </c>
      <c r="H456" s="23" t="s">
        <v>1747</v>
      </c>
      <c r="I456" s="101" t="s">
        <v>1748</v>
      </c>
      <c r="J456" s="2" t="s">
        <v>24</v>
      </c>
      <c r="K456" s="2" t="s">
        <v>23</v>
      </c>
      <c r="M456" s="2" t="s">
        <v>24</v>
      </c>
      <c r="N456" s="2" t="s">
        <v>23</v>
      </c>
      <c r="O456" s="5"/>
      <c r="P456" s="7">
        <v>1</v>
      </c>
      <c r="Q456" s="106" t="s">
        <v>1749</v>
      </c>
      <c r="R456" s="2" t="s">
        <v>1750</v>
      </c>
    </row>
    <row r="457" spans="1:19" ht="15" customHeight="1">
      <c r="A457" s="21">
        <v>7</v>
      </c>
      <c r="B457" s="2" t="s">
        <v>1583</v>
      </c>
      <c r="C457" s="21">
        <v>1</v>
      </c>
      <c r="D457" s="2" t="s">
        <v>1743</v>
      </c>
      <c r="E457" s="14">
        <v>0</v>
      </c>
      <c r="F457" s="21">
        <v>2</v>
      </c>
      <c r="G457" s="2" t="s">
        <v>1751</v>
      </c>
      <c r="H457" s="23" t="s">
        <v>1752</v>
      </c>
      <c r="I457" s="101" t="s">
        <v>1753</v>
      </c>
      <c r="J457" s="2" t="s">
        <v>23</v>
      </c>
      <c r="K457" s="2" t="s">
        <v>23</v>
      </c>
      <c r="M457" s="2" t="s">
        <v>24</v>
      </c>
      <c r="N457" s="2" t="s">
        <v>116</v>
      </c>
      <c r="O457" s="9" t="s">
        <v>1754</v>
      </c>
      <c r="P457" s="7">
        <v>1</v>
      </c>
      <c r="Q457" s="106" t="s">
        <v>1755</v>
      </c>
      <c r="R457" s="2" t="s">
        <v>1756</v>
      </c>
    </row>
    <row r="458" spans="1:19" ht="15" customHeight="1">
      <c r="A458" s="21">
        <v>7</v>
      </c>
      <c r="B458" s="2" t="s">
        <v>1583</v>
      </c>
      <c r="C458" s="21">
        <v>2</v>
      </c>
      <c r="D458" s="2" t="s">
        <v>1757</v>
      </c>
      <c r="E458" s="14">
        <v>0</v>
      </c>
      <c r="F458" s="21">
        <v>0</v>
      </c>
      <c r="G458" s="2" t="s">
        <v>20</v>
      </c>
      <c r="H458" s="23" t="s">
        <v>1758</v>
      </c>
      <c r="I458" s="34" t="s">
        <v>1759</v>
      </c>
      <c r="J458" s="2" t="s">
        <v>23</v>
      </c>
      <c r="K458" s="2" t="s">
        <v>23</v>
      </c>
      <c r="M458" s="2" t="s">
        <v>24</v>
      </c>
      <c r="N458" s="2" t="s">
        <v>25</v>
      </c>
      <c r="O458" s="5" t="s">
        <v>26</v>
      </c>
      <c r="P458" s="7">
        <v>1</v>
      </c>
      <c r="Q458" s="28" t="s">
        <v>1760</v>
      </c>
    </row>
    <row r="459" spans="1:19" ht="15" customHeight="1">
      <c r="A459" s="21">
        <v>7</v>
      </c>
      <c r="B459" s="2" t="s">
        <v>1583</v>
      </c>
      <c r="C459" s="21">
        <v>2</v>
      </c>
      <c r="D459" s="2" t="s">
        <v>1757</v>
      </c>
      <c r="E459" s="14">
        <v>0</v>
      </c>
      <c r="F459" s="21">
        <v>1</v>
      </c>
      <c r="G459" s="2" t="s">
        <v>1584</v>
      </c>
      <c r="H459" s="23" t="s">
        <v>1761</v>
      </c>
      <c r="I459" s="101" t="s">
        <v>1762</v>
      </c>
      <c r="J459" s="2" t="s">
        <v>24</v>
      </c>
      <c r="K459" s="2" t="s">
        <v>23</v>
      </c>
      <c r="M459" s="2" t="s">
        <v>24</v>
      </c>
      <c r="N459" s="2" t="s">
        <v>23</v>
      </c>
      <c r="O459" s="5"/>
      <c r="P459" s="7">
        <v>1</v>
      </c>
      <c r="Q459" s="106" t="s">
        <v>1749</v>
      </c>
      <c r="R459" s="2" t="s">
        <v>1750</v>
      </c>
    </row>
    <row r="460" spans="1:19" ht="15" customHeight="1">
      <c r="A460" s="21">
        <v>7</v>
      </c>
      <c r="B460" s="2" t="s">
        <v>1583</v>
      </c>
      <c r="C460" s="21">
        <v>2</v>
      </c>
      <c r="D460" s="2" t="s">
        <v>1757</v>
      </c>
      <c r="E460" s="14">
        <v>0</v>
      </c>
      <c r="F460" s="21">
        <v>2</v>
      </c>
      <c r="G460" s="2" t="s">
        <v>1751</v>
      </c>
      <c r="H460" s="23" t="s">
        <v>1763</v>
      </c>
      <c r="I460" s="101" t="s">
        <v>1764</v>
      </c>
      <c r="J460" s="2" t="s">
        <v>23</v>
      </c>
      <c r="K460" s="2" t="s">
        <v>23</v>
      </c>
      <c r="M460" s="2" t="s">
        <v>24</v>
      </c>
      <c r="N460" s="2" t="s">
        <v>116</v>
      </c>
      <c r="O460" s="9" t="s">
        <v>1754</v>
      </c>
      <c r="P460" s="7">
        <v>1</v>
      </c>
      <c r="Q460" s="106" t="s">
        <v>1755</v>
      </c>
      <c r="R460" s="2" t="s">
        <v>1756</v>
      </c>
    </row>
    <row r="461" spans="1:19" ht="15" customHeight="1">
      <c r="A461" s="21">
        <v>7</v>
      </c>
      <c r="B461" s="2" t="s">
        <v>1583</v>
      </c>
      <c r="C461" s="21">
        <v>3</v>
      </c>
      <c r="D461" s="2" t="s">
        <v>1765</v>
      </c>
      <c r="E461" s="14">
        <v>0</v>
      </c>
      <c r="F461" s="21">
        <v>0</v>
      </c>
      <c r="G461" s="2" t="s">
        <v>20</v>
      </c>
      <c r="H461" s="23" t="s">
        <v>1766</v>
      </c>
      <c r="I461" s="34" t="s">
        <v>1767</v>
      </c>
      <c r="J461" s="2" t="s">
        <v>23</v>
      </c>
      <c r="K461" s="2" t="s">
        <v>23</v>
      </c>
      <c r="M461" s="2" t="s">
        <v>24</v>
      </c>
      <c r="N461" s="2" t="s">
        <v>25</v>
      </c>
      <c r="O461" s="5" t="s">
        <v>26</v>
      </c>
      <c r="P461" s="7">
        <v>1</v>
      </c>
      <c r="Q461" s="28" t="s">
        <v>1768</v>
      </c>
    </row>
    <row r="462" spans="1:19" ht="15" customHeight="1">
      <c r="A462" s="21">
        <v>7</v>
      </c>
      <c r="B462" s="2" t="s">
        <v>1583</v>
      </c>
      <c r="C462" s="21">
        <v>3</v>
      </c>
      <c r="D462" s="2" t="s">
        <v>1765</v>
      </c>
      <c r="E462" s="14">
        <v>0</v>
      </c>
      <c r="F462" s="21">
        <v>1</v>
      </c>
      <c r="G462" s="2" t="s">
        <v>1584</v>
      </c>
      <c r="H462" s="23" t="s">
        <v>1769</v>
      </c>
      <c r="I462" s="101" t="s">
        <v>1770</v>
      </c>
      <c r="J462" s="2" t="s">
        <v>24</v>
      </c>
      <c r="K462" s="2" t="s">
        <v>23</v>
      </c>
      <c r="M462" s="2" t="s">
        <v>24</v>
      </c>
      <c r="N462" s="2" t="s">
        <v>23</v>
      </c>
      <c r="O462" s="5"/>
      <c r="P462" s="7">
        <v>1</v>
      </c>
      <c r="Q462" s="106" t="s">
        <v>1749</v>
      </c>
      <c r="R462" s="2" t="s">
        <v>1750</v>
      </c>
    </row>
    <row r="463" spans="1:19" ht="15" customHeight="1">
      <c r="A463" s="21">
        <v>7</v>
      </c>
      <c r="B463" s="2" t="s">
        <v>1583</v>
      </c>
      <c r="C463" s="21">
        <v>3</v>
      </c>
      <c r="D463" s="2" t="s">
        <v>1765</v>
      </c>
      <c r="E463" s="14">
        <v>0</v>
      </c>
      <c r="F463" s="21">
        <v>2</v>
      </c>
      <c r="G463" s="2" t="s">
        <v>1751</v>
      </c>
      <c r="H463" s="23" t="s">
        <v>1771</v>
      </c>
      <c r="I463" s="101" t="s">
        <v>1772</v>
      </c>
      <c r="J463" s="2" t="s">
        <v>23</v>
      </c>
      <c r="K463" s="2" t="s">
        <v>23</v>
      </c>
      <c r="M463" s="2" t="s">
        <v>24</v>
      </c>
      <c r="N463" s="2" t="s">
        <v>116</v>
      </c>
      <c r="O463" s="9" t="s">
        <v>1754</v>
      </c>
      <c r="P463" s="7">
        <v>1</v>
      </c>
      <c r="Q463" s="106" t="s">
        <v>1755</v>
      </c>
      <c r="R463" s="2" t="s">
        <v>1756</v>
      </c>
    </row>
    <row r="464" spans="1:19" ht="15" customHeight="1">
      <c r="A464" s="21">
        <v>7</v>
      </c>
      <c r="B464" s="2" t="s">
        <v>1583</v>
      </c>
      <c r="C464" s="21">
        <v>4</v>
      </c>
      <c r="D464" s="2" t="s">
        <v>1773</v>
      </c>
      <c r="E464" s="14">
        <v>0</v>
      </c>
      <c r="F464" s="21">
        <v>0</v>
      </c>
      <c r="G464" s="2" t="s">
        <v>20</v>
      </c>
      <c r="H464" s="23" t="s">
        <v>1774</v>
      </c>
      <c r="I464" s="34" t="s">
        <v>1775</v>
      </c>
      <c r="J464" s="2" t="s">
        <v>23</v>
      </c>
      <c r="K464" s="2" t="s">
        <v>23</v>
      </c>
      <c r="M464" s="2" t="s">
        <v>24</v>
      </c>
      <c r="N464" s="2" t="s">
        <v>25</v>
      </c>
      <c r="O464" s="5" t="s">
        <v>26</v>
      </c>
      <c r="P464" s="7">
        <v>1</v>
      </c>
      <c r="Q464" s="28" t="s">
        <v>1776</v>
      </c>
    </row>
    <row r="465" spans="1:18" ht="15" customHeight="1">
      <c r="A465" s="21">
        <v>7</v>
      </c>
      <c r="B465" s="2" t="s">
        <v>1583</v>
      </c>
      <c r="C465" s="21">
        <v>4</v>
      </c>
      <c r="D465" s="2" t="s">
        <v>1773</v>
      </c>
      <c r="E465" s="14">
        <v>0</v>
      </c>
      <c r="F465" s="21">
        <v>1</v>
      </c>
      <c r="G465" s="2" t="s">
        <v>1042</v>
      </c>
      <c r="H465" s="23" t="s">
        <v>1777</v>
      </c>
      <c r="I465" s="101" t="s">
        <v>1778</v>
      </c>
      <c r="J465" s="2" t="s">
        <v>32</v>
      </c>
      <c r="K465" s="2" t="s">
        <v>23</v>
      </c>
      <c r="M465" s="2" t="s">
        <v>24</v>
      </c>
      <c r="N465" s="2" t="s">
        <v>23</v>
      </c>
      <c r="O465" s="5" t="s">
        <v>1779</v>
      </c>
      <c r="P465" s="7">
        <v>1</v>
      </c>
      <c r="Q465" s="99" t="s">
        <v>1046</v>
      </c>
    </row>
    <row r="466" spans="1:18" ht="15" customHeight="1">
      <c r="A466" s="21">
        <v>7</v>
      </c>
      <c r="B466" s="2" t="s">
        <v>1583</v>
      </c>
      <c r="C466" s="21">
        <v>5</v>
      </c>
      <c r="D466" s="2" t="s">
        <v>1780</v>
      </c>
      <c r="E466" s="14">
        <v>0</v>
      </c>
      <c r="F466" s="21">
        <v>0</v>
      </c>
      <c r="G466" s="2" t="s">
        <v>20</v>
      </c>
      <c r="H466" s="23" t="s">
        <v>1781</v>
      </c>
      <c r="I466" s="34" t="s">
        <v>1782</v>
      </c>
      <c r="J466" s="2" t="s">
        <v>23</v>
      </c>
      <c r="K466" s="2" t="s">
        <v>23</v>
      </c>
      <c r="M466" s="2" t="s">
        <v>24</v>
      </c>
      <c r="N466" s="2" t="s">
        <v>25</v>
      </c>
      <c r="O466" s="5" t="s">
        <v>26</v>
      </c>
      <c r="P466" s="7">
        <v>1</v>
      </c>
      <c r="Q466" s="28" t="s">
        <v>1783</v>
      </c>
    </row>
    <row r="467" spans="1:18" ht="15" customHeight="1">
      <c r="A467" s="21">
        <v>7</v>
      </c>
      <c r="B467" s="2" t="s">
        <v>1583</v>
      </c>
      <c r="C467" s="21">
        <v>5</v>
      </c>
      <c r="D467" s="2" t="s">
        <v>1780</v>
      </c>
      <c r="E467" s="14">
        <v>0</v>
      </c>
      <c r="F467" s="21">
        <v>1</v>
      </c>
      <c r="G467" s="2" t="s">
        <v>1042</v>
      </c>
      <c r="H467" s="23" t="s">
        <v>1784</v>
      </c>
      <c r="I467" s="101" t="s">
        <v>1785</v>
      </c>
      <c r="J467" s="2" t="s">
        <v>32</v>
      </c>
      <c r="K467" s="2" t="s">
        <v>23</v>
      </c>
      <c r="M467" s="2" t="s">
        <v>24</v>
      </c>
      <c r="N467" s="2" t="s">
        <v>23</v>
      </c>
      <c r="O467" s="5" t="s">
        <v>1786</v>
      </c>
      <c r="P467" s="7">
        <v>1</v>
      </c>
      <c r="Q467" s="99" t="s">
        <v>1046</v>
      </c>
    </row>
    <row r="468" spans="1:18" ht="15" customHeight="1">
      <c r="A468" s="21">
        <v>7</v>
      </c>
      <c r="B468" s="2" t="s">
        <v>1583</v>
      </c>
      <c r="C468" s="21">
        <v>6</v>
      </c>
      <c r="D468" s="2" t="s">
        <v>1787</v>
      </c>
      <c r="E468" s="14">
        <v>0</v>
      </c>
      <c r="F468" s="21">
        <v>0</v>
      </c>
      <c r="G468" s="2" t="s">
        <v>20</v>
      </c>
      <c r="H468" s="23" t="s">
        <v>1788</v>
      </c>
      <c r="I468" s="34" t="s">
        <v>1789</v>
      </c>
      <c r="J468" s="2" t="s">
        <v>23</v>
      </c>
      <c r="K468" s="2" t="s">
        <v>23</v>
      </c>
      <c r="M468" s="2" t="s">
        <v>24</v>
      </c>
      <c r="N468" s="2" t="s">
        <v>25</v>
      </c>
      <c r="O468" s="5" t="s">
        <v>26</v>
      </c>
      <c r="P468" s="7">
        <v>1</v>
      </c>
      <c r="Q468" s="28" t="s">
        <v>1790</v>
      </c>
    </row>
    <row r="469" spans="1:18" ht="15" customHeight="1">
      <c r="A469" s="21">
        <v>7</v>
      </c>
      <c r="B469" s="2" t="s">
        <v>1583</v>
      </c>
      <c r="C469" s="21">
        <v>6</v>
      </c>
      <c r="D469" s="2" t="s">
        <v>1787</v>
      </c>
      <c r="E469" s="14">
        <v>0</v>
      </c>
      <c r="F469" s="21">
        <v>1</v>
      </c>
      <c r="G469" s="2" t="s">
        <v>1791</v>
      </c>
      <c r="H469" s="23" t="s">
        <v>1792</v>
      </c>
      <c r="I469" s="101" t="s">
        <v>1793</v>
      </c>
      <c r="J469" s="2" t="s">
        <v>24</v>
      </c>
      <c r="K469" s="2" t="s">
        <v>25</v>
      </c>
      <c r="L469" s="2" t="s">
        <v>1687</v>
      </c>
      <c r="M469" s="2" t="s">
        <v>24</v>
      </c>
      <c r="N469" s="2" t="s">
        <v>25</v>
      </c>
      <c r="O469" s="2" t="s">
        <v>1687</v>
      </c>
      <c r="P469" s="7">
        <v>1</v>
      </c>
      <c r="Q469" s="106" t="s">
        <v>1794</v>
      </c>
    </row>
    <row r="470" spans="1:18" ht="15" customHeight="1">
      <c r="A470" s="21">
        <v>7</v>
      </c>
      <c r="B470" s="2" t="s">
        <v>1583</v>
      </c>
      <c r="C470" s="21">
        <v>6</v>
      </c>
      <c r="D470" s="2" t="s">
        <v>1787</v>
      </c>
      <c r="E470" s="14">
        <v>0</v>
      </c>
      <c r="F470" s="21">
        <v>2</v>
      </c>
      <c r="G470" s="2" t="s">
        <v>1795</v>
      </c>
      <c r="H470" s="23" t="s">
        <v>1796</v>
      </c>
      <c r="I470" s="101" t="s">
        <v>1797</v>
      </c>
      <c r="J470" s="2" t="s">
        <v>24</v>
      </c>
      <c r="K470" s="2" t="s">
        <v>25</v>
      </c>
      <c r="L470" s="2" t="s">
        <v>1687</v>
      </c>
      <c r="M470" s="2" t="s">
        <v>24</v>
      </c>
      <c r="N470" s="2" t="s">
        <v>25</v>
      </c>
      <c r="O470" s="2" t="s">
        <v>1687</v>
      </c>
      <c r="P470" s="7">
        <v>1</v>
      </c>
      <c r="Q470" s="106" t="s">
        <v>1798</v>
      </c>
    </row>
    <row r="471" spans="1:18" ht="15" customHeight="1">
      <c r="A471" s="21">
        <v>7</v>
      </c>
      <c r="B471" s="2" t="s">
        <v>1583</v>
      </c>
      <c r="C471" s="21">
        <v>6</v>
      </c>
      <c r="D471" s="2" t="s">
        <v>1787</v>
      </c>
      <c r="E471" s="14">
        <v>0</v>
      </c>
      <c r="F471" s="21">
        <v>3</v>
      </c>
      <c r="G471" s="2" t="s">
        <v>1799</v>
      </c>
      <c r="H471" s="23" t="s">
        <v>1800</v>
      </c>
      <c r="I471" s="101" t="s">
        <v>1801</v>
      </c>
      <c r="J471" s="2" t="s">
        <v>24</v>
      </c>
      <c r="K471" s="2" t="s">
        <v>25</v>
      </c>
      <c r="L471" s="2" t="s">
        <v>1687</v>
      </c>
      <c r="M471" s="2" t="s">
        <v>24</v>
      </c>
      <c r="N471" s="2" t="s">
        <v>25</v>
      </c>
      <c r="O471" s="2" t="s">
        <v>1687</v>
      </c>
      <c r="P471" s="7">
        <v>1</v>
      </c>
      <c r="Q471" s="106" t="s">
        <v>1802</v>
      </c>
    </row>
    <row r="472" spans="1:18" ht="15" customHeight="1">
      <c r="A472" s="21">
        <v>7</v>
      </c>
      <c r="B472" s="2" t="s">
        <v>1583</v>
      </c>
      <c r="C472" s="21">
        <v>6</v>
      </c>
      <c r="D472" s="2" t="s">
        <v>1787</v>
      </c>
      <c r="E472" s="14">
        <v>0</v>
      </c>
      <c r="F472" s="21">
        <v>4</v>
      </c>
      <c r="G472" s="2" t="s">
        <v>1803</v>
      </c>
      <c r="H472" s="23" t="s">
        <v>1804</v>
      </c>
      <c r="I472" s="101" t="s">
        <v>1805</v>
      </c>
      <c r="J472" s="2" t="s">
        <v>24</v>
      </c>
      <c r="K472" s="2" t="s">
        <v>25</v>
      </c>
      <c r="L472" s="2" t="s">
        <v>1687</v>
      </c>
      <c r="M472" s="2" t="s">
        <v>24</v>
      </c>
      <c r="N472" s="2" t="s">
        <v>25</v>
      </c>
      <c r="O472" s="2" t="s">
        <v>1687</v>
      </c>
      <c r="P472" s="7">
        <v>1</v>
      </c>
      <c r="Q472" s="106" t="s">
        <v>1806</v>
      </c>
    </row>
    <row r="473" spans="1:18" ht="15" customHeight="1">
      <c r="A473" s="21">
        <v>7</v>
      </c>
      <c r="B473" s="2" t="s">
        <v>1583</v>
      </c>
      <c r="C473" s="21">
        <v>6</v>
      </c>
      <c r="D473" s="2" t="s">
        <v>1787</v>
      </c>
      <c r="E473" s="14">
        <v>0</v>
      </c>
      <c r="F473" s="21">
        <v>5</v>
      </c>
      <c r="G473" s="2" t="s">
        <v>1441</v>
      </c>
      <c r="H473" s="23" t="s">
        <v>1807</v>
      </c>
      <c r="I473" s="101" t="s">
        <v>1808</v>
      </c>
      <c r="J473" s="2" t="s">
        <v>24</v>
      </c>
      <c r="K473" s="2" t="s">
        <v>25</v>
      </c>
      <c r="L473" s="2" t="s">
        <v>1687</v>
      </c>
      <c r="M473" s="2" t="s">
        <v>24</v>
      </c>
      <c r="N473" s="2" t="s">
        <v>25</v>
      </c>
      <c r="O473" s="2" t="s">
        <v>1687</v>
      </c>
      <c r="P473" s="7">
        <v>1</v>
      </c>
      <c r="Q473" s="106" t="s">
        <v>1809</v>
      </c>
    </row>
    <row r="474" spans="1:18" ht="15" customHeight="1">
      <c r="A474" s="21">
        <v>7</v>
      </c>
      <c r="B474" s="2" t="s">
        <v>1583</v>
      </c>
      <c r="C474" s="21">
        <v>6</v>
      </c>
      <c r="D474" s="2" t="s">
        <v>1787</v>
      </c>
      <c r="E474" s="14">
        <v>0</v>
      </c>
      <c r="F474" s="21">
        <v>6</v>
      </c>
      <c r="G474" s="2" t="s">
        <v>1810</v>
      </c>
      <c r="H474" s="23" t="s">
        <v>1811</v>
      </c>
      <c r="I474" s="101" t="s">
        <v>1812</v>
      </c>
      <c r="J474" s="2" t="s">
        <v>24</v>
      </c>
      <c r="K474" s="2" t="s">
        <v>25</v>
      </c>
      <c r="L474" s="2" t="s">
        <v>1687</v>
      </c>
      <c r="M474" s="2" t="s">
        <v>24</v>
      </c>
      <c r="N474" s="2" t="s">
        <v>25</v>
      </c>
      <c r="O474" s="2" t="s">
        <v>1687</v>
      </c>
      <c r="P474" s="7">
        <v>1</v>
      </c>
      <c r="Q474" s="106" t="s">
        <v>1813</v>
      </c>
    </row>
    <row r="475" spans="1:18" ht="15" customHeight="1">
      <c r="A475" s="21">
        <v>7</v>
      </c>
      <c r="B475" s="2" t="s">
        <v>1583</v>
      </c>
      <c r="C475" s="21">
        <v>6</v>
      </c>
      <c r="D475" s="2" t="s">
        <v>1787</v>
      </c>
      <c r="E475" s="14">
        <v>0</v>
      </c>
      <c r="F475" s="21">
        <v>7</v>
      </c>
      <c r="G475" s="2" t="s">
        <v>1814</v>
      </c>
      <c r="H475" s="23" t="s">
        <v>1815</v>
      </c>
      <c r="I475" s="101" t="s">
        <v>1816</v>
      </c>
      <c r="J475" s="2" t="s">
        <v>24</v>
      </c>
      <c r="K475" s="2" t="s">
        <v>25</v>
      </c>
      <c r="L475" s="2" t="s">
        <v>1687</v>
      </c>
      <c r="M475" s="2" t="s">
        <v>24</v>
      </c>
      <c r="N475" s="2" t="s">
        <v>25</v>
      </c>
      <c r="O475" s="2" t="s">
        <v>1687</v>
      </c>
      <c r="P475" s="7">
        <v>1</v>
      </c>
      <c r="Q475" s="106" t="s">
        <v>1817</v>
      </c>
    </row>
    <row r="476" spans="1:18" ht="15" customHeight="1">
      <c r="A476" s="21">
        <v>7</v>
      </c>
      <c r="B476" s="2" t="s">
        <v>1583</v>
      </c>
      <c r="C476" s="21">
        <v>6</v>
      </c>
      <c r="D476" s="2" t="s">
        <v>1787</v>
      </c>
      <c r="E476" s="14">
        <v>0</v>
      </c>
      <c r="F476" s="21">
        <v>8</v>
      </c>
      <c r="G476" s="2" t="s">
        <v>1818</v>
      </c>
      <c r="H476" s="23" t="s">
        <v>1819</v>
      </c>
      <c r="I476" s="101" t="s">
        <v>1820</v>
      </c>
      <c r="J476" s="2" t="s">
        <v>24</v>
      </c>
      <c r="K476" s="2" t="s">
        <v>23</v>
      </c>
      <c r="M476" s="2" t="s">
        <v>24</v>
      </c>
      <c r="N476" s="2" t="s">
        <v>23</v>
      </c>
      <c r="P476" s="7">
        <v>1</v>
      </c>
      <c r="Q476" s="106" t="s">
        <v>1821</v>
      </c>
    </row>
    <row r="477" spans="1:18" ht="15" customHeight="1">
      <c r="A477" s="21">
        <v>7</v>
      </c>
      <c r="B477" s="2" t="s">
        <v>1583</v>
      </c>
      <c r="C477" s="21">
        <v>6</v>
      </c>
      <c r="D477" s="2" t="s">
        <v>1787</v>
      </c>
      <c r="E477" s="14">
        <v>0</v>
      </c>
      <c r="F477" s="21">
        <v>9</v>
      </c>
      <c r="G477" s="2" t="s">
        <v>1822</v>
      </c>
      <c r="H477" s="23" t="s">
        <v>1823</v>
      </c>
      <c r="I477" s="101" t="s">
        <v>1824</v>
      </c>
      <c r="J477" s="2" t="s">
        <v>24</v>
      </c>
      <c r="K477" s="2" t="s">
        <v>23</v>
      </c>
      <c r="M477" s="2" t="s">
        <v>24</v>
      </c>
      <c r="N477" s="2" t="s">
        <v>23</v>
      </c>
      <c r="P477" s="7">
        <v>1</v>
      </c>
      <c r="Q477" s="106" t="s">
        <v>1825</v>
      </c>
    </row>
    <row r="478" spans="1:18" ht="15" customHeight="1">
      <c r="A478" s="21">
        <v>7</v>
      </c>
      <c r="B478" s="2" t="s">
        <v>1583</v>
      </c>
      <c r="C478" s="21">
        <v>6</v>
      </c>
      <c r="D478" s="2" t="s">
        <v>1787</v>
      </c>
      <c r="E478" s="14">
        <v>0</v>
      </c>
      <c r="F478" s="21">
        <v>10</v>
      </c>
      <c r="G478" s="2" t="s">
        <v>1826</v>
      </c>
      <c r="H478" s="23" t="s">
        <v>1827</v>
      </c>
      <c r="I478" s="101" t="s">
        <v>1828</v>
      </c>
      <c r="J478" s="2" t="s">
        <v>24</v>
      </c>
      <c r="K478" s="2" t="s">
        <v>23</v>
      </c>
      <c r="M478" s="2" t="s">
        <v>24</v>
      </c>
      <c r="N478" s="2" t="s">
        <v>23</v>
      </c>
      <c r="P478" s="7">
        <v>1</v>
      </c>
      <c r="Q478" s="106" t="s">
        <v>1829</v>
      </c>
    </row>
    <row r="479" spans="1:18" ht="15" customHeight="1">
      <c r="A479" s="21">
        <v>7</v>
      </c>
      <c r="B479" s="2" t="s">
        <v>1583</v>
      </c>
      <c r="C479" s="21">
        <v>6</v>
      </c>
      <c r="D479" s="2" t="s">
        <v>1787</v>
      </c>
      <c r="E479" s="14">
        <v>0</v>
      </c>
      <c r="F479" s="21">
        <v>11</v>
      </c>
      <c r="G479" s="2" t="s">
        <v>1830</v>
      </c>
      <c r="H479" s="23" t="s">
        <v>1831</v>
      </c>
      <c r="I479" s="101" t="s">
        <v>1832</v>
      </c>
      <c r="J479" s="2" t="s">
        <v>24</v>
      </c>
      <c r="K479" s="2" t="s">
        <v>23</v>
      </c>
      <c r="M479" s="2" t="s">
        <v>24</v>
      </c>
      <c r="N479" s="2" t="s">
        <v>23</v>
      </c>
      <c r="P479" s="7">
        <v>1</v>
      </c>
      <c r="Q479" s="106" t="s">
        <v>1833</v>
      </c>
    </row>
    <row r="480" spans="1:18" ht="15" customHeight="1">
      <c r="A480" s="21">
        <v>7</v>
      </c>
      <c r="B480" s="2" t="s">
        <v>1583</v>
      </c>
      <c r="C480" s="21">
        <v>6</v>
      </c>
      <c r="D480" s="2" t="s">
        <v>1787</v>
      </c>
      <c r="E480" s="14">
        <v>0</v>
      </c>
      <c r="F480" s="21">
        <v>12</v>
      </c>
      <c r="G480" s="2" t="s">
        <v>1591</v>
      </c>
      <c r="H480" s="23" t="s">
        <v>1834</v>
      </c>
      <c r="I480" s="101" t="s">
        <v>1835</v>
      </c>
      <c r="J480" s="2" t="s">
        <v>24</v>
      </c>
      <c r="K480" s="2" t="s">
        <v>116</v>
      </c>
      <c r="L480" s="9" t="s">
        <v>1594</v>
      </c>
      <c r="M480" s="2" t="s">
        <v>24</v>
      </c>
      <c r="N480" s="2" t="s">
        <v>116</v>
      </c>
      <c r="O480" s="9" t="s">
        <v>1594</v>
      </c>
      <c r="P480" s="7">
        <v>1</v>
      </c>
      <c r="Q480" s="106" t="s">
        <v>1595</v>
      </c>
      <c r="R480" s="2" t="s">
        <v>1836</v>
      </c>
    </row>
    <row r="481" spans="1:18" ht="15" customHeight="1">
      <c r="A481" s="21">
        <v>7</v>
      </c>
      <c r="B481" s="2" t="s">
        <v>1583</v>
      </c>
      <c r="C481" s="21">
        <v>6</v>
      </c>
      <c r="D481" s="2" t="s">
        <v>1787</v>
      </c>
      <c r="E481" s="14">
        <v>0</v>
      </c>
      <c r="F481" s="21">
        <v>13</v>
      </c>
      <c r="G481" s="2" t="s">
        <v>1612</v>
      </c>
      <c r="H481" s="23" t="s">
        <v>1837</v>
      </c>
      <c r="I481" s="101" t="s">
        <v>1838</v>
      </c>
      <c r="J481" s="2" t="s">
        <v>24</v>
      </c>
      <c r="K481" s="2" t="s">
        <v>139</v>
      </c>
      <c r="L481" s="2" t="s">
        <v>1615</v>
      </c>
      <c r="M481" s="2" t="s">
        <v>24</v>
      </c>
      <c r="N481" s="2" t="s">
        <v>139</v>
      </c>
      <c r="O481" s="2" t="s">
        <v>1615</v>
      </c>
      <c r="P481" s="7">
        <v>1</v>
      </c>
      <c r="Q481" s="106" t="s">
        <v>1616</v>
      </c>
    </row>
    <row r="482" spans="1:18" ht="15" customHeight="1">
      <c r="A482" s="21">
        <v>7</v>
      </c>
      <c r="B482" s="2" t="s">
        <v>1583</v>
      </c>
      <c r="C482" s="21">
        <v>6</v>
      </c>
      <c r="D482" s="2" t="s">
        <v>1787</v>
      </c>
      <c r="E482" s="14">
        <v>0</v>
      </c>
      <c r="F482" s="21">
        <v>14</v>
      </c>
      <c r="G482" s="2" t="s">
        <v>1618</v>
      </c>
      <c r="H482" s="23" t="s">
        <v>1839</v>
      </c>
      <c r="I482" s="101" t="s">
        <v>1840</v>
      </c>
      <c r="J482" s="25" t="s">
        <v>24</v>
      </c>
      <c r="K482" s="25" t="s">
        <v>139</v>
      </c>
      <c r="L482" s="2" t="s">
        <v>1621</v>
      </c>
      <c r="M482" s="25" t="s">
        <v>24</v>
      </c>
      <c r="N482" s="25" t="s">
        <v>139</v>
      </c>
      <c r="O482" s="2" t="s">
        <v>1621</v>
      </c>
      <c r="P482" s="26">
        <v>1</v>
      </c>
      <c r="Q482" s="106" t="s">
        <v>1622</v>
      </c>
    </row>
    <row r="483" spans="1:18" ht="15" customHeight="1">
      <c r="A483" s="21">
        <v>7</v>
      </c>
      <c r="B483" s="2" t="s">
        <v>1583</v>
      </c>
      <c r="C483" s="21">
        <v>6</v>
      </c>
      <c r="D483" s="2" t="s">
        <v>1787</v>
      </c>
      <c r="E483" s="14">
        <v>0</v>
      </c>
      <c r="F483" s="21">
        <v>15</v>
      </c>
      <c r="G483" s="2" t="s">
        <v>1841</v>
      </c>
      <c r="H483" s="23" t="s">
        <v>1842</v>
      </c>
      <c r="I483" s="101" t="s">
        <v>1843</v>
      </c>
      <c r="J483" s="2" t="s">
        <v>24</v>
      </c>
      <c r="K483" s="2" t="s">
        <v>206</v>
      </c>
      <c r="M483" s="2" t="s">
        <v>24</v>
      </c>
      <c r="N483" s="2" t="s">
        <v>206</v>
      </c>
      <c r="P483" s="7">
        <v>1</v>
      </c>
      <c r="Q483" s="106" t="s">
        <v>1708</v>
      </c>
    </row>
    <row r="484" spans="1:18" ht="15" customHeight="1">
      <c r="A484" s="21">
        <v>7</v>
      </c>
      <c r="B484" s="2" t="s">
        <v>1583</v>
      </c>
      <c r="C484" s="21">
        <v>6</v>
      </c>
      <c r="D484" s="2" t="s">
        <v>1787</v>
      </c>
      <c r="E484" s="14">
        <v>0</v>
      </c>
      <c r="F484" s="21">
        <v>16</v>
      </c>
      <c r="G484" s="2" t="s">
        <v>1844</v>
      </c>
      <c r="H484" s="23" t="s">
        <v>1845</v>
      </c>
      <c r="I484" s="101" t="s">
        <v>1846</v>
      </c>
      <c r="J484" s="2" t="s">
        <v>163</v>
      </c>
      <c r="K484" s="2" t="s">
        <v>23</v>
      </c>
      <c r="M484" s="2" t="s">
        <v>23</v>
      </c>
      <c r="N484" s="2" t="s">
        <v>23</v>
      </c>
      <c r="P484" s="7">
        <v>1</v>
      </c>
      <c r="Q484" s="106" t="s">
        <v>1847</v>
      </c>
    </row>
    <row r="485" spans="1:18" ht="15" customHeight="1">
      <c r="A485" s="21">
        <v>7</v>
      </c>
      <c r="B485" s="2" t="s">
        <v>1583</v>
      </c>
      <c r="C485" s="21">
        <v>6</v>
      </c>
      <c r="D485" s="2" t="s">
        <v>1787</v>
      </c>
      <c r="E485" s="14">
        <v>0</v>
      </c>
      <c r="F485" s="21">
        <v>17</v>
      </c>
      <c r="G485" s="2" t="s">
        <v>1848</v>
      </c>
      <c r="H485" s="23" t="s">
        <v>1849</v>
      </c>
      <c r="I485" s="101" t="s">
        <v>1850</v>
      </c>
      <c r="J485" s="2" t="s">
        <v>24</v>
      </c>
      <c r="K485" s="2" t="s">
        <v>25</v>
      </c>
      <c r="L485" s="2" t="s">
        <v>1687</v>
      </c>
      <c r="M485" s="2" t="s">
        <v>24</v>
      </c>
      <c r="N485" s="2" t="s">
        <v>25</v>
      </c>
      <c r="O485" s="2" t="s">
        <v>1687</v>
      </c>
      <c r="P485" s="7">
        <v>1</v>
      </c>
      <c r="Q485" s="106" t="s">
        <v>1851</v>
      </c>
    </row>
    <row r="486" spans="1:18" ht="15" customHeight="1">
      <c r="A486" s="21">
        <v>7</v>
      </c>
      <c r="B486" s="2" t="s">
        <v>1583</v>
      </c>
      <c r="C486" s="21">
        <v>7</v>
      </c>
      <c r="D486" s="2" t="s">
        <v>1852</v>
      </c>
      <c r="E486" s="14">
        <v>0</v>
      </c>
      <c r="F486" s="21">
        <v>0</v>
      </c>
      <c r="G486" s="2" t="s">
        <v>20</v>
      </c>
      <c r="H486" s="23" t="s">
        <v>1853</v>
      </c>
      <c r="I486" s="94" t="s">
        <v>1854</v>
      </c>
      <c r="J486" s="2" t="s">
        <v>23</v>
      </c>
      <c r="K486" s="2" t="s">
        <v>23</v>
      </c>
      <c r="M486" s="2" t="s">
        <v>24</v>
      </c>
      <c r="N486" s="2" t="s">
        <v>25</v>
      </c>
      <c r="O486" s="5" t="s">
        <v>26</v>
      </c>
      <c r="P486" s="7">
        <v>1</v>
      </c>
      <c r="Q486" s="28" t="s">
        <v>1855</v>
      </c>
      <c r="R486" s="1"/>
    </row>
    <row r="487" spans="1:18" ht="15" customHeight="1">
      <c r="A487" s="21">
        <v>7</v>
      </c>
      <c r="B487" s="2" t="s">
        <v>1583</v>
      </c>
      <c r="C487" s="21">
        <v>7</v>
      </c>
      <c r="D487" s="2" t="s">
        <v>1852</v>
      </c>
      <c r="E487" s="14">
        <v>0</v>
      </c>
      <c r="F487" s="21">
        <v>1</v>
      </c>
      <c r="G487" s="2" t="s">
        <v>181</v>
      </c>
      <c r="H487" s="23" t="s">
        <v>1856</v>
      </c>
      <c r="I487" s="108" t="s">
        <v>1857</v>
      </c>
      <c r="J487" s="2" t="s">
        <v>38</v>
      </c>
      <c r="K487" s="2" t="s">
        <v>23</v>
      </c>
      <c r="M487" s="2" t="s">
        <v>38</v>
      </c>
      <c r="N487" s="2" t="s">
        <v>23</v>
      </c>
      <c r="P487" s="7">
        <v>1</v>
      </c>
      <c r="Q487" s="99" t="s">
        <v>1858</v>
      </c>
      <c r="R487" s="5" t="s">
        <v>1859</v>
      </c>
    </row>
    <row r="488" spans="1:18" ht="15" customHeight="1">
      <c r="A488" s="21">
        <v>7</v>
      </c>
      <c r="B488" s="2" t="s">
        <v>1583</v>
      </c>
      <c r="C488" s="21">
        <v>7</v>
      </c>
      <c r="D488" s="2" t="s">
        <v>1852</v>
      </c>
      <c r="E488" s="14">
        <v>0</v>
      </c>
      <c r="F488" s="21">
        <v>2</v>
      </c>
      <c r="G488" s="2" t="s">
        <v>1042</v>
      </c>
      <c r="H488" s="23" t="s">
        <v>1860</v>
      </c>
      <c r="I488" s="108" t="s">
        <v>1861</v>
      </c>
      <c r="J488" s="2" t="s">
        <v>23</v>
      </c>
      <c r="K488" s="2" t="s">
        <v>23</v>
      </c>
      <c r="M488" s="2" t="s">
        <v>24</v>
      </c>
      <c r="N488" s="2" t="s">
        <v>23</v>
      </c>
      <c r="O488" s="2" t="s">
        <v>1862</v>
      </c>
      <c r="P488" s="7">
        <v>1</v>
      </c>
      <c r="Q488" s="106" t="s">
        <v>1046</v>
      </c>
    </row>
    <row r="489" spans="1:18" ht="15" customHeight="1">
      <c r="A489" s="21">
        <v>7</v>
      </c>
      <c r="B489" s="2" t="s">
        <v>1583</v>
      </c>
      <c r="C489" s="21">
        <v>7</v>
      </c>
      <c r="D489" s="2" t="s">
        <v>1852</v>
      </c>
      <c r="E489" s="14">
        <v>0</v>
      </c>
      <c r="F489" s="21">
        <v>3</v>
      </c>
      <c r="G489" s="2" t="s">
        <v>1077</v>
      </c>
      <c r="H489" s="23" t="s">
        <v>1863</v>
      </c>
      <c r="I489" s="108" t="s">
        <v>1864</v>
      </c>
      <c r="J489" s="2" t="s">
        <v>163</v>
      </c>
      <c r="K489" s="2" t="s">
        <v>23</v>
      </c>
      <c r="M489" s="2" t="s">
        <v>23</v>
      </c>
      <c r="N489" s="2" t="s">
        <v>23</v>
      </c>
      <c r="P489" s="7">
        <v>1</v>
      </c>
      <c r="Q489" s="106" t="s">
        <v>1080</v>
      </c>
    </row>
    <row r="490" spans="1:18" ht="15" customHeight="1">
      <c r="A490" s="21">
        <v>7</v>
      </c>
      <c r="B490" s="2" t="s">
        <v>1583</v>
      </c>
      <c r="C490" s="21">
        <v>7</v>
      </c>
      <c r="D490" s="2" t="s">
        <v>1852</v>
      </c>
      <c r="E490" s="14">
        <v>0</v>
      </c>
      <c r="F490" s="21">
        <v>4</v>
      </c>
      <c r="G490" s="2" t="s">
        <v>599</v>
      </c>
      <c r="H490" s="23" t="s">
        <v>1865</v>
      </c>
      <c r="I490" s="108" t="s">
        <v>1866</v>
      </c>
      <c r="J490" s="2" t="s">
        <v>24</v>
      </c>
      <c r="K490" s="2" t="s">
        <v>25</v>
      </c>
      <c r="L490" s="2" t="s">
        <v>1687</v>
      </c>
      <c r="M490" s="2" t="s">
        <v>24</v>
      </c>
      <c r="N490" s="2" t="s">
        <v>25</v>
      </c>
      <c r="O490" s="2" t="s">
        <v>1687</v>
      </c>
      <c r="P490" s="7">
        <v>1</v>
      </c>
      <c r="Q490" s="106" t="s">
        <v>1867</v>
      </c>
    </row>
    <row r="491" spans="1:18" ht="15" customHeight="1">
      <c r="A491" s="21">
        <v>7</v>
      </c>
      <c r="B491" s="2" t="s">
        <v>1583</v>
      </c>
      <c r="C491" s="21">
        <v>7</v>
      </c>
      <c r="D491" s="2" t="s">
        <v>1852</v>
      </c>
      <c r="E491" s="14">
        <v>0</v>
      </c>
      <c r="F491" s="21">
        <v>5</v>
      </c>
      <c r="G491" s="2" t="s">
        <v>1868</v>
      </c>
      <c r="H491" s="23" t="s">
        <v>1869</v>
      </c>
      <c r="I491" s="108" t="s">
        <v>1870</v>
      </c>
      <c r="J491" s="2" t="s">
        <v>38</v>
      </c>
      <c r="K491" s="2" t="s">
        <v>23</v>
      </c>
      <c r="M491" s="2" t="s">
        <v>38</v>
      </c>
      <c r="N491" s="2" t="s">
        <v>23</v>
      </c>
      <c r="P491" s="7">
        <v>1</v>
      </c>
      <c r="Q491" s="106" t="s">
        <v>5778</v>
      </c>
      <c r="R491" s="2" t="s">
        <v>5779</v>
      </c>
    </row>
    <row r="492" spans="1:18" ht="15" customHeight="1">
      <c r="A492" s="21">
        <v>7</v>
      </c>
      <c r="B492" s="2" t="s">
        <v>1583</v>
      </c>
      <c r="C492" s="21">
        <v>7</v>
      </c>
      <c r="D492" s="2" t="s">
        <v>1852</v>
      </c>
      <c r="E492" s="14">
        <v>0</v>
      </c>
      <c r="F492" s="21">
        <v>6</v>
      </c>
      <c r="G492" s="2" t="s">
        <v>889</v>
      </c>
      <c r="H492" s="23" t="s">
        <v>1871</v>
      </c>
      <c r="I492" s="108" t="s">
        <v>1872</v>
      </c>
      <c r="J492" s="2" t="s">
        <v>24</v>
      </c>
      <c r="K492" s="2" t="s">
        <v>139</v>
      </c>
      <c r="M492" s="2" t="s">
        <v>24</v>
      </c>
      <c r="N492" s="2" t="s">
        <v>139</v>
      </c>
      <c r="P492" s="7">
        <v>1</v>
      </c>
      <c r="Q492" s="106" t="s">
        <v>322</v>
      </c>
    </row>
    <row r="493" spans="1:18" ht="15" customHeight="1">
      <c r="A493" s="21">
        <v>7</v>
      </c>
      <c r="B493" s="2" t="s">
        <v>1583</v>
      </c>
      <c r="C493" s="21">
        <v>7</v>
      </c>
      <c r="D493" s="2" t="s">
        <v>1852</v>
      </c>
      <c r="E493" s="14">
        <v>0</v>
      </c>
      <c r="F493" s="21">
        <v>7</v>
      </c>
      <c r="G493" s="2" t="s">
        <v>1873</v>
      </c>
      <c r="H493" s="23" t="s">
        <v>1874</v>
      </c>
      <c r="I493" s="108" t="s">
        <v>1875</v>
      </c>
      <c r="J493" s="2" t="s">
        <v>24</v>
      </c>
      <c r="K493" s="2" t="s">
        <v>206</v>
      </c>
      <c r="M493" s="2" t="s">
        <v>24</v>
      </c>
      <c r="N493" s="2" t="s">
        <v>206</v>
      </c>
      <c r="P493" s="7">
        <v>1</v>
      </c>
      <c r="Q493" s="106" t="s">
        <v>1876</v>
      </c>
    </row>
    <row r="494" spans="1:18" ht="15" customHeight="1">
      <c r="A494" s="21">
        <v>7</v>
      </c>
      <c r="B494" s="2" t="s">
        <v>1583</v>
      </c>
      <c r="C494" s="21">
        <v>7</v>
      </c>
      <c r="D494" s="2" t="s">
        <v>1852</v>
      </c>
      <c r="E494" s="14">
        <v>0</v>
      </c>
      <c r="F494" s="21">
        <v>8</v>
      </c>
      <c r="G494" s="2" t="s">
        <v>595</v>
      </c>
      <c r="H494" s="23" t="s">
        <v>1877</v>
      </c>
      <c r="I494" s="108" t="s">
        <v>1878</v>
      </c>
      <c r="J494" s="2" t="s">
        <v>23</v>
      </c>
      <c r="K494" s="2" t="s">
        <v>23</v>
      </c>
      <c r="L494" s="16"/>
      <c r="M494" s="2" t="s">
        <v>8100</v>
      </c>
      <c r="N494" s="2" t="s">
        <v>9287</v>
      </c>
      <c r="O494" s="16" t="s">
        <v>1878</v>
      </c>
      <c r="P494" s="7">
        <v>1</v>
      </c>
      <c r="Q494" s="106" t="s">
        <v>1879</v>
      </c>
      <c r="R494" s="2" t="s">
        <v>1880</v>
      </c>
    </row>
    <row r="495" spans="1:18" ht="15" customHeight="1">
      <c r="A495" s="21">
        <v>7</v>
      </c>
      <c r="B495" s="2" t="s">
        <v>1583</v>
      </c>
      <c r="C495" s="21">
        <v>7</v>
      </c>
      <c r="D495" s="2" t="s">
        <v>1852</v>
      </c>
      <c r="E495" s="14">
        <v>0</v>
      </c>
      <c r="F495" s="21">
        <v>9</v>
      </c>
      <c r="G495" s="2" t="s">
        <v>1881</v>
      </c>
      <c r="H495" s="23" t="s">
        <v>1882</v>
      </c>
      <c r="I495" s="108" t="s">
        <v>1883</v>
      </c>
      <c r="J495" s="2" t="s">
        <v>24</v>
      </c>
      <c r="K495" s="2" t="s">
        <v>116</v>
      </c>
      <c r="L495" s="16" t="s">
        <v>1883</v>
      </c>
      <c r="M495" s="2" t="s">
        <v>24</v>
      </c>
      <c r="N495" s="2" t="s">
        <v>116</v>
      </c>
      <c r="O495" s="16" t="s">
        <v>1883</v>
      </c>
      <c r="P495" s="7">
        <v>1</v>
      </c>
      <c r="Q495" s="106" t="s">
        <v>1884</v>
      </c>
    </row>
    <row r="496" spans="1:18" ht="15" customHeight="1">
      <c r="A496" s="21">
        <v>7</v>
      </c>
      <c r="B496" s="2" t="s">
        <v>1583</v>
      </c>
      <c r="C496" s="21">
        <v>7</v>
      </c>
      <c r="D496" s="2" t="s">
        <v>1852</v>
      </c>
      <c r="E496" s="14">
        <v>0</v>
      </c>
      <c r="F496" s="21">
        <v>10</v>
      </c>
      <c r="G496" s="2" t="s">
        <v>273</v>
      </c>
      <c r="H496" s="23" t="s">
        <v>1885</v>
      </c>
      <c r="I496" s="108" t="s">
        <v>1886</v>
      </c>
      <c r="J496" s="2" t="s">
        <v>23</v>
      </c>
      <c r="K496" s="2" t="s">
        <v>23</v>
      </c>
      <c r="M496" s="2" t="s">
        <v>24</v>
      </c>
      <c r="N496" s="2" t="s">
        <v>139</v>
      </c>
      <c r="P496" s="7">
        <v>1</v>
      </c>
      <c r="Q496" s="106" t="s">
        <v>1887</v>
      </c>
    </row>
    <row r="497" spans="1:18" ht="15" customHeight="1">
      <c r="A497" s="21">
        <v>7</v>
      </c>
      <c r="B497" s="2" t="s">
        <v>1583</v>
      </c>
      <c r="C497" s="21">
        <v>7</v>
      </c>
      <c r="D497" s="2" t="s">
        <v>1852</v>
      </c>
      <c r="E497" s="14">
        <v>0</v>
      </c>
      <c r="F497" s="21">
        <v>11</v>
      </c>
      <c r="G497" s="2" t="s">
        <v>1888</v>
      </c>
      <c r="H497" s="23" t="s">
        <v>1889</v>
      </c>
      <c r="I497" s="108" t="s">
        <v>1890</v>
      </c>
      <c r="J497" s="2" t="s">
        <v>23</v>
      </c>
      <c r="K497" s="2" t="s">
        <v>23</v>
      </c>
      <c r="M497" s="2" t="s">
        <v>24</v>
      </c>
      <c r="N497" s="2" t="s">
        <v>1891</v>
      </c>
      <c r="P497" s="7">
        <v>1</v>
      </c>
      <c r="Q497" s="106" t="s">
        <v>1892</v>
      </c>
    </row>
    <row r="498" spans="1:18" ht="15" customHeight="1">
      <c r="A498" s="21">
        <v>7</v>
      </c>
      <c r="B498" s="2" t="s">
        <v>1583</v>
      </c>
      <c r="C498" s="21">
        <v>7</v>
      </c>
      <c r="D498" s="2" t="s">
        <v>1852</v>
      </c>
      <c r="E498" s="14">
        <v>0</v>
      </c>
      <c r="F498" s="21">
        <v>12</v>
      </c>
      <c r="G498" s="2" t="s">
        <v>1893</v>
      </c>
      <c r="H498" s="23" t="s">
        <v>1894</v>
      </c>
      <c r="I498" s="108" t="s">
        <v>1895</v>
      </c>
      <c r="J498" s="2" t="s">
        <v>23</v>
      </c>
      <c r="K498" s="2" t="s">
        <v>23</v>
      </c>
      <c r="M498" s="2" t="s">
        <v>24</v>
      </c>
      <c r="N498" s="2" t="s">
        <v>206</v>
      </c>
      <c r="P498" s="7">
        <v>1</v>
      </c>
      <c r="Q498" s="106" t="s">
        <v>1896</v>
      </c>
    </row>
    <row r="499" spans="1:18" ht="15" customHeight="1">
      <c r="A499" s="21">
        <v>7</v>
      </c>
      <c r="B499" s="2" t="s">
        <v>1583</v>
      </c>
      <c r="C499" s="21">
        <v>7</v>
      </c>
      <c r="D499" s="2" t="s">
        <v>1852</v>
      </c>
      <c r="E499" s="14">
        <v>0</v>
      </c>
      <c r="F499" s="21">
        <v>13</v>
      </c>
      <c r="G499" s="2" t="s">
        <v>1897</v>
      </c>
      <c r="H499" s="23" t="s">
        <v>1898</v>
      </c>
      <c r="I499" s="108" t="s">
        <v>1899</v>
      </c>
      <c r="J499" s="2" t="s">
        <v>23</v>
      </c>
      <c r="K499" s="2" t="s">
        <v>23</v>
      </c>
      <c r="M499" s="2" t="s">
        <v>24</v>
      </c>
      <c r="N499" s="2" t="s">
        <v>1900</v>
      </c>
      <c r="P499" s="7">
        <v>1</v>
      </c>
      <c r="Q499" s="106" t="s">
        <v>1901</v>
      </c>
    </row>
    <row r="500" spans="1:18" ht="15" customHeight="1">
      <c r="A500" s="21">
        <v>7</v>
      </c>
      <c r="B500" s="2" t="s">
        <v>1583</v>
      </c>
      <c r="C500" s="21">
        <v>8</v>
      </c>
      <c r="D500" s="2" t="s">
        <v>1902</v>
      </c>
      <c r="E500" s="14">
        <v>0</v>
      </c>
      <c r="F500" s="21">
        <v>0</v>
      </c>
      <c r="G500" s="2" t="s">
        <v>20</v>
      </c>
      <c r="H500" s="23" t="s">
        <v>1903</v>
      </c>
      <c r="I500" s="94" t="s">
        <v>1904</v>
      </c>
      <c r="J500" s="2" t="s">
        <v>23</v>
      </c>
      <c r="K500" s="2" t="s">
        <v>23</v>
      </c>
      <c r="M500" s="2" t="s">
        <v>24</v>
      </c>
      <c r="N500" s="2" t="s">
        <v>25</v>
      </c>
      <c r="O500" s="5" t="s">
        <v>26</v>
      </c>
      <c r="P500" s="7">
        <v>1</v>
      </c>
      <c r="Q500" s="28" t="s">
        <v>1905</v>
      </c>
      <c r="R500" s="1"/>
    </row>
    <row r="501" spans="1:18" ht="15" customHeight="1">
      <c r="A501" s="21">
        <v>7</v>
      </c>
      <c r="B501" s="2" t="s">
        <v>1583</v>
      </c>
      <c r="C501" s="21">
        <v>8</v>
      </c>
      <c r="D501" s="2" t="s">
        <v>1902</v>
      </c>
      <c r="E501" s="14">
        <v>0</v>
      </c>
      <c r="F501" s="21">
        <v>1</v>
      </c>
      <c r="G501" s="2" t="s">
        <v>1042</v>
      </c>
      <c r="H501" s="23" t="s">
        <v>1906</v>
      </c>
      <c r="I501" s="108" t="s">
        <v>1907</v>
      </c>
      <c r="J501" s="2" t="s">
        <v>38</v>
      </c>
      <c r="K501" s="2" t="s">
        <v>23</v>
      </c>
      <c r="M501" s="2" t="s">
        <v>38</v>
      </c>
      <c r="N501" s="2" t="s">
        <v>23</v>
      </c>
      <c r="P501" s="7">
        <v>1</v>
      </c>
      <c r="Q501" s="106" t="s">
        <v>1908</v>
      </c>
      <c r="R501" s="2" t="s">
        <v>1909</v>
      </c>
    </row>
    <row r="502" spans="1:18" ht="15" customHeight="1">
      <c r="A502" s="21">
        <v>7</v>
      </c>
      <c r="B502" s="2" t="s">
        <v>1583</v>
      </c>
      <c r="C502" s="21">
        <v>8</v>
      </c>
      <c r="D502" s="2" t="s">
        <v>1902</v>
      </c>
      <c r="E502" s="14">
        <v>0</v>
      </c>
      <c r="F502" s="21">
        <v>2</v>
      </c>
      <c r="G502" s="2" t="s">
        <v>1077</v>
      </c>
      <c r="H502" s="23" t="s">
        <v>1910</v>
      </c>
      <c r="I502" s="108" t="s">
        <v>1911</v>
      </c>
      <c r="J502" s="2" t="s">
        <v>24</v>
      </c>
      <c r="K502" s="2" t="s">
        <v>23</v>
      </c>
      <c r="M502" s="2" t="s">
        <v>24</v>
      </c>
      <c r="N502" s="2" t="s">
        <v>25</v>
      </c>
      <c r="P502" s="7">
        <v>1</v>
      </c>
      <c r="Q502" s="106" t="s">
        <v>1912</v>
      </c>
      <c r="R502" s="2" t="s">
        <v>1913</v>
      </c>
    </row>
    <row r="503" spans="1:18" ht="15" customHeight="1">
      <c r="A503" s="21">
        <v>7</v>
      </c>
      <c r="B503" s="2" t="s">
        <v>1583</v>
      </c>
      <c r="C503" s="21">
        <v>8</v>
      </c>
      <c r="D503" s="2" t="s">
        <v>1902</v>
      </c>
      <c r="E503" s="14">
        <v>0</v>
      </c>
      <c r="F503" s="21">
        <v>3</v>
      </c>
      <c r="G503" s="2" t="s">
        <v>1221</v>
      </c>
      <c r="H503" s="23" t="s">
        <v>1914</v>
      </c>
      <c r="I503" s="108" t="s">
        <v>1915</v>
      </c>
      <c r="J503" s="2" t="s">
        <v>23</v>
      </c>
      <c r="K503" s="2" t="s">
        <v>23</v>
      </c>
      <c r="M503" s="2" t="s">
        <v>38</v>
      </c>
      <c r="N503" s="2" t="s">
        <v>23</v>
      </c>
      <c r="P503" s="7">
        <v>1</v>
      </c>
      <c r="Q503" s="106" t="s">
        <v>1916</v>
      </c>
    </row>
    <row r="504" spans="1:18" ht="15" customHeight="1">
      <c r="A504" s="21">
        <v>7</v>
      </c>
      <c r="B504" s="2" t="s">
        <v>1583</v>
      </c>
      <c r="C504" s="21">
        <v>9</v>
      </c>
      <c r="D504" s="2" t="s">
        <v>9254</v>
      </c>
      <c r="E504" s="14">
        <v>0</v>
      </c>
      <c r="F504" s="21">
        <v>0</v>
      </c>
      <c r="G504" s="2" t="s">
        <v>20</v>
      </c>
      <c r="H504" s="23" t="s">
        <v>9221</v>
      </c>
      <c r="I504" s="94" t="s">
        <v>9255</v>
      </c>
      <c r="J504" s="2" t="s">
        <v>23</v>
      </c>
      <c r="K504" s="2" t="s">
        <v>23</v>
      </c>
      <c r="M504" s="2" t="s">
        <v>24</v>
      </c>
      <c r="N504" s="2" t="s">
        <v>25</v>
      </c>
      <c r="O504" s="5" t="s">
        <v>26</v>
      </c>
      <c r="P504" s="7">
        <v>1</v>
      </c>
      <c r="Q504" s="28" t="s">
        <v>9265</v>
      </c>
      <c r="R504" s="1"/>
    </row>
    <row r="505" spans="1:18" ht="15" customHeight="1">
      <c r="A505" s="21">
        <v>7</v>
      </c>
      <c r="B505" s="2" t="s">
        <v>1583</v>
      </c>
      <c r="C505" s="21">
        <v>9</v>
      </c>
      <c r="D505" s="2" t="s">
        <v>9254</v>
      </c>
      <c r="E505" s="14">
        <v>0</v>
      </c>
      <c r="F505" s="21">
        <v>1</v>
      </c>
      <c r="G505" s="2" t="s">
        <v>4204</v>
      </c>
      <c r="H505" s="23" t="s">
        <v>9224</v>
      </c>
      <c r="I505" s="108" t="s">
        <v>9256</v>
      </c>
      <c r="J505" s="2" t="s">
        <v>24</v>
      </c>
      <c r="K505" s="2" t="s">
        <v>25</v>
      </c>
      <c r="L505" s="2" t="s">
        <v>9243</v>
      </c>
      <c r="M505" s="2" t="s">
        <v>24</v>
      </c>
      <c r="N505" s="2" t="s">
        <v>25</v>
      </c>
      <c r="O505" s="2" t="s">
        <v>9243</v>
      </c>
      <c r="P505" s="7">
        <v>1</v>
      </c>
      <c r="Q505" s="106" t="s">
        <v>9223</v>
      </c>
      <c r="R505" s="1"/>
    </row>
    <row r="506" spans="1:18" ht="15" customHeight="1">
      <c r="A506" s="21">
        <v>7</v>
      </c>
      <c r="B506" s="2" t="s">
        <v>1583</v>
      </c>
      <c r="C506" s="21">
        <v>9</v>
      </c>
      <c r="D506" s="2" t="s">
        <v>9254</v>
      </c>
      <c r="E506" s="14">
        <v>0</v>
      </c>
      <c r="F506" s="21">
        <v>2</v>
      </c>
      <c r="G506" s="2" t="s">
        <v>1603</v>
      </c>
      <c r="H506" s="23" t="s">
        <v>9225</v>
      </c>
      <c r="I506" s="108" t="s">
        <v>9257</v>
      </c>
      <c r="J506" s="2" t="s">
        <v>24</v>
      </c>
      <c r="K506" s="2" t="s">
        <v>116</v>
      </c>
      <c r="L506" s="16" t="s">
        <v>9257</v>
      </c>
      <c r="M506" s="2" t="s">
        <v>24</v>
      </c>
      <c r="N506" s="2" t="s">
        <v>116</v>
      </c>
      <c r="O506" s="16" t="s">
        <v>9257</v>
      </c>
      <c r="P506" s="7">
        <v>1</v>
      </c>
      <c r="Q506" s="106" t="s">
        <v>9222</v>
      </c>
      <c r="R506" s="1"/>
    </row>
    <row r="507" spans="1:18" ht="15" customHeight="1">
      <c r="A507" s="21">
        <v>7</v>
      </c>
      <c r="B507" s="2" t="s">
        <v>1583</v>
      </c>
      <c r="C507" s="21">
        <v>9</v>
      </c>
      <c r="D507" s="2" t="s">
        <v>9254</v>
      </c>
      <c r="E507" s="14">
        <v>0</v>
      </c>
      <c r="F507" s="21">
        <v>3</v>
      </c>
      <c r="G507" s="2" t="s">
        <v>9226</v>
      </c>
      <c r="H507" s="23" t="s">
        <v>9228</v>
      </c>
      <c r="I507" s="108" t="s">
        <v>9258</v>
      </c>
      <c r="J507" s="2" t="s">
        <v>8100</v>
      </c>
      <c r="K507" s="2" t="s">
        <v>9287</v>
      </c>
      <c r="L507" s="16" t="s">
        <v>9290</v>
      </c>
      <c r="M507" s="2" t="s">
        <v>8100</v>
      </c>
      <c r="N507" s="2" t="s">
        <v>9287</v>
      </c>
      <c r="O507" s="16" t="s">
        <v>9290</v>
      </c>
      <c r="P507" s="7">
        <v>1</v>
      </c>
      <c r="Q507" s="106" t="s">
        <v>9227</v>
      </c>
      <c r="R507" s="2" t="s">
        <v>9281</v>
      </c>
    </row>
    <row r="508" spans="1:18" ht="15" customHeight="1">
      <c r="A508" s="21">
        <v>7</v>
      </c>
      <c r="B508" s="2" t="s">
        <v>1583</v>
      </c>
      <c r="C508" s="21">
        <v>9</v>
      </c>
      <c r="D508" s="2" t="s">
        <v>9254</v>
      </c>
      <c r="E508" s="14">
        <v>0</v>
      </c>
      <c r="F508" s="21">
        <v>4</v>
      </c>
      <c r="G508" s="2" t="s">
        <v>9238</v>
      </c>
      <c r="H508" s="23" t="s">
        <v>9229</v>
      </c>
      <c r="I508" s="108" t="s">
        <v>9259</v>
      </c>
      <c r="J508" s="2" t="s">
        <v>24</v>
      </c>
      <c r="K508" s="2" t="s">
        <v>145</v>
      </c>
      <c r="M508" s="2" t="s">
        <v>24</v>
      </c>
      <c r="N508" s="2" t="s">
        <v>145</v>
      </c>
      <c r="P508" s="7">
        <v>1</v>
      </c>
      <c r="Q508" s="106" t="s">
        <v>9236</v>
      </c>
      <c r="R508" s="2" t="s">
        <v>9240</v>
      </c>
    </row>
    <row r="509" spans="1:18" ht="15" customHeight="1">
      <c r="A509" s="21">
        <v>7</v>
      </c>
      <c r="B509" s="2" t="s">
        <v>1583</v>
      </c>
      <c r="C509" s="21">
        <v>9</v>
      </c>
      <c r="D509" s="2" t="s">
        <v>9254</v>
      </c>
      <c r="E509" s="14">
        <v>0</v>
      </c>
      <c r="F509" s="21">
        <v>5</v>
      </c>
      <c r="G509" s="2" t="s">
        <v>9237</v>
      </c>
      <c r="H509" s="23" t="s">
        <v>9230</v>
      </c>
      <c r="I509" s="108" t="s">
        <v>9260</v>
      </c>
      <c r="J509" s="2" t="s">
        <v>24</v>
      </c>
      <c r="K509" s="2" t="s">
        <v>49</v>
      </c>
      <c r="M509" s="2" t="s">
        <v>24</v>
      </c>
      <c r="N509" s="2" t="s">
        <v>49</v>
      </c>
      <c r="P509" s="7">
        <v>1</v>
      </c>
      <c r="Q509" s="106" t="s">
        <v>9239</v>
      </c>
    </row>
    <row r="510" spans="1:18" ht="15" customHeight="1">
      <c r="A510" s="21">
        <v>7</v>
      </c>
      <c r="B510" s="2" t="s">
        <v>1583</v>
      </c>
      <c r="C510" s="21">
        <v>9</v>
      </c>
      <c r="D510" s="2" t="s">
        <v>9254</v>
      </c>
      <c r="E510" s="14">
        <v>0</v>
      </c>
      <c r="F510" s="21">
        <v>6</v>
      </c>
      <c r="G510" s="2" t="s">
        <v>9267</v>
      </c>
      <c r="H510" s="23" t="s">
        <v>9231</v>
      </c>
      <c r="I510" s="108" t="s">
        <v>9276</v>
      </c>
      <c r="J510" s="2" t="s">
        <v>8100</v>
      </c>
      <c r="K510" s="2" t="s">
        <v>9287</v>
      </c>
      <c r="L510" s="16" t="s">
        <v>9290</v>
      </c>
      <c r="M510" s="2" t="s">
        <v>8100</v>
      </c>
      <c r="N510" s="2" t="s">
        <v>9287</v>
      </c>
      <c r="O510" s="16" t="s">
        <v>9290</v>
      </c>
      <c r="P510" s="7">
        <v>1</v>
      </c>
      <c r="Q510" s="106" t="s">
        <v>9271</v>
      </c>
      <c r="R510" s="2" t="s">
        <v>9281</v>
      </c>
    </row>
    <row r="511" spans="1:18" ht="15" customHeight="1">
      <c r="A511" s="21">
        <v>7</v>
      </c>
      <c r="B511" s="2" t="s">
        <v>1583</v>
      </c>
      <c r="C511" s="21">
        <v>9</v>
      </c>
      <c r="D511" s="2" t="s">
        <v>9254</v>
      </c>
      <c r="E511" s="14">
        <v>0</v>
      </c>
      <c r="F511" s="21">
        <v>7</v>
      </c>
      <c r="G511" s="2" t="s">
        <v>9268</v>
      </c>
      <c r="H511" s="23" t="s">
        <v>9232</v>
      </c>
      <c r="I511" s="108" t="s">
        <v>9277</v>
      </c>
      <c r="J511" s="2" t="s">
        <v>24</v>
      </c>
      <c r="K511" s="2" t="s">
        <v>145</v>
      </c>
      <c r="M511" s="2" t="s">
        <v>24</v>
      </c>
      <c r="N511" s="2" t="s">
        <v>145</v>
      </c>
      <c r="P511" s="7">
        <v>1</v>
      </c>
      <c r="Q511" s="106" t="s">
        <v>9272</v>
      </c>
    </row>
    <row r="512" spans="1:18" ht="15" customHeight="1">
      <c r="A512" s="21">
        <v>7</v>
      </c>
      <c r="B512" s="2" t="s">
        <v>1583</v>
      </c>
      <c r="C512" s="21">
        <v>9</v>
      </c>
      <c r="D512" s="2" t="s">
        <v>9254</v>
      </c>
      <c r="E512" s="14">
        <v>0</v>
      </c>
      <c r="F512" s="21">
        <v>8</v>
      </c>
      <c r="G512" s="2" t="s">
        <v>9273</v>
      </c>
      <c r="H512" s="23" t="s">
        <v>9233</v>
      </c>
      <c r="I512" s="108" t="s">
        <v>9285</v>
      </c>
      <c r="J512" s="2" t="s">
        <v>24</v>
      </c>
      <c r="K512" s="2" t="s">
        <v>49</v>
      </c>
      <c r="M512" s="2" t="s">
        <v>24</v>
      </c>
      <c r="N512" s="2" t="s">
        <v>49</v>
      </c>
      <c r="P512" s="7">
        <v>1</v>
      </c>
      <c r="Q512" s="106" t="s">
        <v>9284</v>
      </c>
    </row>
    <row r="513" spans="1:18" ht="15" customHeight="1">
      <c r="A513" s="21">
        <v>7</v>
      </c>
      <c r="B513" s="2" t="s">
        <v>1583</v>
      </c>
      <c r="C513" s="21">
        <v>9</v>
      </c>
      <c r="D513" s="2" t="s">
        <v>9254</v>
      </c>
      <c r="E513" s="14">
        <v>0</v>
      </c>
      <c r="F513" s="21">
        <v>9</v>
      </c>
      <c r="G513" s="2" t="s">
        <v>9274</v>
      </c>
      <c r="H513" s="23" t="s">
        <v>9234</v>
      </c>
      <c r="I513" s="108" t="s">
        <v>9278</v>
      </c>
      <c r="J513" s="2" t="s">
        <v>8100</v>
      </c>
      <c r="K513" s="2" t="s">
        <v>9287</v>
      </c>
      <c r="L513" s="16" t="s">
        <v>9290</v>
      </c>
      <c r="M513" s="2" t="s">
        <v>8100</v>
      </c>
      <c r="N513" s="2" t="s">
        <v>9287</v>
      </c>
      <c r="O513" s="16" t="s">
        <v>9290</v>
      </c>
      <c r="P513" s="7">
        <v>1</v>
      </c>
      <c r="Q513" s="106" t="s">
        <v>9275</v>
      </c>
      <c r="R513" s="2" t="s">
        <v>9281</v>
      </c>
    </row>
    <row r="514" spans="1:18" ht="15" customHeight="1">
      <c r="A514" s="21">
        <v>7</v>
      </c>
      <c r="B514" s="2" t="s">
        <v>1583</v>
      </c>
      <c r="C514" s="21">
        <v>9</v>
      </c>
      <c r="D514" s="2" t="s">
        <v>9254</v>
      </c>
      <c r="E514" s="14">
        <v>0</v>
      </c>
      <c r="F514" s="21">
        <v>10</v>
      </c>
      <c r="G514" s="2" t="s">
        <v>9244</v>
      </c>
      <c r="H514" s="23" t="s">
        <v>9235</v>
      </c>
      <c r="I514" s="108" t="s">
        <v>9261</v>
      </c>
      <c r="J514" s="2" t="s">
        <v>24</v>
      </c>
      <c r="K514" s="2" t="s">
        <v>139</v>
      </c>
      <c r="M514" s="2" t="s">
        <v>24</v>
      </c>
      <c r="N514" s="2" t="s">
        <v>139</v>
      </c>
      <c r="P514" s="7">
        <v>1</v>
      </c>
      <c r="Q514" s="106" t="s">
        <v>9250</v>
      </c>
    </row>
    <row r="515" spans="1:18" ht="15" customHeight="1">
      <c r="A515" s="21">
        <v>7</v>
      </c>
      <c r="B515" s="2" t="s">
        <v>1583</v>
      </c>
      <c r="C515" s="21">
        <v>9</v>
      </c>
      <c r="D515" s="2" t="s">
        <v>9254</v>
      </c>
      <c r="E515" s="14">
        <v>0</v>
      </c>
      <c r="F515" s="21">
        <v>11</v>
      </c>
      <c r="G515" s="2" t="s">
        <v>9245</v>
      </c>
      <c r="H515" s="23" t="s">
        <v>9241</v>
      </c>
      <c r="I515" s="108" t="s">
        <v>9262</v>
      </c>
      <c r="J515" s="2" t="s">
        <v>24</v>
      </c>
      <c r="K515" s="2" t="s">
        <v>139</v>
      </c>
      <c r="M515" s="2" t="s">
        <v>24</v>
      </c>
      <c r="N515" s="2" t="s">
        <v>139</v>
      </c>
      <c r="P515" s="7">
        <v>1</v>
      </c>
      <c r="Q515" s="106" t="s">
        <v>9251</v>
      </c>
    </row>
    <row r="516" spans="1:18" ht="15" customHeight="1">
      <c r="A516" s="21">
        <v>7</v>
      </c>
      <c r="B516" s="2" t="s">
        <v>1583</v>
      </c>
      <c r="C516" s="21">
        <v>9</v>
      </c>
      <c r="D516" s="2" t="s">
        <v>9254</v>
      </c>
      <c r="E516" s="14">
        <v>0</v>
      </c>
      <c r="F516" s="21">
        <v>12</v>
      </c>
      <c r="G516" s="2" t="s">
        <v>9269</v>
      </c>
      <c r="H516" s="23" t="s">
        <v>9242</v>
      </c>
      <c r="I516" s="108" t="s">
        <v>9279</v>
      </c>
      <c r="J516" s="2" t="s">
        <v>24</v>
      </c>
      <c r="K516" s="2" t="s">
        <v>139</v>
      </c>
      <c r="M516" s="2" t="s">
        <v>24</v>
      </c>
      <c r="N516" s="2" t="s">
        <v>139</v>
      </c>
      <c r="P516" s="7">
        <v>1</v>
      </c>
      <c r="Q516" s="106" t="s">
        <v>9282</v>
      </c>
    </row>
    <row r="517" spans="1:18" ht="15" customHeight="1">
      <c r="A517" s="21">
        <v>7</v>
      </c>
      <c r="B517" s="2" t="s">
        <v>1583</v>
      </c>
      <c r="C517" s="21">
        <v>9</v>
      </c>
      <c r="D517" s="2" t="s">
        <v>9254</v>
      </c>
      <c r="E517" s="14">
        <v>0</v>
      </c>
      <c r="F517" s="21">
        <v>13</v>
      </c>
      <c r="G517" s="2" t="s">
        <v>9270</v>
      </c>
      <c r="H517" s="23" t="s">
        <v>9248</v>
      </c>
      <c r="I517" s="108" t="s">
        <v>9280</v>
      </c>
      <c r="J517" s="2" t="s">
        <v>24</v>
      </c>
      <c r="K517" s="2" t="s">
        <v>139</v>
      </c>
      <c r="M517" s="2" t="s">
        <v>24</v>
      </c>
      <c r="N517" s="2" t="s">
        <v>139</v>
      </c>
      <c r="P517" s="7">
        <v>1</v>
      </c>
      <c r="Q517" s="106" t="s">
        <v>9283</v>
      </c>
    </row>
    <row r="518" spans="1:18" ht="15" customHeight="1">
      <c r="A518" s="21">
        <v>7</v>
      </c>
      <c r="B518" s="2" t="s">
        <v>1583</v>
      </c>
      <c r="C518" s="21">
        <v>9</v>
      </c>
      <c r="D518" s="2" t="s">
        <v>9254</v>
      </c>
      <c r="E518" s="14">
        <v>0</v>
      </c>
      <c r="F518" s="21">
        <v>14</v>
      </c>
      <c r="G518" s="2" t="s">
        <v>9246</v>
      </c>
      <c r="H518" s="23" t="s">
        <v>9249</v>
      </c>
      <c r="I518" s="108" t="s">
        <v>9263</v>
      </c>
      <c r="J518" s="2" t="s">
        <v>24</v>
      </c>
      <c r="K518" s="2" t="s">
        <v>139</v>
      </c>
      <c r="M518" s="2" t="s">
        <v>24</v>
      </c>
      <c r="N518" s="2" t="s">
        <v>139</v>
      </c>
      <c r="P518" s="7">
        <v>1</v>
      </c>
      <c r="Q518" s="106" t="s">
        <v>9252</v>
      </c>
    </row>
    <row r="519" spans="1:18" ht="15" customHeight="1">
      <c r="A519" s="21">
        <v>7</v>
      </c>
      <c r="B519" s="2" t="s">
        <v>1583</v>
      </c>
      <c r="C519" s="21">
        <v>9</v>
      </c>
      <c r="D519" s="2" t="s">
        <v>9254</v>
      </c>
      <c r="E519" s="14">
        <v>0</v>
      </c>
      <c r="F519" s="21">
        <v>15</v>
      </c>
      <c r="G519" s="2" t="s">
        <v>9247</v>
      </c>
      <c r="H519" s="23" t="s">
        <v>9286</v>
      </c>
      <c r="I519" s="108" t="s">
        <v>9264</v>
      </c>
      <c r="J519" s="2" t="s">
        <v>24</v>
      </c>
      <c r="K519" s="2" t="s">
        <v>139</v>
      </c>
      <c r="M519" s="2" t="s">
        <v>24</v>
      </c>
      <c r="N519" s="2" t="s">
        <v>139</v>
      </c>
      <c r="P519" s="7">
        <v>1</v>
      </c>
      <c r="Q519" s="106" t="s">
        <v>9253</v>
      </c>
    </row>
    <row r="520" spans="1:18" ht="15" customHeight="1">
      <c r="A520" s="72"/>
      <c r="C520" s="72"/>
      <c r="E520" s="86"/>
      <c r="F520" s="72"/>
      <c r="H520" s="87" t="s">
        <v>234</v>
      </c>
      <c r="I520" s="105"/>
      <c r="P520" s="7"/>
      <c r="Q520" s="106"/>
    </row>
    <row r="521" spans="1:18" ht="15" customHeight="1">
      <c r="A521" s="21">
        <v>8</v>
      </c>
      <c r="B521" s="2" t="s">
        <v>1917</v>
      </c>
      <c r="C521" s="21">
        <v>0</v>
      </c>
      <c r="D521" s="2" t="s">
        <v>1918</v>
      </c>
      <c r="E521" s="14">
        <v>0</v>
      </c>
      <c r="F521" s="21">
        <v>0</v>
      </c>
      <c r="G521" s="2" t="s">
        <v>20</v>
      </c>
      <c r="H521" s="23" t="s">
        <v>1919</v>
      </c>
      <c r="I521" s="34" t="s">
        <v>1920</v>
      </c>
      <c r="J521" s="2" t="s">
        <v>23</v>
      </c>
      <c r="K521" s="2" t="s">
        <v>23</v>
      </c>
      <c r="M521" s="2" t="s">
        <v>24</v>
      </c>
      <c r="N521" s="2" t="s">
        <v>25</v>
      </c>
      <c r="O521" s="5" t="s">
        <v>26</v>
      </c>
      <c r="P521" s="7">
        <v>1</v>
      </c>
      <c r="Q521" s="28" t="s">
        <v>1921</v>
      </c>
      <c r="R521" s="1"/>
    </row>
    <row r="522" spans="1:18" ht="15" customHeight="1">
      <c r="A522" s="21">
        <v>8</v>
      </c>
      <c r="B522" s="2" t="s">
        <v>1917</v>
      </c>
      <c r="C522" s="21">
        <v>0</v>
      </c>
      <c r="D522" s="2" t="s">
        <v>1918</v>
      </c>
      <c r="E522" s="14">
        <v>0</v>
      </c>
      <c r="F522" s="21">
        <v>1</v>
      </c>
      <c r="G522" s="2" t="s">
        <v>1922</v>
      </c>
      <c r="H522" s="23" t="s">
        <v>1923</v>
      </c>
      <c r="I522" s="101" t="s">
        <v>1924</v>
      </c>
      <c r="J522" s="2" t="s">
        <v>24</v>
      </c>
      <c r="K522" s="2" t="s">
        <v>116</v>
      </c>
      <c r="L522" s="16" t="s">
        <v>1924</v>
      </c>
      <c r="M522" s="2" t="s">
        <v>24</v>
      </c>
      <c r="N522" s="2" t="s">
        <v>116</v>
      </c>
      <c r="O522" s="16" t="s">
        <v>1924</v>
      </c>
      <c r="P522" s="7">
        <v>1</v>
      </c>
      <c r="Q522" s="99" t="s">
        <v>1925</v>
      </c>
      <c r="R522" s="2" t="s">
        <v>1926</v>
      </c>
    </row>
    <row r="523" spans="1:18" ht="15" customHeight="1">
      <c r="A523" s="21">
        <v>8</v>
      </c>
      <c r="B523" s="2" t="s">
        <v>1917</v>
      </c>
      <c r="C523" s="21">
        <v>0</v>
      </c>
      <c r="D523" s="2" t="s">
        <v>1918</v>
      </c>
      <c r="E523" s="14">
        <v>0</v>
      </c>
      <c r="F523" s="21">
        <v>2</v>
      </c>
      <c r="G523" s="2" t="s">
        <v>1927</v>
      </c>
      <c r="H523" s="23" t="s">
        <v>1928</v>
      </c>
      <c r="I523" s="101" t="s">
        <v>1929</v>
      </c>
      <c r="J523" s="2" t="s">
        <v>24</v>
      </c>
      <c r="K523" s="2" t="s">
        <v>116</v>
      </c>
      <c r="L523" s="16" t="s">
        <v>1929</v>
      </c>
      <c r="M523" s="2" t="s">
        <v>24</v>
      </c>
      <c r="N523" s="2" t="s">
        <v>116</v>
      </c>
      <c r="O523" s="16" t="s">
        <v>1929</v>
      </c>
      <c r="P523" s="7">
        <v>1</v>
      </c>
      <c r="Q523" s="99" t="s">
        <v>1601</v>
      </c>
      <c r="R523" s="2" t="s">
        <v>1930</v>
      </c>
    </row>
    <row r="524" spans="1:18" ht="15" customHeight="1">
      <c r="A524" s="21">
        <v>8</v>
      </c>
      <c r="B524" s="2" t="s">
        <v>1917</v>
      </c>
      <c r="C524" s="21">
        <v>0</v>
      </c>
      <c r="D524" s="2" t="s">
        <v>1918</v>
      </c>
      <c r="E524" s="14">
        <v>0</v>
      </c>
      <c r="F524" s="21">
        <v>3</v>
      </c>
      <c r="G524" s="2" t="s">
        <v>1931</v>
      </c>
      <c r="H524" s="23" t="s">
        <v>1932</v>
      </c>
      <c r="I524" s="101" t="s">
        <v>1933</v>
      </c>
      <c r="J524" s="2" t="s">
        <v>24</v>
      </c>
      <c r="K524" s="2" t="s">
        <v>116</v>
      </c>
      <c r="L524" s="16" t="s">
        <v>1933</v>
      </c>
      <c r="M524" s="2" t="s">
        <v>24</v>
      </c>
      <c r="N524" s="2" t="s">
        <v>116</v>
      </c>
      <c r="O524" s="16" t="s">
        <v>1933</v>
      </c>
      <c r="P524" s="7">
        <v>1</v>
      </c>
      <c r="Q524" s="99" t="s">
        <v>1934</v>
      </c>
      <c r="R524" s="2" t="s">
        <v>1935</v>
      </c>
    </row>
    <row r="525" spans="1:18" ht="15" customHeight="1">
      <c r="A525" s="21">
        <v>8</v>
      </c>
      <c r="B525" s="2" t="s">
        <v>1917</v>
      </c>
      <c r="C525" s="21">
        <v>0</v>
      </c>
      <c r="D525" s="2" t="s">
        <v>1918</v>
      </c>
      <c r="E525" s="14">
        <v>0</v>
      </c>
      <c r="F525" s="21">
        <v>4</v>
      </c>
      <c r="G525" s="2" t="s">
        <v>1936</v>
      </c>
      <c r="H525" s="23" t="s">
        <v>1937</v>
      </c>
      <c r="I525" s="101" t="s">
        <v>1938</v>
      </c>
      <c r="J525" s="2" t="s">
        <v>24</v>
      </c>
      <c r="K525" s="2" t="s">
        <v>25</v>
      </c>
      <c r="L525" s="2" t="s">
        <v>1939</v>
      </c>
      <c r="M525" s="2" t="s">
        <v>24</v>
      </c>
      <c r="N525" s="2" t="s">
        <v>25</v>
      </c>
      <c r="O525" s="2" t="s">
        <v>1939</v>
      </c>
      <c r="P525" s="7">
        <v>1</v>
      </c>
      <c r="Q525" s="99" t="s">
        <v>1936</v>
      </c>
      <c r="R525" s="2" t="s">
        <v>1940</v>
      </c>
    </row>
    <row r="526" spans="1:18" ht="15" customHeight="1">
      <c r="A526" s="21">
        <v>8</v>
      </c>
      <c r="B526" s="2" t="s">
        <v>1917</v>
      </c>
      <c r="C526" s="21">
        <v>0</v>
      </c>
      <c r="D526" s="2" t="s">
        <v>1918</v>
      </c>
      <c r="E526" s="14">
        <v>0</v>
      </c>
      <c r="F526" s="21">
        <v>5</v>
      </c>
      <c r="G526" s="2" t="s">
        <v>1941</v>
      </c>
      <c r="H526" s="23" t="s">
        <v>1942</v>
      </c>
      <c r="I526" s="101" t="s">
        <v>1943</v>
      </c>
      <c r="J526" s="2" t="s">
        <v>24</v>
      </c>
      <c r="K526" s="2" t="s">
        <v>206</v>
      </c>
      <c r="L526" s="2" t="s">
        <v>1944</v>
      </c>
      <c r="M526" s="2" t="s">
        <v>24</v>
      </c>
      <c r="N526" s="2" t="s">
        <v>206</v>
      </c>
      <c r="O526" s="2" t="s">
        <v>1944</v>
      </c>
      <c r="P526" s="7">
        <v>1</v>
      </c>
      <c r="Q526" s="99" t="s">
        <v>1945</v>
      </c>
      <c r="R526" s="2" t="s">
        <v>1946</v>
      </c>
    </row>
    <row r="527" spans="1:18" ht="15" customHeight="1">
      <c r="A527" s="21">
        <v>8</v>
      </c>
      <c r="B527" s="2" t="s">
        <v>1917</v>
      </c>
      <c r="C527" s="21">
        <v>0</v>
      </c>
      <c r="D527" s="2" t="s">
        <v>1918</v>
      </c>
      <c r="E527" s="14">
        <v>0</v>
      </c>
      <c r="F527" s="21">
        <v>6</v>
      </c>
      <c r="G527" s="2" t="s">
        <v>1947</v>
      </c>
      <c r="H527" s="23" t="s">
        <v>1948</v>
      </c>
      <c r="I527" s="101" t="s">
        <v>1949</v>
      </c>
      <c r="J527" s="2" t="s">
        <v>24</v>
      </c>
      <c r="K527" s="2" t="s">
        <v>116</v>
      </c>
      <c r="L527" s="16" t="s">
        <v>1949</v>
      </c>
      <c r="M527" s="2" t="s">
        <v>24</v>
      </c>
      <c r="N527" s="2" t="s">
        <v>116</v>
      </c>
      <c r="O527" s="16" t="s">
        <v>1949</v>
      </c>
      <c r="P527" s="7">
        <v>1</v>
      </c>
      <c r="Q527" s="99" t="s">
        <v>1950</v>
      </c>
      <c r="R527" s="2" t="s">
        <v>1951</v>
      </c>
    </row>
    <row r="528" spans="1:18" ht="15" customHeight="1">
      <c r="A528" s="21">
        <v>8</v>
      </c>
      <c r="B528" s="2" t="s">
        <v>1917</v>
      </c>
      <c r="C528" s="21">
        <v>0</v>
      </c>
      <c r="D528" s="2" t="s">
        <v>1918</v>
      </c>
      <c r="E528" s="14">
        <v>0</v>
      </c>
      <c r="F528" s="21">
        <v>7</v>
      </c>
      <c r="G528" s="2" t="s">
        <v>1952</v>
      </c>
      <c r="H528" s="23" t="s">
        <v>1953</v>
      </c>
      <c r="I528" s="101" t="s">
        <v>1954</v>
      </c>
      <c r="J528" s="2" t="s">
        <v>24</v>
      </c>
      <c r="K528" s="2" t="s">
        <v>116</v>
      </c>
      <c r="L528" s="9" t="s">
        <v>1954</v>
      </c>
      <c r="M528" s="2" t="s">
        <v>24</v>
      </c>
      <c r="N528" s="2" t="s">
        <v>116</v>
      </c>
      <c r="O528" s="9" t="s">
        <v>1954</v>
      </c>
      <c r="P528" s="7">
        <v>1</v>
      </c>
      <c r="Q528" s="99" t="s">
        <v>1955</v>
      </c>
      <c r="R528" s="2" t="s">
        <v>1956</v>
      </c>
    </row>
    <row r="529" spans="1:18" ht="15" customHeight="1">
      <c r="A529" s="21">
        <v>8</v>
      </c>
      <c r="B529" s="2" t="s">
        <v>1917</v>
      </c>
      <c r="C529" s="21">
        <v>0</v>
      </c>
      <c r="D529" s="2" t="s">
        <v>1918</v>
      </c>
      <c r="E529" s="14">
        <v>0</v>
      </c>
      <c r="F529" s="21">
        <v>8</v>
      </c>
      <c r="G529" s="2" t="s">
        <v>1957</v>
      </c>
      <c r="H529" s="23" t="s">
        <v>1958</v>
      </c>
      <c r="I529" s="101" t="s">
        <v>1959</v>
      </c>
      <c r="J529" s="2" t="s">
        <v>24</v>
      </c>
      <c r="K529" s="2" t="s">
        <v>116</v>
      </c>
      <c r="L529" s="16" t="s">
        <v>1959</v>
      </c>
      <c r="M529" s="2" t="s">
        <v>24</v>
      </c>
      <c r="N529" s="2" t="s">
        <v>116</v>
      </c>
      <c r="O529" s="16" t="s">
        <v>1959</v>
      </c>
      <c r="P529" s="7">
        <v>1</v>
      </c>
      <c r="Q529" s="99" t="s">
        <v>1960</v>
      </c>
      <c r="R529" s="2" t="s">
        <v>1961</v>
      </c>
    </row>
    <row r="530" spans="1:18" ht="15" customHeight="1">
      <c r="A530" s="21">
        <v>8</v>
      </c>
      <c r="B530" s="2" t="s">
        <v>1917</v>
      </c>
      <c r="C530" s="21">
        <v>0</v>
      </c>
      <c r="D530" s="2" t="s">
        <v>1918</v>
      </c>
      <c r="E530" s="14">
        <v>0</v>
      </c>
      <c r="F530" s="21">
        <v>9</v>
      </c>
      <c r="G530" s="2" t="s">
        <v>1962</v>
      </c>
      <c r="H530" s="23" t="s">
        <v>1963</v>
      </c>
      <c r="I530" s="101" t="s">
        <v>1964</v>
      </c>
      <c r="J530" s="2" t="s">
        <v>24</v>
      </c>
      <c r="K530" s="2" t="s">
        <v>139</v>
      </c>
      <c r="M530" s="2" t="s">
        <v>24</v>
      </c>
      <c r="N530" s="2" t="s">
        <v>139</v>
      </c>
      <c r="P530" s="7">
        <v>1</v>
      </c>
      <c r="Q530" s="99" t="s">
        <v>1965</v>
      </c>
      <c r="R530" s="2" t="s">
        <v>1966</v>
      </c>
    </row>
    <row r="531" spans="1:18" ht="15" customHeight="1">
      <c r="A531" s="21">
        <v>8</v>
      </c>
      <c r="B531" s="2" t="s">
        <v>1917</v>
      </c>
      <c r="C531" s="21">
        <v>0</v>
      </c>
      <c r="D531" s="2" t="s">
        <v>1918</v>
      </c>
      <c r="E531" s="14">
        <v>0</v>
      </c>
      <c r="F531" s="21">
        <v>10</v>
      </c>
      <c r="G531" s="2" t="s">
        <v>1967</v>
      </c>
      <c r="H531" s="23" t="s">
        <v>1968</v>
      </c>
      <c r="I531" s="101" t="s">
        <v>1969</v>
      </c>
      <c r="J531" s="2" t="s">
        <v>24</v>
      </c>
      <c r="K531" s="2" t="s">
        <v>139</v>
      </c>
      <c r="M531" s="2" t="s">
        <v>24</v>
      </c>
      <c r="N531" s="2" t="s">
        <v>139</v>
      </c>
      <c r="P531" s="7">
        <v>1</v>
      </c>
      <c r="Q531" s="99" t="s">
        <v>1970</v>
      </c>
      <c r="R531" s="2" t="s">
        <v>1971</v>
      </c>
    </row>
    <row r="532" spans="1:18" ht="15" customHeight="1">
      <c r="A532" s="21">
        <v>8</v>
      </c>
      <c r="B532" s="2" t="s">
        <v>1917</v>
      </c>
      <c r="C532" s="21">
        <v>0</v>
      </c>
      <c r="D532" s="2" t="s">
        <v>1918</v>
      </c>
      <c r="E532" s="14">
        <v>0</v>
      </c>
      <c r="F532" s="21">
        <v>11</v>
      </c>
      <c r="G532" s="2" t="s">
        <v>1972</v>
      </c>
      <c r="H532" s="23" t="s">
        <v>1973</v>
      </c>
      <c r="I532" s="101" t="s">
        <v>1974</v>
      </c>
      <c r="J532" s="2" t="s">
        <v>24</v>
      </c>
      <c r="K532" s="2" t="s">
        <v>116</v>
      </c>
      <c r="L532" s="16" t="s">
        <v>1974</v>
      </c>
      <c r="M532" s="2" t="s">
        <v>24</v>
      </c>
      <c r="N532" s="2" t="s">
        <v>116</v>
      </c>
      <c r="O532" s="16" t="s">
        <v>1974</v>
      </c>
      <c r="P532" s="7">
        <v>1</v>
      </c>
      <c r="Q532" s="99" t="s">
        <v>1975</v>
      </c>
      <c r="R532" s="2" t="s">
        <v>1976</v>
      </c>
    </row>
    <row r="533" spans="1:18" ht="15" customHeight="1">
      <c r="A533" s="21">
        <v>8</v>
      </c>
      <c r="B533" s="2" t="s">
        <v>1917</v>
      </c>
      <c r="C533" s="21">
        <v>0</v>
      </c>
      <c r="D533" s="2" t="s">
        <v>1918</v>
      </c>
      <c r="E533" s="14">
        <v>0</v>
      </c>
      <c r="F533" s="21">
        <v>12</v>
      </c>
      <c r="G533" s="2" t="s">
        <v>1977</v>
      </c>
      <c r="H533" s="23" t="s">
        <v>1978</v>
      </c>
      <c r="I533" s="101" t="s">
        <v>1979</v>
      </c>
      <c r="J533" s="2" t="s">
        <v>24</v>
      </c>
      <c r="K533" s="2" t="s">
        <v>206</v>
      </c>
      <c r="L533" t="s">
        <v>1980</v>
      </c>
      <c r="M533" s="2" t="s">
        <v>24</v>
      </c>
      <c r="N533" s="2" t="s">
        <v>206</v>
      </c>
      <c r="O533" t="s">
        <v>1980</v>
      </c>
      <c r="P533" s="7">
        <v>1</v>
      </c>
      <c r="Q533" s="99" t="s">
        <v>1981</v>
      </c>
      <c r="R533" s="2" t="s">
        <v>1982</v>
      </c>
    </row>
    <row r="534" spans="1:18" ht="15" customHeight="1">
      <c r="A534" s="21">
        <v>8</v>
      </c>
      <c r="B534" s="2" t="s">
        <v>1917</v>
      </c>
      <c r="C534" s="21">
        <v>0</v>
      </c>
      <c r="D534" s="2" t="s">
        <v>1918</v>
      </c>
      <c r="E534" s="14">
        <v>0</v>
      </c>
      <c r="F534" s="21">
        <v>13</v>
      </c>
      <c r="G534" s="2" t="s">
        <v>1983</v>
      </c>
      <c r="H534" s="23" t="s">
        <v>1984</v>
      </c>
      <c r="I534" s="101" t="s">
        <v>1985</v>
      </c>
      <c r="J534" s="2" t="s">
        <v>24</v>
      </c>
      <c r="K534" s="2" t="s">
        <v>116</v>
      </c>
      <c r="L534" s="16" t="s">
        <v>1985</v>
      </c>
      <c r="M534" s="2" t="s">
        <v>24</v>
      </c>
      <c r="N534" s="2" t="s">
        <v>116</v>
      </c>
      <c r="O534" s="16" t="s">
        <v>1985</v>
      </c>
      <c r="P534" s="7">
        <v>1</v>
      </c>
      <c r="Q534" s="99" t="s">
        <v>1986</v>
      </c>
      <c r="R534" s="2" t="s">
        <v>1987</v>
      </c>
    </row>
    <row r="535" spans="1:18" ht="15" customHeight="1">
      <c r="A535" s="21">
        <v>8</v>
      </c>
      <c r="B535" s="2" t="s">
        <v>1917</v>
      </c>
      <c r="C535" s="21">
        <v>0</v>
      </c>
      <c r="D535" s="2" t="s">
        <v>1918</v>
      </c>
      <c r="E535" s="14">
        <v>0</v>
      </c>
      <c r="F535" s="21">
        <v>14</v>
      </c>
      <c r="G535" s="2" t="s">
        <v>1988</v>
      </c>
      <c r="H535" s="23" t="s">
        <v>1989</v>
      </c>
      <c r="I535" s="101" t="s">
        <v>1990</v>
      </c>
      <c r="J535" s="2" t="s">
        <v>24</v>
      </c>
      <c r="K535" s="2" t="s">
        <v>116</v>
      </c>
      <c r="L535" s="16" t="s">
        <v>1990</v>
      </c>
      <c r="M535" s="2" t="s">
        <v>24</v>
      </c>
      <c r="N535" s="2" t="s">
        <v>116</v>
      </c>
      <c r="O535" s="16" t="s">
        <v>1990</v>
      </c>
      <c r="P535" s="7">
        <v>1</v>
      </c>
      <c r="Q535" s="99" t="s">
        <v>1991</v>
      </c>
      <c r="R535" s="2" t="s">
        <v>1992</v>
      </c>
    </row>
    <row r="536" spans="1:18" ht="15" customHeight="1">
      <c r="A536" s="21">
        <v>8</v>
      </c>
      <c r="B536" s="2" t="s">
        <v>1917</v>
      </c>
      <c r="C536" s="21">
        <v>0</v>
      </c>
      <c r="D536" s="2" t="s">
        <v>1918</v>
      </c>
      <c r="E536" s="14">
        <v>0</v>
      </c>
      <c r="F536" s="21">
        <v>15</v>
      </c>
      <c r="G536" s="2" t="s">
        <v>1993</v>
      </c>
      <c r="H536" s="23" t="s">
        <v>1994</v>
      </c>
      <c r="I536" s="101" t="s">
        <v>1995</v>
      </c>
      <c r="J536" s="2" t="s">
        <v>24</v>
      </c>
      <c r="K536" s="2" t="s">
        <v>116</v>
      </c>
      <c r="L536" s="16" t="s">
        <v>1995</v>
      </c>
      <c r="M536" s="2" t="s">
        <v>24</v>
      </c>
      <c r="N536" s="2" t="s">
        <v>116</v>
      </c>
      <c r="O536" s="16" t="s">
        <v>1995</v>
      </c>
      <c r="P536" s="7">
        <v>1</v>
      </c>
      <c r="Q536" s="99" t="s">
        <v>1996</v>
      </c>
      <c r="R536" s="2" t="s">
        <v>1997</v>
      </c>
    </row>
    <row r="537" spans="1:18" ht="15" customHeight="1">
      <c r="A537" s="21">
        <v>8</v>
      </c>
      <c r="B537" s="2" t="s">
        <v>1917</v>
      </c>
      <c r="C537" s="21">
        <v>0</v>
      </c>
      <c r="D537" s="2" t="s">
        <v>1918</v>
      </c>
      <c r="E537" s="14">
        <v>0</v>
      </c>
      <c r="F537" s="21">
        <v>16</v>
      </c>
      <c r="G537" s="2" t="s">
        <v>1998</v>
      </c>
      <c r="H537" s="23" t="s">
        <v>1999</v>
      </c>
      <c r="I537" s="101" t="s">
        <v>2000</v>
      </c>
      <c r="J537" s="2" t="s">
        <v>24</v>
      </c>
      <c r="K537" s="2" t="s">
        <v>116</v>
      </c>
      <c r="L537" s="16" t="s">
        <v>2000</v>
      </c>
      <c r="M537" s="2" t="s">
        <v>24</v>
      </c>
      <c r="N537" s="2" t="s">
        <v>116</v>
      </c>
      <c r="O537" s="16" t="s">
        <v>2000</v>
      </c>
      <c r="P537" s="7">
        <v>1</v>
      </c>
      <c r="Q537" s="99" t="s">
        <v>2001</v>
      </c>
      <c r="R537" s="2" t="s">
        <v>2002</v>
      </c>
    </row>
    <row r="538" spans="1:18" ht="15" customHeight="1">
      <c r="A538" s="21">
        <v>8</v>
      </c>
      <c r="B538" s="2" t="s">
        <v>1917</v>
      </c>
      <c r="C538" s="21">
        <v>0</v>
      </c>
      <c r="D538" s="2" t="s">
        <v>1918</v>
      </c>
      <c r="E538" s="14">
        <v>0</v>
      </c>
      <c r="F538" s="21">
        <v>17</v>
      </c>
      <c r="G538" s="2" t="s">
        <v>2003</v>
      </c>
      <c r="H538" s="23" t="s">
        <v>2004</v>
      </c>
      <c r="I538" s="101" t="s">
        <v>2005</v>
      </c>
      <c r="J538" s="2" t="s">
        <v>24</v>
      </c>
      <c r="K538" s="2" t="s">
        <v>23</v>
      </c>
      <c r="L538" s="2" t="s">
        <v>2006</v>
      </c>
      <c r="M538" s="2" t="s">
        <v>24</v>
      </c>
      <c r="N538" s="2" t="s">
        <v>23</v>
      </c>
      <c r="O538" s="2" t="s">
        <v>2006</v>
      </c>
      <c r="P538" s="7">
        <v>1</v>
      </c>
      <c r="Q538" s="99" t="s">
        <v>2007</v>
      </c>
      <c r="R538" s="2" t="s">
        <v>2008</v>
      </c>
    </row>
    <row r="539" spans="1:18" ht="15" customHeight="1">
      <c r="A539" s="21">
        <v>8</v>
      </c>
      <c r="B539" s="2" t="s">
        <v>1917</v>
      </c>
      <c r="C539" s="21">
        <v>0</v>
      </c>
      <c r="D539" s="2" t="s">
        <v>1918</v>
      </c>
      <c r="E539" s="14">
        <v>0</v>
      </c>
      <c r="F539" s="21">
        <v>18</v>
      </c>
      <c r="G539" s="2" t="s">
        <v>2009</v>
      </c>
      <c r="H539" s="23" t="s">
        <v>2010</v>
      </c>
      <c r="I539" s="101" t="s">
        <v>2011</v>
      </c>
      <c r="J539" s="2" t="s">
        <v>23</v>
      </c>
      <c r="K539" s="2" t="s">
        <v>23</v>
      </c>
      <c r="M539" s="2" t="s">
        <v>24</v>
      </c>
      <c r="N539" s="2" t="s">
        <v>23</v>
      </c>
      <c r="O539" s="62" t="s">
        <v>2012</v>
      </c>
      <c r="P539" s="7">
        <v>1</v>
      </c>
      <c r="Q539" s="99" t="s">
        <v>2013</v>
      </c>
      <c r="R539" s="2" t="s">
        <v>2014</v>
      </c>
    </row>
    <row r="540" spans="1:18" ht="15" customHeight="1">
      <c r="A540" s="21">
        <v>8</v>
      </c>
      <c r="B540" s="2" t="s">
        <v>1917</v>
      </c>
      <c r="C540" s="21">
        <v>0</v>
      </c>
      <c r="D540" s="2" t="s">
        <v>1918</v>
      </c>
      <c r="E540" s="14">
        <v>0</v>
      </c>
      <c r="F540" s="21">
        <v>19</v>
      </c>
      <c r="G540" s="2" t="s">
        <v>2015</v>
      </c>
      <c r="H540" s="23" t="s">
        <v>2016</v>
      </c>
      <c r="I540" s="101" t="s">
        <v>2017</v>
      </c>
      <c r="J540" s="2" t="s">
        <v>23</v>
      </c>
      <c r="K540" s="2" t="s">
        <v>23</v>
      </c>
      <c r="L540" s="16"/>
      <c r="M540" s="2" t="s">
        <v>24</v>
      </c>
      <c r="N540" s="2" t="s">
        <v>116</v>
      </c>
      <c r="O540" s="16" t="s">
        <v>2017</v>
      </c>
      <c r="P540" s="7">
        <v>1</v>
      </c>
      <c r="Q540" s="99" t="s">
        <v>2018</v>
      </c>
      <c r="R540" s="2" t="s">
        <v>2019</v>
      </c>
    </row>
    <row r="541" spans="1:18" ht="15" customHeight="1">
      <c r="A541" s="21">
        <v>8</v>
      </c>
      <c r="B541" s="2" t="s">
        <v>1917</v>
      </c>
      <c r="C541" s="21">
        <v>0</v>
      </c>
      <c r="D541" s="2" t="s">
        <v>1918</v>
      </c>
      <c r="E541" s="14">
        <v>0</v>
      </c>
      <c r="F541" s="21">
        <v>20</v>
      </c>
      <c r="G541" s="2" t="s">
        <v>2020</v>
      </c>
      <c r="H541" s="23" t="s">
        <v>2021</v>
      </c>
      <c r="I541" s="101" t="s">
        <v>2022</v>
      </c>
      <c r="J541" s="2" t="s">
        <v>24</v>
      </c>
      <c r="K541" s="2" t="s">
        <v>25</v>
      </c>
      <c r="L541" s="2" t="s">
        <v>2023</v>
      </c>
      <c r="M541" s="2" t="s">
        <v>24</v>
      </c>
      <c r="N541" s="2" t="s">
        <v>25</v>
      </c>
      <c r="O541" s="2" t="s">
        <v>2023</v>
      </c>
      <c r="P541" s="7">
        <v>1</v>
      </c>
      <c r="Q541" s="99" t="s">
        <v>2024</v>
      </c>
      <c r="R541" s="2" t="s">
        <v>2025</v>
      </c>
    </row>
    <row r="542" spans="1:18" ht="15" customHeight="1">
      <c r="A542" s="21">
        <v>8</v>
      </c>
      <c r="B542" s="2" t="s">
        <v>1917</v>
      </c>
      <c r="C542" s="21">
        <v>0</v>
      </c>
      <c r="D542" s="2" t="s">
        <v>1918</v>
      </c>
      <c r="E542" s="14">
        <v>0</v>
      </c>
      <c r="F542" s="21">
        <v>21</v>
      </c>
      <c r="G542" s="2" t="s">
        <v>2026</v>
      </c>
      <c r="H542" s="23" t="s">
        <v>2027</v>
      </c>
      <c r="I542" s="101" t="s">
        <v>2028</v>
      </c>
      <c r="J542" s="2" t="s">
        <v>24</v>
      </c>
      <c r="K542" s="2" t="s">
        <v>49</v>
      </c>
      <c r="L542" s="16"/>
      <c r="M542" s="2" t="s">
        <v>24</v>
      </c>
      <c r="N542" s="2" t="s">
        <v>49</v>
      </c>
      <c r="O542" s="16"/>
      <c r="P542" s="7">
        <v>1</v>
      </c>
      <c r="Q542" s="99" t="s">
        <v>2029</v>
      </c>
      <c r="R542" s="2" t="s">
        <v>2030</v>
      </c>
    </row>
    <row r="543" spans="1:18" ht="15" customHeight="1">
      <c r="A543" s="21">
        <v>8</v>
      </c>
      <c r="B543" s="2" t="s">
        <v>1917</v>
      </c>
      <c r="C543" s="21">
        <v>0</v>
      </c>
      <c r="D543" s="2" t="s">
        <v>1918</v>
      </c>
      <c r="E543" s="14">
        <v>0</v>
      </c>
      <c r="F543" s="21">
        <v>22</v>
      </c>
      <c r="G543" s="2" t="s">
        <v>2031</v>
      </c>
      <c r="H543" s="23" t="s">
        <v>2032</v>
      </c>
      <c r="I543" s="101" t="s">
        <v>2033</v>
      </c>
      <c r="J543" s="25" t="s">
        <v>24</v>
      </c>
      <c r="K543" s="2" t="s">
        <v>116</v>
      </c>
      <c r="L543" s="9" t="s">
        <v>2034</v>
      </c>
      <c r="M543" s="25" t="s">
        <v>24</v>
      </c>
      <c r="N543" s="2" t="s">
        <v>116</v>
      </c>
      <c r="O543" s="9" t="s">
        <v>2034</v>
      </c>
      <c r="P543" s="26">
        <v>1</v>
      </c>
      <c r="Q543" s="99" t="s">
        <v>2035</v>
      </c>
    </row>
    <row r="544" spans="1:18" ht="15" customHeight="1">
      <c r="A544" s="21">
        <v>8</v>
      </c>
      <c r="B544" s="2" t="s">
        <v>1917</v>
      </c>
      <c r="C544" s="21">
        <v>0</v>
      </c>
      <c r="D544" s="2" t="s">
        <v>1918</v>
      </c>
      <c r="E544" s="14">
        <v>0</v>
      </c>
      <c r="F544" s="21">
        <v>23</v>
      </c>
      <c r="G544" s="2" t="s">
        <v>2036</v>
      </c>
      <c r="H544" s="23" t="s">
        <v>2037</v>
      </c>
      <c r="I544" s="101" t="s">
        <v>2038</v>
      </c>
      <c r="J544" s="25" t="s">
        <v>24</v>
      </c>
      <c r="K544" s="2" t="s">
        <v>23</v>
      </c>
      <c r="L544" s="13" t="s">
        <v>2039</v>
      </c>
      <c r="M544" s="25" t="s">
        <v>24</v>
      </c>
      <c r="N544" s="2" t="s">
        <v>23</v>
      </c>
      <c r="O544" s="13" t="s">
        <v>2039</v>
      </c>
      <c r="P544" s="26">
        <v>1</v>
      </c>
      <c r="Q544" s="99" t="s">
        <v>2040</v>
      </c>
      <c r="R544" s="2" t="s">
        <v>2041</v>
      </c>
    </row>
    <row r="545" spans="1:18" ht="15" customHeight="1">
      <c r="A545" s="21">
        <v>8</v>
      </c>
      <c r="B545" s="2" t="s">
        <v>1917</v>
      </c>
      <c r="C545" s="21">
        <v>0</v>
      </c>
      <c r="D545" s="2" t="s">
        <v>1918</v>
      </c>
      <c r="E545" s="14">
        <v>0</v>
      </c>
      <c r="F545" s="21">
        <v>24</v>
      </c>
      <c r="G545" s="2" t="s">
        <v>2042</v>
      </c>
      <c r="H545" s="23" t="s">
        <v>2043</v>
      </c>
      <c r="I545" s="101" t="s">
        <v>2044</v>
      </c>
      <c r="J545" s="25" t="s">
        <v>24</v>
      </c>
      <c r="K545" s="2" t="s">
        <v>206</v>
      </c>
      <c r="L545" s="2" t="s">
        <v>582</v>
      </c>
      <c r="M545" s="25" t="s">
        <v>24</v>
      </c>
      <c r="N545" s="2" t="s">
        <v>206</v>
      </c>
      <c r="O545" s="2" t="s">
        <v>582</v>
      </c>
      <c r="P545" s="26">
        <v>1</v>
      </c>
      <c r="Q545" s="99" t="s">
        <v>2045</v>
      </c>
    </row>
    <row r="546" spans="1:18" ht="15" customHeight="1">
      <c r="A546" s="21">
        <v>8</v>
      </c>
      <c r="B546" s="2" t="s">
        <v>1917</v>
      </c>
      <c r="C546" s="21">
        <v>0</v>
      </c>
      <c r="D546" s="2" t="s">
        <v>1918</v>
      </c>
      <c r="E546" s="14">
        <v>0</v>
      </c>
      <c r="F546" s="21">
        <v>25</v>
      </c>
      <c r="G546" s="2" t="s">
        <v>2046</v>
      </c>
      <c r="H546" s="23" t="s">
        <v>2047</v>
      </c>
      <c r="I546" s="101" t="s">
        <v>2048</v>
      </c>
      <c r="J546" s="25" t="s">
        <v>24</v>
      </c>
      <c r="K546" s="2" t="s">
        <v>23</v>
      </c>
      <c r="M546" s="25" t="s">
        <v>24</v>
      </c>
      <c r="N546" s="2" t="s">
        <v>23</v>
      </c>
      <c r="P546" s="26">
        <v>1</v>
      </c>
      <c r="Q546" s="99" t="s">
        <v>2049</v>
      </c>
      <c r="R546" s="2" t="s">
        <v>2050</v>
      </c>
    </row>
    <row r="547" spans="1:18" ht="15" customHeight="1">
      <c r="A547" s="21">
        <v>8</v>
      </c>
      <c r="B547" s="2" t="s">
        <v>1917</v>
      </c>
      <c r="C547" s="21">
        <v>0</v>
      </c>
      <c r="D547" s="2" t="s">
        <v>1918</v>
      </c>
      <c r="E547" s="14">
        <v>0</v>
      </c>
      <c r="F547" s="21">
        <v>26</v>
      </c>
      <c r="G547" s="2" t="s">
        <v>2051</v>
      </c>
      <c r="H547" s="23" t="s">
        <v>2052</v>
      </c>
      <c r="I547" s="101" t="s">
        <v>2053</v>
      </c>
      <c r="J547" s="2" t="s">
        <v>24</v>
      </c>
      <c r="K547" s="2" t="s">
        <v>116</v>
      </c>
      <c r="L547" s="9" t="s">
        <v>2054</v>
      </c>
      <c r="M547" s="2" t="s">
        <v>24</v>
      </c>
      <c r="N547" s="2" t="s">
        <v>116</v>
      </c>
      <c r="O547" s="9" t="s">
        <v>2054</v>
      </c>
      <c r="P547" s="26">
        <v>1</v>
      </c>
      <c r="Q547" s="99" t="s">
        <v>2055</v>
      </c>
      <c r="R547" s="2" t="s">
        <v>2056</v>
      </c>
    </row>
    <row r="548" spans="1:18" ht="15" customHeight="1">
      <c r="A548" s="21">
        <v>8</v>
      </c>
      <c r="B548" s="2" t="s">
        <v>1917</v>
      </c>
      <c r="C548" s="21">
        <v>0</v>
      </c>
      <c r="D548" s="2" t="s">
        <v>1918</v>
      </c>
      <c r="E548" s="14">
        <v>0</v>
      </c>
      <c r="F548" s="21">
        <v>27</v>
      </c>
      <c r="G548" s="2" t="s">
        <v>2057</v>
      </c>
      <c r="H548" s="23" t="s">
        <v>2058</v>
      </c>
      <c r="I548" s="101" t="s">
        <v>2059</v>
      </c>
      <c r="J548" s="2" t="s">
        <v>24</v>
      </c>
      <c r="K548" s="2" t="s">
        <v>116</v>
      </c>
      <c r="L548" s="9" t="s">
        <v>2060</v>
      </c>
      <c r="M548" s="2" t="s">
        <v>24</v>
      </c>
      <c r="N548" s="2" t="s">
        <v>116</v>
      </c>
      <c r="O548" s="9" t="s">
        <v>2060</v>
      </c>
      <c r="P548" s="26">
        <v>1</v>
      </c>
      <c r="Q548" s="99" t="s">
        <v>2061</v>
      </c>
    </row>
    <row r="549" spans="1:18" ht="15" customHeight="1">
      <c r="A549" s="21">
        <v>8</v>
      </c>
      <c r="B549" s="2" t="s">
        <v>1917</v>
      </c>
      <c r="C549" s="21">
        <v>0</v>
      </c>
      <c r="D549" s="2" t="s">
        <v>1918</v>
      </c>
      <c r="E549" s="14">
        <v>0</v>
      </c>
      <c r="F549" s="21">
        <v>28</v>
      </c>
      <c r="G549" s="2" t="s">
        <v>1624</v>
      </c>
      <c r="H549" s="23" t="s">
        <v>2062</v>
      </c>
      <c r="I549" s="101" t="s">
        <v>2063</v>
      </c>
      <c r="J549" s="2" t="s">
        <v>24</v>
      </c>
      <c r="K549" s="2" t="s">
        <v>23</v>
      </c>
      <c r="L549" s="9"/>
      <c r="M549" s="2" t="s">
        <v>24</v>
      </c>
      <c r="N549" s="2" t="s">
        <v>23</v>
      </c>
      <c r="O549" s="9"/>
      <c r="P549" s="26">
        <v>1</v>
      </c>
      <c r="Q549" s="99" t="s">
        <v>1627</v>
      </c>
    </row>
    <row r="550" spans="1:18" ht="15" customHeight="1">
      <c r="A550" s="21">
        <v>8</v>
      </c>
      <c r="B550" s="2" t="s">
        <v>1917</v>
      </c>
      <c r="C550" s="21">
        <v>0</v>
      </c>
      <c r="D550" s="2" t="s">
        <v>1918</v>
      </c>
      <c r="E550" s="14">
        <v>0</v>
      </c>
      <c r="F550" s="21">
        <v>29</v>
      </c>
      <c r="G550" s="2" t="s">
        <v>1629</v>
      </c>
      <c r="H550" s="23" t="s">
        <v>2064</v>
      </c>
      <c r="I550" s="101" t="s">
        <v>2065</v>
      </c>
      <c r="J550" s="2" t="s">
        <v>24</v>
      </c>
      <c r="K550" s="2" t="s">
        <v>23</v>
      </c>
      <c r="L550" s="9"/>
      <c r="M550" s="2" t="s">
        <v>24</v>
      </c>
      <c r="N550" s="2" t="s">
        <v>23</v>
      </c>
      <c r="O550" s="9"/>
      <c r="P550" s="26">
        <v>1</v>
      </c>
      <c r="Q550" s="99" t="s">
        <v>2066</v>
      </c>
    </row>
    <row r="551" spans="1:18" ht="15" customHeight="1">
      <c r="A551" s="21">
        <v>8</v>
      </c>
      <c r="B551" s="2" t="s">
        <v>1917</v>
      </c>
      <c r="C551" s="21">
        <v>0</v>
      </c>
      <c r="D551" s="2" t="s">
        <v>1918</v>
      </c>
      <c r="E551" s="14">
        <v>0</v>
      </c>
      <c r="F551" s="21">
        <v>30</v>
      </c>
      <c r="G551" s="2" t="s">
        <v>1648</v>
      </c>
      <c r="H551" s="23" t="s">
        <v>2067</v>
      </c>
      <c r="I551" s="101" t="s">
        <v>2068</v>
      </c>
      <c r="J551" s="2" t="s">
        <v>24</v>
      </c>
      <c r="K551" s="2" t="s">
        <v>23</v>
      </c>
      <c r="L551" s="9"/>
      <c r="M551" s="2" t="s">
        <v>24</v>
      </c>
      <c r="N551" s="2" t="s">
        <v>23</v>
      </c>
      <c r="O551" s="9"/>
      <c r="P551" s="26">
        <v>1</v>
      </c>
      <c r="Q551" s="99" t="s">
        <v>2069</v>
      </c>
    </row>
    <row r="552" spans="1:18" ht="15" customHeight="1">
      <c r="A552" s="21">
        <v>8</v>
      </c>
      <c r="B552" s="2" t="s">
        <v>1917</v>
      </c>
      <c r="C552" s="21">
        <v>0</v>
      </c>
      <c r="D552" s="2" t="s">
        <v>1918</v>
      </c>
      <c r="E552" s="14">
        <v>0</v>
      </c>
      <c r="F552" s="21">
        <v>31</v>
      </c>
      <c r="G552" s="2" t="s">
        <v>1653</v>
      </c>
      <c r="H552" s="23" t="s">
        <v>2070</v>
      </c>
      <c r="I552" s="101" t="s">
        <v>2071</v>
      </c>
      <c r="J552" s="2" t="s">
        <v>24</v>
      </c>
      <c r="K552" s="2" t="s">
        <v>23</v>
      </c>
      <c r="L552" s="9"/>
      <c r="M552" s="2" t="s">
        <v>24</v>
      </c>
      <c r="N552" s="2" t="s">
        <v>23</v>
      </c>
      <c r="O552" s="9"/>
      <c r="P552" s="26">
        <v>1</v>
      </c>
      <c r="Q552" s="99" t="s">
        <v>2072</v>
      </c>
    </row>
    <row r="553" spans="1:18" ht="15" customHeight="1">
      <c r="A553" s="21">
        <v>8</v>
      </c>
      <c r="B553" s="2" t="s">
        <v>1917</v>
      </c>
      <c r="C553" s="21">
        <v>0</v>
      </c>
      <c r="D553" s="2" t="s">
        <v>1918</v>
      </c>
      <c r="E553" s="14">
        <v>0</v>
      </c>
      <c r="F553" s="21">
        <v>32</v>
      </c>
      <c r="G553" s="2" t="s">
        <v>2073</v>
      </c>
      <c r="H553" s="23" t="s">
        <v>2074</v>
      </c>
      <c r="I553" s="101" t="s">
        <v>2075</v>
      </c>
      <c r="J553" s="2" t="s">
        <v>24</v>
      </c>
      <c r="K553" s="2" t="s">
        <v>116</v>
      </c>
      <c r="L553" s="9" t="s">
        <v>2075</v>
      </c>
      <c r="M553" s="2" t="s">
        <v>24</v>
      </c>
      <c r="N553" s="2" t="s">
        <v>116</v>
      </c>
      <c r="O553" s="9" t="s">
        <v>2075</v>
      </c>
      <c r="P553" s="26">
        <v>1</v>
      </c>
      <c r="Q553" s="99" t="s">
        <v>2076</v>
      </c>
    </row>
    <row r="554" spans="1:18" ht="15" customHeight="1">
      <c r="A554" s="21">
        <v>8</v>
      </c>
      <c r="B554" s="2" t="s">
        <v>1917</v>
      </c>
      <c r="C554" s="21">
        <v>0</v>
      </c>
      <c r="D554" s="2" t="s">
        <v>1918</v>
      </c>
      <c r="E554" s="14">
        <v>0</v>
      </c>
      <c r="F554" s="21">
        <v>33</v>
      </c>
      <c r="G554" s="2" t="s">
        <v>2077</v>
      </c>
      <c r="H554" s="23" t="s">
        <v>2078</v>
      </c>
      <c r="I554" s="101" t="s">
        <v>2079</v>
      </c>
      <c r="J554" s="2" t="s">
        <v>24</v>
      </c>
      <c r="K554" s="2" t="s">
        <v>116</v>
      </c>
      <c r="L554" s="16" t="s">
        <v>1949</v>
      </c>
      <c r="M554" s="2" t="s">
        <v>24</v>
      </c>
      <c r="N554" s="2" t="s">
        <v>116</v>
      </c>
      <c r="O554" s="16" t="s">
        <v>1949</v>
      </c>
      <c r="P554" s="26">
        <v>1</v>
      </c>
      <c r="Q554" s="99" t="s">
        <v>2080</v>
      </c>
    </row>
    <row r="555" spans="1:18" ht="15" customHeight="1">
      <c r="A555" s="21">
        <v>8</v>
      </c>
      <c r="B555" s="2" t="s">
        <v>1917</v>
      </c>
      <c r="C555" s="21">
        <v>0</v>
      </c>
      <c r="D555" s="2" t="s">
        <v>1918</v>
      </c>
      <c r="E555" s="14">
        <v>0</v>
      </c>
      <c r="F555" s="21">
        <v>34</v>
      </c>
      <c r="G555" s="2" t="s">
        <v>2081</v>
      </c>
      <c r="H555" s="23" t="s">
        <v>2082</v>
      </c>
      <c r="I555" s="101" t="s">
        <v>2083</v>
      </c>
      <c r="J555" s="2" t="s">
        <v>24</v>
      </c>
      <c r="K555" s="2" t="s">
        <v>23</v>
      </c>
      <c r="L555" s="9"/>
      <c r="M555" s="2" t="s">
        <v>24</v>
      </c>
      <c r="N555" s="2" t="s">
        <v>23</v>
      </c>
      <c r="O555" s="9"/>
      <c r="P555" s="26">
        <v>1</v>
      </c>
      <c r="Q555" s="99" t="s">
        <v>2084</v>
      </c>
      <c r="R555" s="2" t="s">
        <v>2085</v>
      </c>
    </row>
    <row r="556" spans="1:18" ht="15" customHeight="1">
      <c r="A556" s="21">
        <v>8</v>
      </c>
      <c r="B556" s="2" t="s">
        <v>1917</v>
      </c>
      <c r="C556" s="21">
        <v>0</v>
      </c>
      <c r="D556" s="2" t="s">
        <v>1918</v>
      </c>
      <c r="E556" s="14">
        <v>0</v>
      </c>
      <c r="F556" s="21">
        <v>35</v>
      </c>
      <c r="G556" s="2" t="s">
        <v>1666</v>
      </c>
      <c r="H556" s="23" t="s">
        <v>2086</v>
      </c>
      <c r="I556" s="101" t="s">
        <v>2087</v>
      </c>
      <c r="J556" s="2" t="s">
        <v>24</v>
      </c>
      <c r="K556" s="2" t="s">
        <v>23</v>
      </c>
      <c r="L556" s="9"/>
      <c r="M556" s="2" t="s">
        <v>24</v>
      </c>
      <c r="N556" s="2" t="s">
        <v>23</v>
      </c>
      <c r="O556" s="9"/>
      <c r="P556" s="26">
        <v>1</v>
      </c>
      <c r="Q556" s="99" t="s">
        <v>2088</v>
      </c>
    </row>
    <row r="557" spans="1:18" ht="15" customHeight="1">
      <c r="A557" s="21">
        <v>8</v>
      </c>
      <c r="B557" s="2" t="s">
        <v>1917</v>
      </c>
      <c r="C557" s="21">
        <v>0</v>
      </c>
      <c r="D557" s="2" t="s">
        <v>1918</v>
      </c>
      <c r="E557" s="14">
        <v>0</v>
      </c>
      <c r="F557" s="21">
        <v>36</v>
      </c>
      <c r="G557" s="2" t="s">
        <v>1670</v>
      </c>
      <c r="H557" s="23" t="s">
        <v>2089</v>
      </c>
      <c r="I557" s="101" t="s">
        <v>2090</v>
      </c>
      <c r="J557" s="2" t="s">
        <v>24</v>
      </c>
      <c r="K557" s="2" t="s">
        <v>23</v>
      </c>
      <c r="L557" s="9"/>
      <c r="M557" s="2" t="s">
        <v>24</v>
      </c>
      <c r="N557" s="2" t="s">
        <v>23</v>
      </c>
      <c r="O557" s="9"/>
      <c r="P557" s="26">
        <v>1</v>
      </c>
      <c r="Q557" s="99" t="s">
        <v>2091</v>
      </c>
    </row>
    <row r="558" spans="1:18" ht="15" customHeight="1">
      <c r="A558" s="21">
        <v>8</v>
      </c>
      <c r="B558" s="2" t="s">
        <v>1917</v>
      </c>
      <c r="C558" s="21">
        <v>0</v>
      </c>
      <c r="D558" s="2" t="s">
        <v>1918</v>
      </c>
      <c r="E558" s="14">
        <v>0</v>
      </c>
      <c r="F558" s="21">
        <v>37</v>
      </c>
      <c r="G558" s="2" t="s">
        <v>2092</v>
      </c>
      <c r="H558" s="23" t="s">
        <v>2093</v>
      </c>
      <c r="I558" s="101" t="s">
        <v>2094</v>
      </c>
      <c r="J558" s="2" t="s">
        <v>24</v>
      </c>
      <c r="K558" s="2" t="s">
        <v>116</v>
      </c>
      <c r="L558" s="9" t="s">
        <v>2075</v>
      </c>
      <c r="M558" s="2" t="s">
        <v>24</v>
      </c>
      <c r="N558" s="2" t="s">
        <v>116</v>
      </c>
      <c r="O558" s="9" t="s">
        <v>2075</v>
      </c>
      <c r="P558" s="26">
        <v>1</v>
      </c>
      <c r="Q558" s="99" t="s">
        <v>2095</v>
      </c>
    </row>
    <row r="559" spans="1:18" ht="15" customHeight="1">
      <c r="A559" s="21">
        <v>8</v>
      </c>
      <c r="B559" s="2" t="s">
        <v>1917</v>
      </c>
      <c r="C559" s="21">
        <v>0</v>
      </c>
      <c r="D559" s="2" t="s">
        <v>1918</v>
      </c>
      <c r="E559" s="14">
        <v>0</v>
      </c>
      <c r="F559" s="21">
        <v>38</v>
      </c>
      <c r="G559" s="2" t="s">
        <v>2096</v>
      </c>
      <c r="H559" s="23" t="s">
        <v>2097</v>
      </c>
      <c r="I559" s="101" t="s">
        <v>2098</v>
      </c>
      <c r="J559" s="2" t="s">
        <v>24</v>
      </c>
      <c r="K559" s="2" t="s">
        <v>116</v>
      </c>
      <c r="L559" s="16" t="s">
        <v>1949</v>
      </c>
      <c r="M559" s="2" t="s">
        <v>24</v>
      </c>
      <c r="N559" s="2" t="s">
        <v>116</v>
      </c>
      <c r="O559" s="16" t="s">
        <v>1949</v>
      </c>
      <c r="P559" s="26">
        <v>1</v>
      </c>
      <c r="Q559" s="99" t="s">
        <v>2099</v>
      </c>
    </row>
    <row r="560" spans="1:18" ht="15" customHeight="1">
      <c r="A560" s="21">
        <v>8</v>
      </c>
      <c r="B560" s="2" t="s">
        <v>1917</v>
      </c>
      <c r="C560" s="21">
        <v>0</v>
      </c>
      <c r="D560" s="2" t="s">
        <v>1918</v>
      </c>
      <c r="E560" s="14">
        <v>0</v>
      </c>
      <c r="F560" s="21">
        <v>39</v>
      </c>
      <c r="G560" s="2" t="s">
        <v>2100</v>
      </c>
      <c r="H560" s="23" t="s">
        <v>2101</v>
      </c>
      <c r="I560" s="101" t="s">
        <v>2102</v>
      </c>
      <c r="J560" s="2" t="s">
        <v>24</v>
      </c>
      <c r="K560" s="2" t="s">
        <v>23</v>
      </c>
      <c r="L560" s="9"/>
      <c r="M560" s="2" t="s">
        <v>24</v>
      </c>
      <c r="N560" s="2" t="s">
        <v>23</v>
      </c>
      <c r="O560" s="9"/>
      <c r="P560" s="26">
        <v>1</v>
      </c>
      <c r="Q560" s="99" t="s">
        <v>2103</v>
      </c>
      <c r="R560" s="2" t="s">
        <v>2085</v>
      </c>
    </row>
    <row r="561" spans="1:19" ht="15" customHeight="1">
      <c r="A561" s="21">
        <v>8</v>
      </c>
      <c r="B561" s="2" t="s">
        <v>1917</v>
      </c>
      <c r="C561" s="21">
        <v>0</v>
      </c>
      <c r="D561" s="2" t="s">
        <v>1918</v>
      </c>
      <c r="E561" s="14">
        <v>0</v>
      </c>
      <c r="F561" s="21">
        <v>40</v>
      </c>
      <c r="G561" s="2" t="s">
        <v>2104</v>
      </c>
      <c r="H561" s="23" t="s">
        <v>2105</v>
      </c>
      <c r="I561" s="101" t="s">
        <v>2106</v>
      </c>
      <c r="J561" s="2" t="s">
        <v>24</v>
      </c>
      <c r="K561" s="2" t="s">
        <v>23</v>
      </c>
      <c r="L561" s="9"/>
      <c r="M561" s="2" t="s">
        <v>24</v>
      </c>
      <c r="N561" s="2" t="s">
        <v>23</v>
      </c>
      <c r="O561" s="9"/>
      <c r="P561" s="26">
        <v>1</v>
      </c>
      <c r="Q561" s="99" t="s">
        <v>2107</v>
      </c>
    </row>
    <row r="562" spans="1:19" ht="15" customHeight="1">
      <c r="A562" s="21">
        <v>8</v>
      </c>
      <c r="B562" s="2" t="s">
        <v>1917</v>
      </c>
      <c r="C562" s="21">
        <v>0</v>
      </c>
      <c r="D562" s="2" t="s">
        <v>1918</v>
      </c>
      <c r="E562" s="14">
        <v>0</v>
      </c>
      <c r="F562" s="21">
        <v>41</v>
      </c>
      <c r="G562" s="2" t="s">
        <v>2108</v>
      </c>
      <c r="H562" s="23" t="s">
        <v>2109</v>
      </c>
      <c r="I562" s="101" t="s">
        <v>2110</v>
      </c>
      <c r="J562" s="2" t="s">
        <v>24</v>
      </c>
      <c r="K562" s="2" t="s">
        <v>23</v>
      </c>
      <c r="L562" s="9"/>
      <c r="M562" s="2" t="s">
        <v>24</v>
      </c>
      <c r="N562" s="2" t="s">
        <v>23</v>
      </c>
      <c r="O562" s="9"/>
      <c r="P562" s="26">
        <v>1</v>
      </c>
      <c r="Q562" s="99" t="s">
        <v>2111</v>
      </c>
    </row>
    <row r="563" spans="1:19" ht="15" customHeight="1">
      <c r="A563" s="21">
        <v>8</v>
      </c>
      <c r="B563" s="2" t="s">
        <v>1917</v>
      </c>
      <c r="C563" s="21">
        <v>0</v>
      </c>
      <c r="D563" s="2" t="s">
        <v>1918</v>
      </c>
      <c r="E563" s="14">
        <v>0</v>
      </c>
      <c r="F563" s="21">
        <v>42</v>
      </c>
      <c r="G563" s="2" t="s">
        <v>2112</v>
      </c>
      <c r="H563" s="23" t="s">
        <v>2113</v>
      </c>
      <c r="I563" s="101" t="s">
        <v>2114</v>
      </c>
      <c r="J563" s="2" t="s">
        <v>24</v>
      </c>
      <c r="K563" s="2" t="s">
        <v>116</v>
      </c>
      <c r="L563" s="9" t="s">
        <v>2075</v>
      </c>
      <c r="M563" s="2" t="s">
        <v>24</v>
      </c>
      <c r="N563" s="2" t="s">
        <v>116</v>
      </c>
      <c r="O563" s="9" t="s">
        <v>2075</v>
      </c>
      <c r="P563" s="26">
        <v>1</v>
      </c>
      <c r="Q563" s="99" t="s">
        <v>2115</v>
      </c>
    </row>
    <row r="564" spans="1:19" ht="15" customHeight="1">
      <c r="A564" s="21">
        <v>8</v>
      </c>
      <c r="B564" s="2" t="s">
        <v>1917</v>
      </c>
      <c r="C564" s="21">
        <v>0</v>
      </c>
      <c r="D564" s="2" t="s">
        <v>1918</v>
      </c>
      <c r="E564" s="14">
        <v>0</v>
      </c>
      <c r="F564" s="21">
        <v>43</v>
      </c>
      <c r="G564" s="2" t="s">
        <v>2116</v>
      </c>
      <c r="H564" s="23" t="s">
        <v>2117</v>
      </c>
      <c r="I564" s="101" t="s">
        <v>2118</v>
      </c>
      <c r="J564" s="2" t="s">
        <v>24</v>
      </c>
      <c r="K564" s="2" t="s">
        <v>116</v>
      </c>
      <c r="L564" s="16" t="s">
        <v>1949</v>
      </c>
      <c r="M564" s="2" t="s">
        <v>24</v>
      </c>
      <c r="N564" s="2" t="s">
        <v>116</v>
      </c>
      <c r="O564" s="16" t="s">
        <v>1949</v>
      </c>
      <c r="P564" s="26">
        <v>1</v>
      </c>
      <c r="Q564" s="99" t="s">
        <v>2119</v>
      </c>
    </row>
    <row r="565" spans="1:19" ht="15" customHeight="1">
      <c r="A565" s="21">
        <v>8</v>
      </c>
      <c r="B565" s="2" t="s">
        <v>1917</v>
      </c>
      <c r="C565" s="21">
        <v>0</v>
      </c>
      <c r="D565" s="2" t="s">
        <v>1918</v>
      </c>
      <c r="E565" s="14">
        <v>0</v>
      </c>
      <c r="F565" s="21">
        <v>44</v>
      </c>
      <c r="G565" s="2" t="s">
        <v>2120</v>
      </c>
      <c r="H565" s="23" t="s">
        <v>2121</v>
      </c>
      <c r="I565" s="101" t="s">
        <v>2122</v>
      </c>
      <c r="J565" s="2" t="s">
        <v>24</v>
      </c>
      <c r="K565" s="2" t="s">
        <v>23</v>
      </c>
      <c r="L565" s="9"/>
      <c r="M565" s="2" t="s">
        <v>24</v>
      </c>
      <c r="N565" s="2" t="s">
        <v>23</v>
      </c>
      <c r="O565" s="9"/>
      <c r="P565" s="26">
        <v>1</v>
      </c>
      <c r="Q565" s="99" t="s">
        <v>2123</v>
      </c>
      <c r="R565" s="2" t="s">
        <v>2085</v>
      </c>
    </row>
    <row r="566" spans="1:19" ht="15" customHeight="1">
      <c r="A566" s="21">
        <v>8</v>
      </c>
      <c r="B566" s="2" t="s">
        <v>1917</v>
      </c>
      <c r="C566" s="21">
        <v>0</v>
      </c>
      <c r="D566" s="2" t="s">
        <v>1918</v>
      </c>
      <c r="E566" s="14">
        <v>0</v>
      </c>
      <c r="F566" s="21">
        <v>45</v>
      </c>
      <c r="G566" s="2" t="s">
        <v>625</v>
      </c>
      <c r="H566" s="23" t="s">
        <v>2124</v>
      </c>
      <c r="I566" s="101" t="s">
        <v>2125</v>
      </c>
      <c r="J566" s="2" t="s">
        <v>23</v>
      </c>
      <c r="K566" s="2" t="s">
        <v>23</v>
      </c>
      <c r="L566" s="9"/>
      <c r="M566" s="2" t="s">
        <v>24</v>
      </c>
      <c r="N566" s="2" t="s">
        <v>23</v>
      </c>
      <c r="O566" s="2" t="s">
        <v>925</v>
      </c>
      <c r="P566" s="26">
        <v>1</v>
      </c>
      <c r="Q566" s="99" t="s">
        <v>2126</v>
      </c>
    </row>
    <row r="567" spans="1:19" ht="15" customHeight="1">
      <c r="A567" s="21">
        <v>8</v>
      </c>
      <c r="B567" s="2" t="s">
        <v>1917</v>
      </c>
      <c r="C567" s="21">
        <v>0</v>
      </c>
      <c r="D567" s="2" t="s">
        <v>1918</v>
      </c>
      <c r="E567" s="14">
        <v>0</v>
      </c>
      <c r="F567" s="21">
        <v>46</v>
      </c>
      <c r="G567" s="2" t="s">
        <v>8987</v>
      </c>
      <c r="H567" s="23" t="s">
        <v>8989</v>
      </c>
      <c r="I567" s="101" t="s">
        <v>8990</v>
      </c>
      <c r="J567" s="2" t="s">
        <v>24</v>
      </c>
      <c r="K567" s="2" t="s">
        <v>25</v>
      </c>
      <c r="L567" s="2" t="s">
        <v>2023</v>
      </c>
      <c r="M567" s="2" t="s">
        <v>24</v>
      </c>
      <c r="N567" s="2" t="s">
        <v>25</v>
      </c>
      <c r="O567" s="2" t="s">
        <v>2023</v>
      </c>
      <c r="P567" s="26">
        <v>1</v>
      </c>
      <c r="Q567" s="99" t="s">
        <v>8988</v>
      </c>
    </row>
    <row r="568" spans="1:19" ht="15" customHeight="1">
      <c r="A568" s="21">
        <v>8</v>
      </c>
      <c r="B568" s="2" t="s">
        <v>1917</v>
      </c>
      <c r="C568" s="21">
        <v>0</v>
      </c>
      <c r="D568" s="2" t="s">
        <v>1918</v>
      </c>
      <c r="E568" s="14">
        <v>0</v>
      </c>
      <c r="F568" s="21">
        <v>47</v>
      </c>
      <c r="G568" s="2" t="s">
        <v>9200</v>
      </c>
      <c r="H568" s="23" t="s">
        <v>9468</v>
      </c>
      <c r="I568" s="101" t="s">
        <v>9469</v>
      </c>
      <c r="J568" s="2" t="s">
        <v>23</v>
      </c>
      <c r="K568" s="2" t="s">
        <v>23</v>
      </c>
      <c r="L568" s="16"/>
      <c r="M568" s="2" t="s">
        <v>8100</v>
      </c>
      <c r="N568" s="2" t="s">
        <v>9287</v>
      </c>
      <c r="O568" s="16" t="s">
        <v>9469</v>
      </c>
      <c r="P568" s="26">
        <v>1</v>
      </c>
      <c r="Q568" s="99" t="s">
        <v>9473</v>
      </c>
    </row>
    <row r="569" spans="1:19" ht="15" customHeight="1">
      <c r="A569" s="21">
        <v>8</v>
      </c>
      <c r="B569" s="2" t="s">
        <v>1917</v>
      </c>
      <c r="C569" s="21">
        <v>1</v>
      </c>
      <c r="D569" s="2" t="s">
        <v>2127</v>
      </c>
      <c r="E569" s="14">
        <v>0</v>
      </c>
      <c r="F569" s="21">
        <v>0</v>
      </c>
      <c r="G569" s="2" t="s">
        <v>20</v>
      </c>
      <c r="H569" s="23" t="s">
        <v>2128</v>
      </c>
      <c r="I569" s="34" t="s">
        <v>2129</v>
      </c>
      <c r="J569" s="2" t="s">
        <v>23</v>
      </c>
      <c r="K569" s="2" t="s">
        <v>23</v>
      </c>
      <c r="M569" s="2" t="s">
        <v>24</v>
      </c>
      <c r="N569" s="2" t="s">
        <v>25</v>
      </c>
      <c r="O569" s="5" t="s">
        <v>26</v>
      </c>
      <c r="P569" s="7">
        <v>1</v>
      </c>
      <c r="Q569" s="28" t="s">
        <v>2130</v>
      </c>
      <c r="S569" s="2" t="s">
        <v>2131</v>
      </c>
    </row>
    <row r="570" spans="1:19" ht="15" customHeight="1">
      <c r="A570" s="21">
        <v>8</v>
      </c>
      <c r="B570" s="2" t="s">
        <v>1917</v>
      </c>
      <c r="C570" s="21">
        <v>1</v>
      </c>
      <c r="D570" s="2" t="s">
        <v>2127</v>
      </c>
      <c r="E570" s="14">
        <v>0</v>
      </c>
      <c r="F570" s="21">
        <v>1</v>
      </c>
      <c r="G570" s="2" t="s">
        <v>2132</v>
      </c>
      <c r="H570" s="23" t="s">
        <v>2133</v>
      </c>
      <c r="I570" s="101" t="s">
        <v>2134</v>
      </c>
      <c r="J570" s="2" t="s">
        <v>24</v>
      </c>
      <c r="K570" s="2" t="s">
        <v>116</v>
      </c>
      <c r="L570" s="9" t="s">
        <v>2134</v>
      </c>
      <c r="M570" s="2" t="s">
        <v>24</v>
      </c>
      <c r="N570" s="2" t="s">
        <v>116</v>
      </c>
      <c r="O570" s="9" t="s">
        <v>2134</v>
      </c>
      <c r="P570" s="7">
        <v>1</v>
      </c>
      <c r="Q570" s="99" t="s">
        <v>2132</v>
      </c>
      <c r="R570" s="2" t="s">
        <v>2135</v>
      </c>
      <c r="S570" s="2" t="s">
        <v>2131</v>
      </c>
    </row>
    <row r="571" spans="1:19" ht="15" customHeight="1">
      <c r="A571" s="21">
        <v>8</v>
      </c>
      <c r="B571" s="2" t="s">
        <v>1917</v>
      </c>
      <c r="C571" s="21">
        <v>1</v>
      </c>
      <c r="D571" s="2" t="s">
        <v>2127</v>
      </c>
      <c r="E571" s="14">
        <v>0</v>
      </c>
      <c r="F571" s="21">
        <v>2</v>
      </c>
      <c r="G571" s="2" t="s">
        <v>2136</v>
      </c>
      <c r="H571" s="23" t="s">
        <v>2137</v>
      </c>
      <c r="I571" s="101" t="s">
        <v>2138</v>
      </c>
      <c r="J571" s="2" t="s">
        <v>24</v>
      </c>
      <c r="K571" s="2" t="s">
        <v>206</v>
      </c>
      <c r="L571" t="s">
        <v>330</v>
      </c>
      <c r="M571" s="2" t="s">
        <v>24</v>
      </c>
      <c r="N571" s="2" t="s">
        <v>206</v>
      </c>
      <c r="O571" t="s">
        <v>330</v>
      </c>
      <c r="P571" s="7">
        <v>1</v>
      </c>
      <c r="Q571" s="99" t="s">
        <v>2139</v>
      </c>
      <c r="R571" s="2" t="s">
        <v>2140</v>
      </c>
      <c r="S571" s="2" t="s">
        <v>2131</v>
      </c>
    </row>
    <row r="572" spans="1:19" ht="15" customHeight="1">
      <c r="A572" s="21">
        <v>8</v>
      </c>
      <c r="B572" s="2" t="s">
        <v>1917</v>
      </c>
      <c r="C572" s="21">
        <v>1</v>
      </c>
      <c r="D572" s="2" t="s">
        <v>2127</v>
      </c>
      <c r="E572" s="14">
        <v>0</v>
      </c>
      <c r="F572" s="21">
        <v>3</v>
      </c>
      <c r="G572" s="2" t="s">
        <v>2141</v>
      </c>
      <c r="H572" s="23" t="s">
        <v>2142</v>
      </c>
      <c r="I572" s="101" t="s">
        <v>2143</v>
      </c>
      <c r="J572" s="2" t="s">
        <v>23</v>
      </c>
      <c r="K572" s="2" t="s">
        <v>23</v>
      </c>
      <c r="M572" s="2" t="s">
        <v>24</v>
      </c>
      <c r="N572" s="2" t="s">
        <v>25</v>
      </c>
      <c r="O572" t="s">
        <v>2144</v>
      </c>
      <c r="P572" s="7">
        <v>1</v>
      </c>
      <c r="Q572" s="99" t="s">
        <v>2145</v>
      </c>
      <c r="R572" s="2" t="s">
        <v>2146</v>
      </c>
      <c r="S572" s="2" t="s">
        <v>2131</v>
      </c>
    </row>
    <row r="573" spans="1:19" ht="15" customHeight="1">
      <c r="A573" s="21">
        <v>8</v>
      </c>
      <c r="B573" s="2" t="s">
        <v>1917</v>
      </c>
      <c r="C573" s="21">
        <v>1</v>
      </c>
      <c r="D573" s="2" t="s">
        <v>2127</v>
      </c>
      <c r="E573" s="14">
        <v>0</v>
      </c>
      <c r="F573" s="21">
        <v>4</v>
      </c>
      <c r="G573" s="2" t="s">
        <v>2147</v>
      </c>
      <c r="H573" s="23" t="s">
        <v>2148</v>
      </c>
      <c r="I573" s="101" t="s">
        <v>2149</v>
      </c>
      <c r="J573" s="2" t="s">
        <v>23</v>
      </c>
      <c r="K573" s="2" t="s">
        <v>23</v>
      </c>
      <c r="M573" s="2" t="s">
        <v>24</v>
      </c>
      <c r="N573" s="2" t="s">
        <v>25</v>
      </c>
      <c r="O573" t="s">
        <v>2150</v>
      </c>
      <c r="P573" s="7">
        <v>1</v>
      </c>
      <c r="Q573" s="99" t="s">
        <v>2151</v>
      </c>
      <c r="R573" s="2" t="s">
        <v>2152</v>
      </c>
      <c r="S573" s="2" t="s">
        <v>2131</v>
      </c>
    </row>
    <row r="574" spans="1:19" ht="15" customHeight="1">
      <c r="A574" s="21">
        <v>8</v>
      </c>
      <c r="B574" s="2" t="s">
        <v>1917</v>
      </c>
      <c r="C574" s="21">
        <v>1</v>
      </c>
      <c r="D574" s="2" t="s">
        <v>2127</v>
      </c>
      <c r="E574" s="14">
        <v>0</v>
      </c>
      <c r="F574" s="21">
        <v>5</v>
      </c>
      <c r="G574" s="2" t="s">
        <v>2153</v>
      </c>
      <c r="H574" s="23" t="s">
        <v>2154</v>
      </c>
      <c r="I574" s="101" t="s">
        <v>2155</v>
      </c>
      <c r="J574" s="2" t="s">
        <v>24</v>
      </c>
      <c r="K574" s="2" t="s">
        <v>25</v>
      </c>
      <c r="L574" t="s">
        <v>2156</v>
      </c>
      <c r="M574" s="2" t="s">
        <v>24</v>
      </c>
      <c r="N574" s="2" t="s">
        <v>25</v>
      </c>
      <c r="O574" t="s">
        <v>2156</v>
      </c>
      <c r="P574" s="7">
        <v>1</v>
      </c>
      <c r="Q574" s="99" t="s">
        <v>2157</v>
      </c>
      <c r="R574" s="2" t="s">
        <v>2158</v>
      </c>
      <c r="S574" s="2" t="s">
        <v>2131</v>
      </c>
    </row>
    <row r="575" spans="1:19" ht="15" customHeight="1">
      <c r="A575" s="21">
        <v>8</v>
      </c>
      <c r="B575" s="2" t="s">
        <v>1917</v>
      </c>
      <c r="C575" s="21">
        <v>1</v>
      </c>
      <c r="D575" s="2" t="s">
        <v>2127</v>
      </c>
      <c r="E575" s="14">
        <v>0</v>
      </c>
      <c r="F575" s="21">
        <v>6</v>
      </c>
      <c r="G575" s="2" t="s">
        <v>2159</v>
      </c>
      <c r="H575" s="23" t="s">
        <v>2160</v>
      </c>
      <c r="I575" s="101" t="s">
        <v>2161</v>
      </c>
      <c r="J575" s="2" t="s">
        <v>23</v>
      </c>
      <c r="K575" s="2" t="s">
        <v>23</v>
      </c>
      <c r="M575" s="2" t="s">
        <v>24</v>
      </c>
      <c r="N575" s="2" t="s">
        <v>25</v>
      </c>
      <c r="O575" t="s">
        <v>2162</v>
      </c>
      <c r="P575" s="7">
        <v>1</v>
      </c>
      <c r="Q575" s="99" t="s">
        <v>2163</v>
      </c>
      <c r="R575" s="2" t="s">
        <v>2164</v>
      </c>
      <c r="S575" s="2" t="s">
        <v>2131</v>
      </c>
    </row>
    <row r="576" spans="1:19" ht="15" customHeight="1">
      <c r="A576" s="21">
        <v>8</v>
      </c>
      <c r="B576" s="2" t="s">
        <v>1917</v>
      </c>
      <c r="C576" s="21">
        <v>1</v>
      </c>
      <c r="D576" s="2" t="s">
        <v>2127</v>
      </c>
      <c r="E576" s="14">
        <v>0</v>
      </c>
      <c r="F576" s="21">
        <v>7</v>
      </c>
      <c r="G576" s="2" t="s">
        <v>2165</v>
      </c>
      <c r="H576" s="23" t="s">
        <v>2166</v>
      </c>
      <c r="I576" s="101" t="s">
        <v>2167</v>
      </c>
      <c r="J576" s="2" t="s">
        <v>23</v>
      </c>
      <c r="K576" s="2" t="s">
        <v>23</v>
      </c>
      <c r="M576" s="2" t="s">
        <v>24</v>
      </c>
      <c r="N576" s="2" t="s">
        <v>25</v>
      </c>
      <c r="O576" t="s">
        <v>2150</v>
      </c>
      <c r="P576" s="7">
        <v>1</v>
      </c>
      <c r="Q576" s="99" t="s">
        <v>2168</v>
      </c>
      <c r="R576" s="2" t="s">
        <v>2169</v>
      </c>
      <c r="S576" s="2" t="s">
        <v>2131</v>
      </c>
    </row>
    <row r="577" spans="1:19" ht="15" customHeight="1">
      <c r="A577" s="21">
        <v>8</v>
      </c>
      <c r="B577" s="2" t="s">
        <v>1917</v>
      </c>
      <c r="C577" s="21">
        <v>1</v>
      </c>
      <c r="D577" s="2" t="s">
        <v>2127</v>
      </c>
      <c r="E577" s="14">
        <v>0</v>
      </c>
      <c r="F577" s="21">
        <v>8</v>
      </c>
      <c r="G577" s="2" t="s">
        <v>2170</v>
      </c>
      <c r="H577" s="23" t="s">
        <v>2171</v>
      </c>
      <c r="I577" s="101" t="s">
        <v>2172</v>
      </c>
      <c r="J577" s="2" t="s">
        <v>23</v>
      </c>
      <c r="K577" s="2" t="s">
        <v>23</v>
      </c>
      <c r="M577" s="2" t="s">
        <v>24</v>
      </c>
      <c r="N577" s="2" t="s">
        <v>25</v>
      </c>
      <c r="O577" t="s">
        <v>2150</v>
      </c>
      <c r="P577" s="7">
        <v>1</v>
      </c>
      <c r="Q577" s="99" t="s">
        <v>2173</v>
      </c>
      <c r="R577" s="2" t="s">
        <v>2174</v>
      </c>
      <c r="S577" s="2" t="s">
        <v>2131</v>
      </c>
    </row>
    <row r="578" spans="1:19" ht="15" customHeight="1">
      <c r="A578" s="21">
        <v>8</v>
      </c>
      <c r="B578" s="2" t="s">
        <v>1917</v>
      </c>
      <c r="C578" s="21">
        <v>1</v>
      </c>
      <c r="D578" s="2" t="s">
        <v>2127</v>
      </c>
      <c r="E578" s="14">
        <v>0</v>
      </c>
      <c r="F578" s="21">
        <v>9</v>
      </c>
      <c r="G578" s="2" t="s">
        <v>2175</v>
      </c>
      <c r="H578" s="23" t="s">
        <v>2176</v>
      </c>
      <c r="I578" s="101" t="s">
        <v>2177</v>
      </c>
      <c r="J578" s="2" t="s">
        <v>23</v>
      </c>
      <c r="K578" s="2" t="s">
        <v>23</v>
      </c>
      <c r="M578" s="2" t="s">
        <v>24</v>
      </c>
      <c r="N578" s="2" t="s">
        <v>25</v>
      </c>
      <c r="O578" t="s">
        <v>2150</v>
      </c>
      <c r="P578" s="7">
        <v>1</v>
      </c>
      <c r="Q578" s="99" t="s">
        <v>2178</v>
      </c>
      <c r="R578" s="2" t="s">
        <v>2179</v>
      </c>
      <c r="S578" s="2" t="s">
        <v>2131</v>
      </c>
    </row>
    <row r="579" spans="1:19" ht="15" customHeight="1">
      <c r="A579" s="21">
        <v>8</v>
      </c>
      <c r="B579" s="2" t="s">
        <v>1917</v>
      </c>
      <c r="C579" s="21">
        <v>1</v>
      </c>
      <c r="D579" s="2" t="s">
        <v>2127</v>
      </c>
      <c r="E579" s="14">
        <v>0</v>
      </c>
      <c r="F579" s="21">
        <v>10</v>
      </c>
      <c r="G579" s="2" t="s">
        <v>2180</v>
      </c>
      <c r="H579" s="23" t="s">
        <v>2181</v>
      </c>
      <c r="I579" s="101" t="s">
        <v>2182</v>
      </c>
      <c r="J579" s="2" t="s">
        <v>24</v>
      </c>
      <c r="K579" s="2" t="s">
        <v>116</v>
      </c>
      <c r="L579" s="9" t="s">
        <v>2054</v>
      </c>
      <c r="M579" s="2" t="s">
        <v>24</v>
      </c>
      <c r="N579" s="2" t="s">
        <v>116</v>
      </c>
      <c r="O579" s="9" t="s">
        <v>2054</v>
      </c>
      <c r="P579" s="7">
        <v>1</v>
      </c>
      <c r="Q579" s="99" t="s">
        <v>2183</v>
      </c>
      <c r="R579" s="2" t="s">
        <v>2184</v>
      </c>
    </row>
    <row r="580" spans="1:19" ht="15" customHeight="1">
      <c r="A580" s="21">
        <v>8</v>
      </c>
      <c r="B580" s="2" t="s">
        <v>1917</v>
      </c>
      <c r="C580" s="21">
        <v>1</v>
      </c>
      <c r="D580" s="2" t="s">
        <v>2127</v>
      </c>
      <c r="E580" s="14">
        <v>0</v>
      </c>
      <c r="F580" s="21">
        <v>11</v>
      </c>
      <c r="G580" s="2" t="s">
        <v>2185</v>
      </c>
      <c r="H580" s="23" t="s">
        <v>2186</v>
      </c>
      <c r="I580" s="101" t="s">
        <v>2187</v>
      </c>
      <c r="J580" s="2" t="s">
        <v>24</v>
      </c>
      <c r="K580" s="2" t="s">
        <v>116</v>
      </c>
      <c r="L580" s="9" t="s">
        <v>2054</v>
      </c>
      <c r="M580" s="2" t="s">
        <v>24</v>
      </c>
      <c r="N580" s="2" t="s">
        <v>116</v>
      </c>
      <c r="O580" s="9" t="s">
        <v>2054</v>
      </c>
      <c r="P580" s="7">
        <v>1</v>
      </c>
      <c r="Q580" s="99" t="s">
        <v>2188</v>
      </c>
      <c r="R580" s="2" t="s">
        <v>2189</v>
      </c>
      <c r="S580" s="2" t="s">
        <v>2190</v>
      </c>
    </row>
    <row r="581" spans="1:19" ht="15" customHeight="1">
      <c r="A581" s="21">
        <v>8</v>
      </c>
      <c r="B581" s="2" t="s">
        <v>1917</v>
      </c>
      <c r="C581" s="21">
        <v>2</v>
      </c>
      <c r="D581" s="2" t="s">
        <v>2191</v>
      </c>
      <c r="E581" s="14">
        <v>0</v>
      </c>
      <c r="F581" s="21">
        <v>0</v>
      </c>
      <c r="G581" s="2" t="s">
        <v>20</v>
      </c>
      <c r="H581" s="23" t="s">
        <v>2192</v>
      </c>
      <c r="I581" s="34" t="s">
        <v>2193</v>
      </c>
      <c r="J581" s="2" t="s">
        <v>23</v>
      </c>
      <c r="K581" s="2" t="s">
        <v>23</v>
      </c>
      <c r="M581" s="2" t="s">
        <v>24</v>
      </c>
      <c r="N581" s="2" t="s">
        <v>25</v>
      </c>
      <c r="O581" s="27" t="s">
        <v>26</v>
      </c>
      <c r="P581" s="26">
        <v>1</v>
      </c>
      <c r="Q581" s="1" t="s">
        <v>2194</v>
      </c>
      <c r="S581" s="2" t="s">
        <v>2190</v>
      </c>
    </row>
    <row r="582" spans="1:19" ht="15" customHeight="1">
      <c r="A582" s="21">
        <v>8</v>
      </c>
      <c r="B582" s="2" t="s">
        <v>1917</v>
      </c>
      <c r="C582" s="21">
        <v>2</v>
      </c>
      <c r="D582" s="2" t="s">
        <v>2191</v>
      </c>
      <c r="E582" s="14">
        <v>0</v>
      </c>
      <c r="F582" s="21">
        <v>1</v>
      </c>
      <c r="G582" s="2" t="s">
        <v>2195</v>
      </c>
      <c r="H582" s="23" t="s">
        <v>2196</v>
      </c>
      <c r="I582" s="101" t="s">
        <v>2197</v>
      </c>
      <c r="J582" s="2" t="s">
        <v>24</v>
      </c>
      <c r="K582" s="2" t="s">
        <v>23</v>
      </c>
      <c r="L582" s="2" t="s">
        <v>2198</v>
      </c>
      <c r="M582" s="2" t="s">
        <v>24</v>
      </c>
      <c r="N582" s="2" t="s">
        <v>23</v>
      </c>
      <c r="O582" s="2" t="s">
        <v>2198</v>
      </c>
      <c r="P582" s="7">
        <v>1</v>
      </c>
      <c r="Q582" s="99" t="s">
        <v>2199</v>
      </c>
      <c r="R582" s="2" t="s">
        <v>2200</v>
      </c>
      <c r="S582" s="2" t="s">
        <v>2190</v>
      </c>
    </row>
    <row r="583" spans="1:19" ht="15" customHeight="1">
      <c r="A583" s="21">
        <v>8</v>
      </c>
      <c r="B583" s="2" t="s">
        <v>1917</v>
      </c>
      <c r="C583" s="21">
        <v>2</v>
      </c>
      <c r="D583" s="2" t="s">
        <v>2191</v>
      </c>
      <c r="E583" s="14">
        <v>0</v>
      </c>
      <c r="F583" s="21">
        <v>2</v>
      </c>
      <c r="G583" s="2" t="s">
        <v>2201</v>
      </c>
      <c r="H583" s="23" t="s">
        <v>2202</v>
      </c>
      <c r="I583" s="101" t="s">
        <v>2203</v>
      </c>
      <c r="J583" s="2" t="s">
        <v>24</v>
      </c>
      <c r="K583" s="2" t="s">
        <v>2204</v>
      </c>
      <c r="L583" s="2" t="s">
        <v>2205</v>
      </c>
      <c r="M583" s="2" t="s">
        <v>24</v>
      </c>
      <c r="N583" s="2" t="s">
        <v>2204</v>
      </c>
      <c r="O583" s="2" t="s">
        <v>2205</v>
      </c>
      <c r="P583" s="7">
        <v>1</v>
      </c>
      <c r="Q583" s="99" t="s">
        <v>2206</v>
      </c>
      <c r="R583" s="2" t="s">
        <v>2207</v>
      </c>
      <c r="S583" s="2" t="s">
        <v>2190</v>
      </c>
    </row>
    <row r="584" spans="1:19" ht="15" customHeight="1">
      <c r="A584" s="21">
        <v>8</v>
      </c>
      <c r="B584" s="2" t="s">
        <v>1917</v>
      </c>
      <c r="C584" s="21">
        <v>2</v>
      </c>
      <c r="D584" s="2" t="s">
        <v>2191</v>
      </c>
      <c r="E584" s="14">
        <v>0</v>
      </c>
      <c r="F584" s="21">
        <v>3</v>
      </c>
      <c r="G584" s="2" t="s">
        <v>2208</v>
      </c>
      <c r="H584" s="23" t="s">
        <v>2209</v>
      </c>
      <c r="I584" s="101" t="s">
        <v>2210</v>
      </c>
      <c r="J584" s="2" t="s">
        <v>24</v>
      </c>
      <c r="K584" s="2" t="s">
        <v>2204</v>
      </c>
      <c r="L584" s="2" t="s">
        <v>2205</v>
      </c>
      <c r="M584" s="2" t="s">
        <v>24</v>
      </c>
      <c r="N584" s="2" t="s">
        <v>2204</v>
      </c>
      <c r="O584" s="2" t="s">
        <v>2205</v>
      </c>
      <c r="P584" s="7">
        <v>1</v>
      </c>
      <c r="Q584" s="99" t="s">
        <v>2211</v>
      </c>
      <c r="R584" s="2" t="s">
        <v>2212</v>
      </c>
      <c r="S584" s="2" t="s">
        <v>2190</v>
      </c>
    </row>
    <row r="585" spans="1:19" ht="15" customHeight="1">
      <c r="A585" s="21">
        <v>8</v>
      </c>
      <c r="B585" s="2" t="s">
        <v>1917</v>
      </c>
      <c r="C585" s="21">
        <v>2</v>
      </c>
      <c r="D585" s="2" t="s">
        <v>2191</v>
      </c>
      <c r="E585" s="14">
        <v>0</v>
      </c>
      <c r="F585" s="21">
        <v>4</v>
      </c>
      <c r="G585" s="2" t="s">
        <v>2213</v>
      </c>
      <c r="H585" s="23" t="s">
        <v>2214</v>
      </c>
      <c r="I585" s="101" t="s">
        <v>2215</v>
      </c>
      <c r="J585" s="2" t="s">
        <v>24</v>
      </c>
      <c r="K585" s="2" t="s">
        <v>2204</v>
      </c>
      <c r="L585" s="2" t="s">
        <v>2205</v>
      </c>
      <c r="M585" s="2" t="s">
        <v>24</v>
      </c>
      <c r="N585" s="2" t="s">
        <v>2204</v>
      </c>
      <c r="O585" s="2" t="s">
        <v>2205</v>
      </c>
      <c r="P585" s="7">
        <v>1</v>
      </c>
      <c r="Q585" s="99" t="s">
        <v>2216</v>
      </c>
      <c r="R585" s="2" t="s">
        <v>2217</v>
      </c>
      <c r="S585" s="2" t="s">
        <v>2190</v>
      </c>
    </row>
    <row r="586" spans="1:19" ht="15" customHeight="1">
      <c r="A586" s="21">
        <v>8</v>
      </c>
      <c r="B586" s="2" t="s">
        <v>1917</v>
      </c>
      <c r="C586" s="21">
        <v>2</v>
      </c>
      <c r="D586" s="2" t="s">
        <v>2191</v>
      </c>
      <c r="E586" s="14">
        <v>0</v>
      </c>
      <c r="F586" s="21">
        <v>5</v>
      </c>
      <c r="G586" s="2" t="s">
        <v>2218</v>
      </c>
      <c r="H586" s="23" t="s">
        <v>2219</v>
      </c>
      <c r="I586" s="101" t="s">
        <v>2220</v>
      </c>
      <c r="J586" s="2" t="s">
        <v>23</v>
      </c>
      <c r="K586" s="2" t="s">
        <v>23</v>
      </c>
      <c r="M586" s="2" t="s">
        <v>24</v>
      </c>
      <c r="N586" s="2" t="s">
        <v>2204</v>
      </c>
      <c r="O586" s="2" t="s">
        <v>2205</v>
      </c>
      <c r="P586" s="7">
        <v>1</v>
      </c>
      <c r="Q586" s="99" t="s">
        <v>2221</v>
      </c>
      <c r="R586" s="2" t="s">
        <v>2222</v>
      </c>
    </row>
    <row r="587" spans="1:19" ht="15" customHeight="1">
      <c r="A587" s="21">
        <v>8</v>
      </c>
      <c r="B587" s="2" t="s">
        <v>1917</v>
      </c>
      <c r="C587" s="21">
        <v>2</v>
      </c>
      <c r="D587" s="2" t="s">
        <v>2191</v>
      </c>
      <c r="E587" s="14">
        <v>0</v>
      </c>
      <c r="F587" s="21">
        <v>6</v>
      </c>
      <c r="G587" s="2" t="s">
        <v>2223</v>
      </c>
      <c r="H587" s="23" t="s">
        <v>2224</v>
      </c>
      <c r="I587" s="101" t="s">
        <v>2225</v>
      </c>
      <c r="J587" s="2" t="s">
        <v>24</v>
      </c>
      <c r="K587" s="2" t="s">
        <v>116</v>
      </c>
      <c r="L587" s="16" t="s">
        <v>2225</v>
      </c>
      <c r="M587" s="2" t="s">
        <v>24</v>
      </c>
      <c r="N587" s="2" t="s">
        <v>116</v>
      </c>
      <c r="O587" s="16" t="s">
        <v>2225</v>
      </c>
      <c r="P587" s="7">
        <v>1</v>
      </c>
      <c r="Q587" s="99" t="s">
        <v>2226</v>
      </c>
      <c r="S587" s="2" t="s">
        <v>2190</v>
      </c>
    </row>
    <row r="588" spans="1:19" ht="15" customHeight="1">
      <c r="A588" s="72"/>
      <c r="C588" s="72"/>
      <c r="E588" s="86"/>
      <c r="F588" s="72"/>
      <c r="H588" s="87" t="s">
        <v>234</v>
      </c>
      <c r="I588" s="105"/>
      <c r="L588" s="16"/>
      <c r="O588" s="16"/>
      <c r="P588" s="7"/>
      <c r="Q588" s="99"/>
      <c r="S588" s="2" t="s">
        <v>2190</v>
      </c>
    </row>
    <row r="589" spans="1:19" ht="15" customHeight="1">
      <c r="A589" s="21">
        <v>9</v>
      </c>
      <c r="B589" s="2" t="s">
        <v>2227</v>
      </c>
      <c r="C589" s="21">
        <v>0</v>
      </c>
      <c r="D589" s="2" t="s">
        <v>2228</v>
      </c>
      <c r="E589" s="14">
        <v>0</v>
      </c>
      <c r="F589" s="21">
        <v>0</v>
      </c>
      <c r="G589" s="2" t="s">
        <v>20</v>
      </c>
      <c r="H589" s="23" t="s">
        <v>2229</v>
      </c>
      <c r="I589" s="34" t="s">
        <v>2230</v>
      </c>
      <c r="J589" s="2" t="s">
        <v>23</v>
      </c>
      <c r="K589" s="2" t="s">
        <v>23</v>
      </c>
      <c r="M589" s="2" t="s">
        <v>24</v>
      </c>
      <c r="N589" s="2" t="s">
        <v>25</v>
      </c>
      <c r="O589" s="5" t="s">
        <v>26</v>
      </c>
      <c r="P589" s="7">
        <v>1</v>
      </c>
      <c r="Q589" s="1" t="s">
        <v>2231</v>
      </c>
      <c r="S589" s="2" t="s">
        <v>2190</v>
      </c>
    </row>
    <row r="590" spans="1:19" ht="15" customHeight="1">
      <c r="A590" s="21">
        <v>9</v>
      </c>
      <c r="B590" s="2" t="s">
        <v>2227</v>
      </c>
      <c r="C590" s="21">
        <v>0</v>
      </c>
      <c r="D590" s="2" t="s">
        <v>2228</v>
      </c>
      <c r="E590" s="14">
        <v>0</v>
      </c>
      <c r="F590" s="21">
        <v>1</v>
      </c>
      <c r="G590" s="2" t="s">
        <v>240</v>
      </c>
      <c r="H590" s="23" t="s">
        <v>2232</v>
      </c>
      <c r="I590" s="101" t="s">
        <v>2233</v>
      </c>
      <c r="J590" s="2" t="s">
        <v>23</v>
      </c>
      <c r="K590" s="2" t="s">
        <v>23</v>
      </c>
      <c r="M590" s="2" t="s">
        <v>24</v>
      </c>
      <c r="N590" s="2" t="s">
        <v>133</v>
      </c>
      <c r="P590" s="7">
        <v>1</v>
      </c>
      <c r="Q590" s="99" t="s">
        <v>2234</v>
      </c>
      <c r="R590" s="6" t="s">
        <v>2235</v>
      </c>
      <c r="S590" s="2" t="s">
        <v>2236</v>
      </c>
    </row>
    <row r="591" spans="1:19" ht="15" customHeight="1">
      <c r="A591" s="21">
        <v>9</v>
      </c>
      <c r="B591" s="2" t="s">
        <v>2227</v>
      </c>
      <c r="C591" s="21">
        <v>0</v>
      </c>
      <c r="D591" s="2" t="s">
        <v>2228</v>
      </c>
      <c r="E591" s="14">
        <v>0</v>
      </c>
      <c r="F591" s="21">
        <v>2</v>
      </c>
      <c r="G591" s="2" t="s">
        <v>2237</v>
      </c>
      <c r="H591" s="23" t="s">
        <v>2238</v>
      </c>
      <c r="I591" s="101" t="s">
        <v>2239</v>
      </c>
      <c r="J591" s="2" t="s">
        <v>23</v>
      </c>
      <c r="K591" s="2" t="s">
        <v>23</v>
      </c>
      <c r="M591" s="2" t="s">
        <v>24</v>
      </c>
      <c r="N591" s="2" t="s">
        <v>263</v>
      </c>
      <c r="P591" s="7">
        <v>1</v>
      </c>
      <c r="Q591" s="99" t="s">
        <v>2240</v>
      </c>
      <c r="R591" s="6" t="s">
        <v>2241</v>
      </c>
      <c r="S591" s="2" t="s">
        <v>2236</v>
      </c>
    </row>
    <row r="592" spans="1:19" ht="15" customHeight="1">
      <c r="A592" s="21">
        <v>9</v>
      </c>
      <c r="B592" s="2" t="s">
        <v>2227</v>
      </c>
      <c r="C592" s="21">
        <v>0</v>
      </c>
      <c r="D592" s="2" t="s">
        <v>2228</v>
      </c>
      <c r="E592" s="14">
        <v>0</v>
      </c>
      <c r="F592" s="21">
        <v>3</v>
      </c>
      <c r="G592" s="2" t="s">
        <v>2242</v>
      </c>
      <c r="H592" s="23" t="s">
        <v>2243</v>
      </c>
      <c r="I592" s="101" t="s">
        <v>2244</v>
      </c>
      <c r="J592" s="2" t="s">
        <v>23</v>
      </c>
      <c r="K592" s="2" t="s">
        <v>23</v>
      </c>
      <c r="M592" s="2" t="s">
        <v>24</v>
      </c>
      <c r="N592" s="2" t="s">
        <v>206</v>
      </c>
      <c r="P592" s="7">
        <v>1</v>
      </c>
      <c r="Q592" s="99" t="s">
        <v>2245</v>
      </c>
      <c r="R592" s="6" t="s">
        <v>2246</v>
      </c>
    </row>
    <row r="593" spans="1:19" ht="15" customHeight="1">
      <c r="A593" s="21">
        <v>9</v>
      </c>
      <c r="B593" s="2" t="s">
        <v>2227</v>
      </c>
      <c r="C593" s="21">
        <v>0</v>
      </c>
      <c r="D593" s="2" t="s">
        <v>2228</v>
      </c>
      <c r="E593" s="14">
        <v>0</v>
      </c>
      <c r="F593" s="21">
        <v>4</v>
      </c>
      <c r="G593" s="2" t="s">
        <v>2247</v>
      </c>
      <c r="H593" s="23" t="s">
        <v>2248</v>
      </c>
      <c r="I593" s="101" t="s">
        <v>2249</v>
      </c>
      <c r="J593" s="2" t="s">
        <v>23</v>
      </c>
      <c r="K593" s="2" t="s">
        <v>23</v>
      </c>
      <c r="M593" s="2" t="s">
        <v>24</v>
      </c>
      <c r="N593" s="2" t="s">
        <v>23</v>
      </c>
      <c r="P593" s="7">
        <v>1</v>
      </c>
      <c r="Q593" s="99" t="s">
        <v>2250</v>
      </c>
      <c r="R593" s="6" t="s">
        <v>2251</v>
      </c>
    </row>
    <row r="594" spans="1:19" ht="15" customHeight="1">
      <c r="A594" s="21">
        <v>9</v>
      </c>
      <c r="B594" s="2" t="s">
        <v>2227</v>
      </c>
      <c r="C594" s="21">
        <v>0</v>
      </c>
      <c r="D594" s="2" t="s">
        <v>2228</v>
      </c>
      <c r="E594" s="14">
        <v>0</v>
      </c>
      <c r="F594" s="21">
        <v>5</v>
      </c>
      <c r="G594" s="2" t="s">
        <v>2252</v>
      </c>
      <c r="H594" s="23" t="s">
        <v>2253</v>
      </c>
      <c r="I594" s="101" t="s">
        <v>2254</v>
      </c>
      <c r="J594" s="2" t="s">
        <v>23</v>
      </c>
      <c r="K594" s="2" t="s">
        <v>23</v>
      </c>
      <c r="M594" s="2" t="s">
        <v>24</v>
      </c>
      <c r="N594" s="2" t="s">
        <v>23</v>
      </c>
      <c r="P594" s="7">
        <v>1</v>
      </c>
      <c r="Q594" s="99" t="s">
        <v>2255</v>
      </c>
      <c r="R594" s="6" t="s">
        <v>2256</v>
      </c>
    </row>
    <row r="595" spans="1:19" ht="15" customHeight="1">
      <c r="A595" s="21">
        <v>9</v>
      </c>
      <c r="B595" s="2" t="s">
        <v>2227</v>
      </c>
      <c r="C595" s="21">
        <v>0</v>
      </c>
      <c r="D595" s="2" t="s">
        <v>2228</v>
      </c>
      <c r="E595" s="14">
        <v>0</v>
      </c>
      <c r="F595" s="21">
        <v>6</v>
      </c>
      <c r="G595" s="2" t="s">
        <v>2257</v>
      </c>
      <c r="H595" s="23" t="s">
        <v>2258</v>
      </c>
      <c r="I595" s="101" t="s">
        <v>2259</v>
      </c>
      <c r="J595" s="2" t="s">
        <v>23</v>
      </c>
      <c r="K595" s="2" t="s">
        <v>23</v>
      </c>
      <c r="M595" s="2" t="s">
        <v>24</v>
      </c>
      <c r="N595" s="2" t="s">
        <v>25</v>
      </c>
      <c r="O595" s="2" t="s">
        <v>8285</v>
      </c>
      <c r="P595" s="7">
        <v>1</v>
      </c>
      <c r="Q595" s="99" t="s">
        <v>2260</v>
      </c>
      <c r="R595" s="6" t="s">
        <v>2261</v>
      </c>
    </row>
    <row r="596" spans="1:19" ht="15" customHeight="1">
      <c r="A596" s="21">
        <v>9</v>
      </c>
      <c r="B596" s="2" t="s">
        <v>2227</v>
      </c>
      <c r="C596" s="21">
        <v>0</v>
      </c>
      <c r="D596" s="2" t="s">
        <v>2228</v>
      </c>
      <c r="E596" s="14">
        <v>0</v>
      </c>
      <c r="F596" s="21">
        <v>7</v>
      </c>
      <c r="G596" s="2" t="s">
        <v>2262</v>
      </c>
      <c r="H596" s="23" t="s">
        <v>2263</v>
      </c>
      <c r="I596" s="101" t="s">
        <v>2264</v>
      </c>
      <c r="J596" s="2" t="s">
        <v>23</v>
      </c>
      <c r="K596" s="2" t="s">
        <v>23</v>
      </c>
      <c r="M596" s="2" t="s">
        <v>24</v>
      </c>
      <c r="N596" s="2" t="s">
        <v>25</v>
      </c>
      <c r="O596" s="6" t="s">
        <v>8286</v>
      </c>
      <c r="P596" s="7">
        <v>1</v>
      </c>
      <c r="Q596" s="99" t="s">
        <v>2265</v>
      </c>
      <c r="R596" s="6" t="s">
        <v>2266</v>
      </c>
    </row>
    <row r="597" spans="1:19" ht="15" customHeight="1">
      <c r="A597" s="21">
        <v>9</v>
      </c>
      <c r="B597" s="2" t="s">
        <v>2227</v>
      </c>
      <c r="C597" s="21">
        <v>0</v>
      </c>
      <c r="D597" s="2" t="s">
        <v>2228</v>
      </c>
      <c r="E597" s="14">
        <v>0</v>
      </c>
      <c r="F597" s="21">
        <v>8</v>
      </c>
      <c r="G597" s="2" t="s">
        <v>2267</v>
      </c>
      <c r="H597" s="23" t="s">
        <v>2268</v>
      </c>
      <c r="I597" s="101" t="s">
        <v>2269</v>
      </c>
      <c r="J597" s="2" t="s">
        <v>23</v>
      </c>
      <c r="K597" s="2" t="s">
        <v>23</v>
      </c>
      <c r="M597" s="2" t="s">
        <v>24</v>
      </c>
      <c r="N597" s="2" t="s">
        <v>116</v>
      </c>
      <c r="O597" s="9" t="s">
        <v>289</v>
      </c>
      <c r="P597" s="7">
        <v>1</v>
      </c>
      <c r="Q597" s="99" t="s">
        <v>2270</v>
      </c>
      <c r="R597" s="6" t="s">
        <v>2271</v>
      </c>
    </row>
    <row r="598" spans="1:19" ht="15" customHeight="1">
      <c r="A598" s="21">
        <v>9</v>
      </c>
      <c r="B598" s="2" t="s">
        <v>2227</v>
      </c>
      <c r="C598" s="21">
        <v>0</v>
      </c>
      <c r="D598" s="2" t="s">
        <v>2228</v>
      </c>
      <c r="E598" s="14">
        <v>0</v>
      </c>
      <c r="F598" s="21">
        <v>9</v>
      </c>
      <c r="G598" s="2" t="s">
        <v>2272</v>
      </c>
      <c r="H598" s="23" t="s">
        <v>2273</v>
      </c>
      <c r="I598" s="101" t="s">
        <v>2274</v>
      </c>
      <c r="J598" s="2" t="s">
        <v>23</v>
      </c>
      <c r="K598" s="2" t="s">
        <v>23</v>
      </c>
      <c r="M598" s="2" t="s">
        <v>24</v>
      </c>
      <c r="N598" s="2" t="s">
        <v>298</v>
      </c>
      <c r="O598" s="2" t="s">
        <v>2275</v>
      </c>
      <c r="P598" s="7">
        <v>1</v>
      </c>
      <c r="Q598" s="99" t="s">
        <v>2276</v>
      </c>
      <c r="R598" s="6" t="s">
        <v>2277</v>
      </c>
    </row>
    <row r="599" spans="1:19" ht="15" customHeight="1">
      <c r="A599" s="21">
        <v>9</v>
      </c>
      <c r="B599" s="2" t="s">
        <v>2227</v>
      </c>
      <c r="C599" s="21">
        <v>0</v>
      </c>
      <c r="D599" s="2" t="s">
        <v>2228</v>
      </c>
      <c r="E599" s="14">
        <v>0</v>
      </c>
      <c r="F599" s="21">
        <v>10</v>
      </c>
      <c r="G599" s="2" t="s">
        <v>2278</v>
      </c>
      <c r="H599" s="23" t="s">
        <v>2279</v>
      </c>
      <c r="I599" s="101" t="s">
        <v>2280</v>
      </c>
      <c r="J599" s="2" t="s">
        <v>23</v>
      </c>
      <c r="K599" s="2" t="s">
        <v>23</v>
      </c>
      <c r="M599" s="2" t="s">
        <v>24</v>
      </c>
      <c r="N599" s="2" t="s">
        <v>263</v>
      </c>
      <c r="P599" s="7">
        <v>1</v>
      </c>
      <c r="Q599" s="99" t="s">
        <v>2281</v>
      </c>
      <c r="R599" s="6" t="s">
        <v>2282</v>
      </c>
    </row>
    <row r="600" spans="1:19" ht="15" customHeight="1">
      <c r="A600" s="21">
        <v>9</v>
      </c>
      <c r="B600" s="2" t="s">
        <v>2227</v>
      </c>
      <c r="C600" s="21">
        <v>0</v>
      </c>
      <c r="D600" s="2" t="s">
        <v>2228</v>
      </c>
      <c r="E600" s="14">
        <v>0</v>
      </c>
      <c r="F600" s="21">
        <v>11</v>
      </c>
      <c r="G600" s="2" t="s">
        <v>2283</v>
      </c>
      <c r="H600" s="23" t="s">
        <v>2284</v>
      </c>
      <c r="I600" s="101" t="s">
        <v>2285</v>
      </c>
      <c r="J600" s="2" t="s">
        <v>23</v>
      </c>
      <c r="K600" s="2" t="s">
        <v>23</v>
      </c>
      <c r="M600" s="2" t="s">
        <v>24</v>
      </c>
      <c r="N600" s="2" t="s">
        <v>116</v>
      </c>
      <c r="O600" s="9" t="s">
        <v>2285</v>
      </c>
      <c r="P600" s="7">
        <v>1</v>
      </c>
      <c r="Q600" s="99" t="s">
        <v>2286</v>
      </c>
      <c r="R600" s="6" t="s">
        <v>2286</v>
      </c>
      <c r="S600" s="2" t="s">
        <v>2287</v>
      </c>
    </row>
    <row r="601" spans="1:19" ht="15" customHeight="1">
      <c r="A601" s="21">
        <v>9</v>
      </c>
      <c r="B601" s="2" t="s">
        <v>2227</v>
      </c>
      <c r="C601" s="21">
        <v>0</v>
      </c>
      <c r="D601" s="2" t="s">
        <v>2228</v>
      </c>
      <c r="E601" s="14">
        <v>0</v>
      </c>
      <c r="F601" s="21">
        <v>12</v>
      </c>
      <c r="G601" s="2" t="s">
        <v>2288</v>
      </c>
      <c r="H601" s="23" t="s">
        <v>2289</v>
      </c>
      <c r="I601" s="101" t="s">
        <v>2290</v>
      </c>
      <c r="J601" s="2" t="s">
        <v>23</v>
      </c>
      <c r="K601" s="2" t="s">
        <v>23</v>
      </c>
      <c r="M601" s="2" t="s">
        <v>24</v>
      </c>
      <c r="N601" s="2" t="s">
        <v>25</v>
      </c>
      <c r="O601" s="6" t="s">
        <v>8287</v>
      </c>
      <c r="P601" s="7">
        <v>1</v>
      </c>
      <c r="Q601" s="99" t="s">
        <v>2291</v>
      </c>
      <c r="R601" s="6" t="s">
        <v>2292</v>
      </c>
      <c r="S601" s="2" t="s">
        <v>2287</v>
      </c>
    </row>
    <row r="602" spans="1:19" ht="15" customHeight="1">
      <c r="A602" s="21">
        <v>9</v>
      </c>
      <c r="B602" s="2" t="s">
        <v>2227</v>
      </c>
      <c r="C602" s="21">
        <v>0</v>
      </c>
      <c r="D602" s="2" t="s">
        <v>2228</v>
      </c>
      <c r="E602" s="14">
        <v>0</v>
      </c>
      <c r="F602" s="21">
        <v>13</v>
      </c>
      <c r="G602" s="2" t="s">
        <v>2293</v>
      </c>
      <c r="H602" s="23" t="s">
        <v>2294</v>
      </c>
      <c r="I602" s="101" t="s">
        <v>2295</v>
      </c>
      <c r="J602" s="2" t="s">
        <v>23</v>
      </c>
      <c r="K602" s="2" t="s">
        <v>23</v>
      </c>
      <c r="M602" s="2" t="s">
        <v>24</v>
      </c>
      <c r="N602" s="2" t="s">
        <v>23</v>
      </c>
      <c r="O602" s="6" t="s">
        <v>2296</v>
      </c>
      <c r="P602" s="7">
        <v>1</v>
      </c>
      <c r="Q602" s="99" t="s">
        <v>2297</v>
      </c>
      <c r="R602" s="6" t="s">
        <v>2298</v>
      </c>
      <c r="S602" s="2" t="s">
        <v>2287</v>
      </c>
    </row>
    <row r="603" spans="1:19" ht="15" customHeight="1">
      <c r="A603" s="21">
        <v>9</v>
      </c>
      <c r="B603" s="2" t="s">
        <v>2227</v>
      </c>
      <c r="C603" s="21">
        <v>0</v>
      </c>
      <c r="D603" s="2" t="s">
        <v>2228</v>
      </c>
      <c r="E603" s="14">
        <v>0</v>
      </c>
      <c r="F603" s="21">
        <v>14</v>
      </c>
      <c r="G603" s="2" t="s">
        <v>2299</v>
      </c>
      <c r="H603" s="23" t="s">
        <v>2300</v>
      </c>
      <c r="I603" s="101" t="s">
        <v>2301</v>
      </c>
      <c r="J603" s="2" t="s">
        <v>23</v>
      </c>
      <c r="K603" s="2" t="s">
        <v>23</v>
      </c>
      <c r="M603" s="2" t="s">
        <v>24</v>
      </c>
      <c r="N603" s="2" t="s">
        <v>25</v>
      </c>
      <c r="O603" s="6" t="s">
        <v>8288</v>
      </c>
      <c r="P603" s="7">
        <v>1</v>
      </c>
      <c r="Q603" s="99" t="s">
        <v>2302</v>
      </c>
      <c r="R603" s="6" t="s">
        <v>2303</v>
      </c>
      <c r="S603" s="2" t="s">
        <v>2287</v>
      </c>
    </row>
    <row r="604" spans="1:19" ht="15" customHeight="1">
      <c r="A604" s="21">
        <v>9</v>
      </c>
      <c r="B604" s="2" t="s">
        <v>2227</v>
      </c>
      <c r="C604" s="21">
        <v>0</v>
      </c>
      <c r="D604" s="2" t="s">
        <v>2228</v>
      </c>
      <c r="E604" s="14">
        <v>0</v>
      </c>
      <c r="F604" s="21">
        <v>15</v>
      </c>
      <c r="G604" s="2" t="s">
        <v>2304</v>
      </c>
      <c r="H604" s="23" t="s">
        <v>2305</v>
      </c>
      <c r="I604" s="101" t="s">
        <v>2306</v>
      </c>
      <c r="J604" s="2" t="s">
        <v>23</v>
      </c>
      <c r="K604" s="2" t="s">
        <v>23</v>
      </c>
      <c r="M604" s="2" t="s">
        <v>24</v>
      </c>
      <c r="N604" s="2" t="s">
        <v>133</v>
      </c>
      <c r="O604" s="6"/>
      <c r="P604" s="7">
        <v>1</v>
      </c>
      <c r="Q604" s="99" t="s">
        <v>2307</v>
      </c>
      <c r="R604" s="6" t="s">
        <v>2308</v>
      </c>
      <c r="S604" s="2" t="s">
        <v>2309</v>
      </c>
    </row>
    <row r="605" spans="1:19" ht="15" customHeight="1">
      <c r="A605" s="21">
        <v>9</v>
      </c>
      <c r="B605" s="2" t="s">
        <v>2227</v>
      </c>
      <c r="C605" s="21">
        <v>0</v>
      </c>
      <c r="D605" s="2" t="s">
        <v>2228</v>
      </c>
      <c r="E605" s="14">
        <v>0</v>
      </c>
      <c r="F605" s="21">
        <v>16</v>
      </c>
      <c r="G605" s="2" t="s">
        <v>2310</v>
      </c>
      <c r="H605" s="23" t="s">
        <v>2311</v>
      </c>
      <c r="I605" s="101" t="s">
        <v>2312</v>
      </c>
      <c r="J605" s="2" t="s">
        <v>23</v>
      </c>
      <c r="K605" s="2" t="s">
        <v>23</v>
      </c>
      <c r="M605" s="2" t="s">
        <v>24</v>
      </c>
      <c r="N605" s="2" t="s">
        <v>23</v>
      </c>
      <c r="O605" s="6" t="s">
        <v>2313</v>
      </c>
      <c r="P605" s="7">
        <v>1</v>
      </c>
      <c r="Q605" s="99" t="s">
        <v>2314</v>
      </c>
      <c r="R605" s="6" t="s">
        <v>2315</v>
      </c>
      <c r="S605" s="2" t="s">
        <v>2309</v>
      </c>
    </row>
    <row r="606" spans="1:19" ht="15" customHeight="1">
      <c r="A606" s="21">
        <v>9</v>
      </c>
      <c r="B606" s="2" t="s">
        <v>2227</v>
      </c>
      <c r="C606" s="21">
        <v>0</v>
      </c>
      <c r="D606" s="2" t="s">
        <v>2228</v>
      </c>
      <c r="E606" s="14">
        <v>0</v>
      </c>
      <c r="F606" s="21">
        <v>17</v>
      </c>
      <c r="G606" s="2" t="s">
        <v>2316</v>
      </c>
      <c r="H606" s="23" t="s">
        <v>2317</v>
      </c>
      <c r="I606" s="101" t="s">
        <v>2318</v>
      </c>
      <c r="J606" s="2" t="s">
        <v>23</v>
      </c>
      <c r="K606" s="2" t="s">
        <v>23</v>
      </c>
      <c r="M606" s="2" t="s">
        <v>24</v>
      </c>
      <c r="N606" s="2" t="s">
        <v>116</v>
      </c>
      <c r="O606" s="9" t="s">
        <v>2318</v>
      </c>
      <c r="P606" s="7">
        <v>1</v>
      </c>
      <c r="Q606" s="99" t="s">
        <v>412</v>
      </c>
      <c r="R606" s="6" t="s">
        <v>2319</v>
      </c>
      <c r="S606" s="2" t="s">
        <v>2309</v>
      </c>
    </row>
    <row r="607" spans="1:19" ht="15" customHeight="1">
      <c r="A607" s="21">
        <v>9</v>
      </c>
      <c r="B607" s="2" t="s">
        <v>2227</v>
      </c>
      <c r="C607" s="21">
        <v>0</v>
      </c>
      <c r="D607" s="2" t="s">
        <v>2228</v>
      </c>
      <c r="E607" s="14">
        <v>0</v>
      </c>
      <c r="F607" s="21">
        <v>18</v>
      </c>
      <c r="G607" s="2" t="s">
        <v>2320</v>
      </c>
      <c r="H607" s="23" t="s">
        <v>2321</v>
      </c>
      <c r="I607" s="101" t="s">
        <v>2322</v>
      </c>
      <c r="J607" s="2" t="s">
        <v>23</v>
      </c>
      <c r="K607" s="2" t="s">
        <v>23</v>
      </c>
      <c r="M607" s="2" t="s">
        <v>24</v>
      </c>
      <c r="N607" s="2" t="s">
        <v>23</v>
      </c>
      <c r="O607" s="6"/>
      <c r="P607" s="7">
        <v>1</v>
      </c>
      <c r="Q607" s="99" t="s">
        <v>2323</v>
      </c>
      <c r="R607" s="6" t="s">
        <v>2324</v>
      </c>
      <c r="S607" s="2" t="s">
        <v>2309</v>
      </c>
    </row>
    <row r="608" spans="1:19" ht="15" customHeight="1">
      <c r="A608" s="21">
        <v>9</v>
      </c>
      <c r="B608" s="2" t="s">
        <v>2227</v>
      </c>
      <c r="C608" s="21">
        <v>0</v>
      </c>
      <c r="D608" s="2" t="s">
        <v>2228</v>
      </c>
      <c r="E608" s="14">
        <v>0</v>
      </c>
      <c r="F608" s="21">
        <v>19</v>
      </c>
      <c r="G608" s="2" t="s">
        <v>2325</v>
      </c>
      <c r="H608" s="23" t="s">
        <v>2326</v>
      </c>
      <c r="I608" s="101" t="s">
        <v>2327</v>
      </c>
      <c r="J608" s="2" t="s">
        <v>23</v>
      </c>
      <c r="K608" s="2" t="s">
        <v>23</v>
      </c>
      <c r="M608" s="2" t="s">
        <v>24</v>
      </c>
      <c r="N608" s="2" t="s">
        <v>206</v>
      </c>
      <c r="O608" s="6"/>
      <c r="P608" s="7">
        <v>1</v>
      </c>
      <c r="Q608" s="99" t="s">
        <v>2328</v>
      </c>
      <c r="R608" s="6" t="s">
        <v>2329</v>
      </c>
      <c r="S608" s="2" t="s">
        <v>2309</v>
      </c>
    </row>
    <row r="609" spans="1:19" ht="15" customHeight="1">
      <c r="A609" s="21">
        <v>9</v>
      </c>
      <c r="B609" s="2" t="s">
        <v>2227</v>
      </c>
      <c r="C609" s="21">
        <v>0</v>
      </c>
      <c r="D609" s="2" t="s">
        <v>2228</v>
      </c>
      <c r="E609" s="14">
        <v>0</v>
      </c>
      <c r="F609" s="21">
        <v>20</v>
      </c>
      <c r="G609" s="2" t="s">
        <v>2330</v>
      </c>
      <c r="H609" s="23" t="s">
        <v>2331</v>
      </c>
      <c r="I609" s="101" t="s">
        <v>2332</v>
      </c>
      <c r="J609" s="2" t="s">
        <v>23</v>
      </c>
      <c r="K609" s="2" t="s">
        <v>23</v>
      </c>
      <c r="M609" s="2" t="s">
        <v>24</v>
      </c>
      <c r="N609" s="2" t="s">
        <v>133</v>
      </c>
      <c r="O609" s="6"/>
      <c r="P609" s="7">
        <v>1</v>
      </c>
      <c r="Q609" s="99" t="s">
        <v>2333</v>
      </c>
      <c r="R609" s="6" t="s">
        <v>2334</v>
      </c>
      <c r="S609" s="2" t="s">
        <v>2309</v>
      </c>
    </row>
    <row r="610" spans="1:19" ht="15" customHeight="1">
      <c r="A610" s="21">
        <v>9</v>
      </c>
      <c r="B610" s="2" t="s">
        <v>2227</v>
      </c>
      <c r="C610" s="21">
        <v>0</v>
      </c>
      <c r="D610" s="2" t="s">
        <v>2228</v>
      </c>
      <c r="E610" s="14">
        <v>0</v>
      </c>
      <c r="F610" s="21">
        <v>21</v>
      </c>
      <c r="G610" s="2" t="s">
        <v>2335</v>
      </c>
      <c r="H610" s="23" t="s">
        <v>2336</v>
      </c>
      <c r="I610" s="101" t="s">
        <v>2337</v>
      </c>
      <c r="J610" s="2" t="s">
        <v>23</v>
      </c>
      <c r="K610" s="2" t="s">
        <v>23</v>
      </c>
      <c r="M610" s="2" t="s">
        <v>24</v>
      </c>
      <c r="N610" s="2" t="s">
        <v>25</v>
      </c>
      <c r="O610" s="6" t="s">
        <v>2338</v>
      </c>
      <c r="P610" s="7">
        <v>1</v>
      </c>
      <c r="Q610" s="99" t="s">
        <v>2339</v>
      </c>
      <c r="R610" s="6" t="s">
        <v>2340</v>
      </c>
      <c r="S610" s="2" t="s">
        <v>2341</v>
      </c>
    </row>
    <row r="611" spans="1:19" ht="15" customHeight="1">
      <c r="A611" s="21">
        <v>9</v>
      </c>
      <c r="B611" s="2" t="s">
        <v>2227</v>
      </c>
      <c r="C611" s="21">
        <v>0</v>
      </c>
      <c r="D611" s="2" t="s">
        <v>2228</v>
      </c>
      <c r="E611" s="14">
        <v>0</v>
      </c>
      <c r="F611" s="21">
        <v>22</v>
      </c>
      <c r="G611" s="2" t="s">
        <v>2342</v>
      </c>
      <c r="H611" s="23" t="s">
        <v>2343</v>
      </c>
      <c r="I611" s="101" t="s">
        <v>2344</v>
      </c>
      <c r="J611" s="2" t="s">
        <v>23</v>
      </c>
      <c r="K611" s="2" t="s">
        <v>23</v>
      </c>
      <c r="M611" s="2" t="s">
        <v>24</v>
      </c>
      <c r="N611" s="2" t="s">
        <v>25</v>
      </c>
      <c r="O611" s="6" t="s">
        <v>2345</v>
      </c>
      <c r="P611" s="7">
        <v>1</v>
      </c>
      <c r="Q611" s="99" t="s">
        <v>2346</v>
      </c>
      <c r="R611" s="6" t="s">
        <v>2347</v>
      </c>
      <c r="S611" s="2" t="s">
        <v>2341</v>
      </c>
    </row>
    <row r="612" spans="1:19" ht="15" customHeight="1">
      <c r="A612" s="21">
        <v>9</v>
      </c>
      <c r="B612" s="2" t="s">
        <v>2227</v>
      </c>
      <c r="C612" s="21">
        <v>0</v>
      </c>
      <c r="D612" s="2" t="s">
        <v>2228</v>
      </c>
      <c r="E612" s="14">
        <v>0</v>
      </c>
      <c r="F612" s="21">
        <v>23</v>
      </c>
      <c r="G612" s="2" t="s">
        <v>2348</v>
      </c>
      <c r="H612" s="23" t="s">
        <v>2349</v>
      </c>
      <c r="I612" s="101" t="s">
        <v>2350</v>
      </c>
      <c r="J612" s="2" t="s">
        <v>23</v>
      </c>
      <c r="K612" s="2" t="s">
        <v>23</v>
      </c>
      <c r="M612" s="2" t="s">
        <v>24</v>
      </c>
      <c r="N612" s="2" t="s">
        <v>25</v>
      </c>
      <c r="O612" s="6" t="s">
        <v>2351</v>
      </c>
      <c r="P612" s="7">
        <v>1</v>
      </c>
      <c r="Q612" s="99" t="s">
        <v>2352</v>
      </c>
      <c r="R612" s="6" t="s">
        <v>2353</v>
      </c>
      <c r="S612" s="2" t="s">
        <v>2354</v>
      </c>
    </row>
    <row r="613" spans="1:19" ht="15" customHeight="1">
      <c r="A613" s="21">
        <v>9</v>
      </c>
      <c r="B613" s="2" t="s">
        <v>2227</v>
      </c>
      <c r="C613" s="21">
        <v>0</v>
      </c>
      <c r="D613" s="2" t="s">
        <v>2228</v>
      </c>
      <c r="E613" s="14">
        <v>0</v>
      </c>
      <c r="F613" s="21">
        <v>24</v>
      </c>
      <c r="G613" s="2" t="s">
        <v>2355</v>
      </c>
      <c r="H613" s="23" t="s">
        <v>2356</v>
      </c>
      <c r="I613" s="101" t="s">
        <v>2357</v>
      </c>
      <c r="J613" s="2" t="s">
        <v>23</v>
      </c>
      <c r="K613" s="2" t="s">
        <v>23</v>
      </c>
      <c r="M613" s="2" t="s">
        <v>24</v>
      </c>
      <c r="N613" s="2" t="s">
        <v>25</v>
      </c>
      <c r="O613" s="6" t="s">
        <v>2358</v>
      </c>
      <c r="P613" s="7">
        <v>1</v>
      </c>
      <c r="Q613" s="99" t="s">
        <v>2359</v>
      </c>
      <c r="R613" s="6" t="s">
        <v>2360</v>
      </c>
      <c r="S613" s="2" t="s">
        <v>2354</v>
      </c>
    </row>
    <row r="614" spans="1:19" ht="15" customHeight="1">
      <c r="A614" s="21">
        <v>9</v>
      </c>
      <c r="B614" s="2" t="s">
        <v>2227</v>
      </c>
      <c r="C614" s="21">
        <v>0</v>
      </c>
      <c r="D614" s="2" t="s">
        <v>2228</v>
      </c>
      <c r="E614" s="14">
        <v>0</v>
      </c>
      <c r="F614" s="21">
        <v>25</v>
      </c>
      <c r="G614" s="2" t="s">
        <v>2361</v>
      </c>
      <c r="H614" s="23" t="s">
        <v>2362</v>
      </c>
      <c r="I614" s="101" t="s">
        <v>2363</v>
      </c>
      <c r="J614" s="2" t="s">
        <v>23</v>
      </c>
      <c r="K614" s="2" t="s">
        <v>23</v>
      </c>
      <c r="M614" s="2" t="s">
        <v>24</v>
      </c>
      <c r="N614" s="2" t="s">
        <v>139</v>
      </c>
      <c r="O614" s="6"/>
      <c r="P614" s="7">
        <v>1</v>
      </c>
      <c r="Q614" s="99" t="s">
        <v>2364</v>
      </c>
      <c r="R614" s="6" t="s">
        <v>2365</v>
      </c>
      <c r="S614" s="2" t="s">
        <v>2366</v>
      </c>
    </row>
    <row r="615" spans="1:19" ht="15" customHeight="1">
      <c r="A615" s="21">
        <v>9</v>
      </c>
      <c r="B615" s="2" t="s">
        <v>2227</v>
      </c>
      <c r="C615" s="21">
        <v>0</v>
      </c>
      <c r="D615" s="2" t="s">
        <v>2228</v>
      </c>
      <c r="E615" s="14">
        <v>0</v>
      </c>
      <c r="F615" s="21">
        <v>26</v>
      </c>
      <c r="G615" s="2" t="s">
        <v>2367</v>
      </c>
      <c r="H615" s="23" t="s">
        <v>2368</v>
      </c>
      <c r="I615" s="101" t="s">
        <v>2369</v>
      </c>
      <c r="J615" s="2" t="s">
        <v>23</v>
      </c>
      <c r="K615" s="2" t="s">
        <v>23</v>
      </c>
      <c r="M615" s="2" t="s">
        <v>24</v>
      </c>
      <c r="N615" s="2" t="s">
        <v>1900</v>
      </c>
      <c r="O615" s="6" t="s">
        <v>2370</v>
      </c>
      <c r="P615" s="7">
        <v>1</v>
      </c>
      <c r="Q615" s="99" t="s">
        <v>2371</v>
      </c>
      <c r="R615" s="6" t="s">
        <v>2372</v>
      </c>
      <c r="S615" s="2" t="s">
        <v>2366</v>
      </c>
    </row>
    <row r="616" spans="1:19" ht="15" customHeight="1">
      <c r="A616" s="21">
        <v>9</v>
      </c>
      <c r="B616" s="2" t="s">
        <v>2227</v>
      </c>
      <c r="C616" s="21">
        <v>0</v>
      </c>
      <c r="D616" s="2" t="s">
        <v>2228</v>
      </c>
      <c r="E616" s="14">
        <v>0</v>
      </c>
      <c r="F616" s="21">
        <v>27</v>
      </c>
      <c r="G616" s="2" t="s">
        <v>2373</v>
      </c>
      <c r="H616" s="23" t="s">
        <v>2374</v>
      </c>
      <c r="I616" s="101" t="s">
        <v>2375</v>
      </c>
      <c r="J616" s="2" t="s">
        <v>23</v>
      </c>
      <c r="K616" s="2" t="s">
        <v>23</v>
      </c>
      <c r="M616" s="2" t="s">
        <v>24</v>
      </c>
      <c r="N616" s="2" t="s">
        <v>2376</v>
      </c>
      <c r="O616" s="6" t="s">
        <v>2377</v>
      </c>
      <c r="P616" s="7">
        <v>1</v>
      </c>
      <c r="Q616" s="99" t="s">
        <v>2378</v>
      </c>
      <c r="R616" s="6" t="s">
        <v>2379</v>
      </c>
      <c r="S616" s="2" t="s">
        <v>2380</v>
      </c>
    </row>
    <row r="617" spans="1:19" ht="15" customHeight="1">
      <c r="A617" s="21">
        <v>9</v>
      </c>
      <c r="B617" s="2" t="s">
        <v>2227</v>
      </c>
      <c r="C617" s="21">
        <v>0</v>
      </c>
      <c r="D617" s="2" t="s">
        <v>2228</v>
      </c>
      <c r="E617" s="14">
        <v>0</v>
      </c>
      <c r="F617" s="21">
        <v>28</v>
      </c>
      <c r="G617" s="2" t="s">
        <v>2381</v>
      </c>
      <c r="H617" s="23" t="s">
        <v>2382</v>
      </c>
      <c r="I617" s="101" t="s">
        <v>2383</v>
      </c>
      <c r="J617" s="2" t="s">
        <v>23</v>
      </c>
      <c r="K617" s="2" t="s">
        <v>23</v>
      </c>
      <c r="M617" s="2" t="s">
        <v>24</v>
      </c>
      <c r="N617" s="2" t="s">
        <v>2384</v>
      </c>
      <c r="O617" s="6" t="s">
        <v>2385</v>
      </c>
      <c r="P617" s="7">
        <v>1</v>
      </c>
      <c r="Q617" s="99" t="s">
        <v>2386</v>
      </c>
      <c r="R617" s="6" t="s">
        <v>2387</v>
      </c>
      <c r="S617" s="2" t="s">
        <v>2380</v>
      </c>
    </row>
    <row r="618" spans="1:19" ht="15" customHeight="1">
      <c r="A618" s="21">
        <v>9</v>
      </c>
      <c r="B618" s="2" t="s">
        <v>2227</v>
      </c>
      <c r="C618" s="21">
        <v>0</v>
      </c>
      <c r="D618" s="2" t="s">
        <v>2228</v>
      </c>
      <c r="E618" s="14">
        <v>0</v>
      </c>
      <c r="F618" s="21">
        <v>29</v>
      </c>
      <c r="G618" s="2" t="s">
        <v>854</v>
      </c>
      <c r="H618" s="23" t="s">
        <v>2388</v>
      </c>
      <c r="I618" s="101" t="s">
        <v>2389</v>
      </c>
      <c r="J618" s="2" t="s">
        <v>23</v>
      </c>
      <c r="K618" s="2" t="s">
        <v>23</v>
      </c>
      <c r="M618" s="2" t="s">
        <v>24</v>
      </c>
      <c r="N618" s="2" t="s">
        <v>116</v>
      </c>
      <c r="O618" s="9" t="s">
        <v>2389</v>
      </c>
      <c r="P618" s="7">
        <v>1</v>
      </c>
      <c r="Q618" s="99" t="s">
        <v>2390</v>
      </c>
      <c r="R618" s="6" t="s">
        <v>2391</v>
      </c>
      <c r="S618" s="2" t="s">
        <v>2380</v>
      </c>
    </row>
    <row r="619" spans="1:19" ht="15" customHeight="1">
      <c r="A619" s="21">
        <v>9</v>
      </c>
      <c r="B619" s="2" t="s">
        <v>2227</v>
      </c>
      <c r="C619" s="21">
        <v>0</v>
      </c>
      <c r="D619" s="2" t="s">
        <v>2228</v>
      </c>
      <c r="E619" s="14">
        <v>0</v>
      </c>
      <c r="F619" s="21">
        <v>30</v>
      </c>
      <c r="G619" s="2" t="s">
        <v>2392</v>
      </c>
      <c r="H619" s="23" t="s">
        <v>2393</v>
      </c>
      <c r="I619" s="101" t="s">
        <v>2394</v>
      </c>
      <c r="J619" s="2" t="s">
        <v>23</v>
      </c>
      <c r="K619" s="2" t="s">
        <v>23</v>
      </c>
      <c r="M619" s="2" t="s">
        <v>24</v>
      </c>
      <c r="N619" s="2" t="s">
        <v>116</v>
      </c>
      <c r="O619" s="9" t="s">
        <v>2394</v>
      </c>
      <c r="P619" s="7">
        <v>1</v>
      </c>
      <c r="Q619" s="99" t="s">
        <v>2392</v>
      </c>
      <c r="R619" s="6" t="s">
        <v>2395</v>
      </c>
      <c r="S619" s="2" t="s">
        <v>2380</v>
      </c>
    </row>
    <row r="620" spans="1:19" ht="15" customHeight="1">
      <c r="A620" s="21">
        <v>9</v>
      </c>
      <c r="B620" s="2" t="s">
        <v>2227</v>
      </c>
      <c r="C620" s="21">
        <v>0</v>
      </c>
      <c r="D620" s="2" t="s">
        <v>2228</v>
      </c>
      <c r="E620" s="14">
        <v>0</v>
      </c>
      <c r="F620" s="21">
        <v>31</v>
      </c>
      <c r="G620" s="2" t="s">
        <v>2396</v>
      </c>
      <c r="H620" s="23" t="s">
        <v>2397</v>
      </c>
      <c r="I620" s="101" t="s">
        <v>2398</v>
      </c>
      <c r="J620" s="2" t="s">
        <v>23</v>
      </c>
      <c r="K620" s="2" t="s">
        <v>23</v>
      </c>
      <c r="M620" s="2" t="s">
        <v>24</v>
      </c>
      <c r="N620" s="2" t="s">
        <v>23</v>
      </c>
      <c r="O620" s="6" t="s">
        <v>2399</v>
      </c>
      <c r="P620" s="7">
        <v>1</v>
      </c>
      <c r="Q620" s="99" t="s">
        <v>2400</v>
      </c>
      <c r="R620" s="6" t="s">
        <v>2401</v>
      </c>
      <c r="S620" s="2" t="s">
        <v>2402</v>
      </c>
    </row>
    <row r="621" spans="1:19" ht="15" customHeight="1">
      <c r="A621" s="21">
        <v>9</v>
      </c>
      <c r="B621" s="2" t="s">
        <v>2227</v>
      </c>
      <c r="C621" s="21">
        <v>0</v>
      </c>
      <c r="D621" s="2" t="s">
        <v>2228</v>
      </c>
      <c r="E621" s="14">
        <v>0</v>
      </c>
      <c r="F621" s="21">
        <v>32</v>
      </c>
      <c r="G621" s="2" t="s">
        <v>2403</v>
      </c>
      <c r="H621" s="23" t="s">
        <v>2404</v>
      </c>
      <c r="I621" s="101" t="s">
        <v>2405</v>
      </c>
      <c r="J621" s="2" t="s">
        <v>23</v>
      </c>
      <c r="K621" s="2" t="s">
        <v>23</v>
      </c>
      <c r="M621" s="2" t="s">
        <v>24</v>
      </c>
      <c r="N621" s="2" t="s">
        <v>23</v>
      </c>
      <c r="O621" s="6" t="s">
        <v>2399</v>
      </c>
      <c r="P621" s="7">
        <v>1</v>
      </c>
      <c r="Q621" s="99" t="s">
        <v>2406</v>
      </c>
      <c r="R621" s="6" t="s">
        <v>2407</v>
      </c>
      <c r="S621" s="2" t="s">
        <v>2402</v>
      </c>
    </row>
    <row r="622" spans="1:19" ht="15" customHeight="1">
      <c r="A622" s="21">
        <v>9</v>
      </c>
      <c r="B622" s="2" t="s">
        <v>2227</v>
      </c>
      <c r="C622" s="21">
        <v>0</v>
      </c>
      <c r="D622" s="2" t="s">
        <v>2228</v>
      </c>
      <c r="E622" s="14">
        <v>0</v>
      </c>
      <c r="F622" s="21">
        <v>33</v>
      </c>
      <c r="G622" s="2" t="s">
        <v>2408</v>
      </c>
      <c r="H622" s="23" t="s">
        <v>2409</v>
      </c>
      <c r="I622" s="101" t="s">
        <v>2410</v>
      </c>
      <c r="J622" s="2" t="s">
        <v>23</v>
      </c>
      <c r="K622" s="2" t="s">
        <v>23</v>
      </c>
      <c r="M622" s="2" t="s">
        <v>24</v>
      </c>
      <c r="N622" s="2" t="s">
        <v>23</v>
      </c>
      <c r="O622" s="6" t="s">
        <v>2399</v>
      </c>
      <c r="P622" s="7">
        <v>1</v>
      </c>
      <c r="Q622" s="99" t="s">
        <v>2411</v>
      </c>
      <c r="R622" s="6" t="s">
        <v>2412</v>
      </c>
      <c r="S622" s="2" t="s">
        <v>2402</v>
      </c>
    </row>
    <row r="623" spans="1:19" ht="15" customHeight="1">
      <c r="A623" s="21">
        <v>9</v>
      </c>
      <c r="B623" s="2" t="s">
        <v>2227</v>
      </c>
      <c r="C623" s="21">
        <v>0</v>
      </c>
      <c r="D623" s="2" t="s">
        <v>2228</v>
      </c>
      <c r="E623" s="14">
        <v>0</v>
      </c>
      <c r="F623" s="21">
        <v>34</v>
      </c>
      <c r="G623" s="2" t="s">
        <v>2413</v>
      </c>
      <c r="H623" s="23" t="s">
        <v>2414</v>
      </c>
      <c r="I623" s="101" t="s">
        <v>2415</v>
      </c>
      <c r="J623" s="2" t="s">
        <v>24</v>
      </c>
      <c r="K623" s="2" t="s">
        <v>25</v>
      </c>
      <c r="L623" s="6" t="s">
        <v>2416</v>
      </c>
      <c r="M623" s="2" t="s">
        <v>24</v>
      </c>
      <c r="N623" s="2" t="s">
        <v>25</v>
      </c>
      <c r="O623" s="6" t="s">
        <v>2416</v>
      </c>
      <c r="P623" s="7">
        <v>1</v>
      </c>
      <c r="Q623" s="99" t="s">
        <v>2413</v>
      </c>
      <c r="R623" s="6" t="s">
        <v>2417</v>
      </c>
      <c r="S623" s="2" t="s">
        <v>2402</v>
      </c>
    </row>
    <row r="624" spans="1:19" ht="15" customHeight="1">
      <c r="A624" s="21">
        <v>9</v>
      </c>
      <c r="B624" s="2" t="s">
        <v>2227</v>
      </c>
      <c r="C624" s="21">
        <v>0</v>
      </c>
      <c r="D624" s="2" t="s">
        <v>2228</v>
      </c>
      <c r="E624" s="14">
        <v>0</v>
      </c>
      <c r="F624" s="21">
        <v>35</v>
      </c>
      <c r="G624" s="2" t="s">
        <v>2418</v>
      </c>
      <c r="H624" s="23" t="s">
        <v>2419</v>
      </c>
      <c r="I624" s="101" t="s">
        <v>2420</v>
      </c>
      <c r="J624" s="2" t="s">
        <v>24</v>
      </c>
      <c r="K624" s="2" t="s">
        <v>116</v>
      </c>
      <c r="L624" s="9" t="s">
        <v>2420</v>
      </c>
      <c r="M624" s="2" t="s">
        <v>24</v>
      </c>
      <c r="N624" s="2" t="s">
        <v>116</v>
      </c>
      <c r="O624" s="9" t="s">
        <v>2420</v>
      </c>
      <c r="P624" s="7">
        <v>1</v>
      </c>
      <c r="Q624" s="99" t="s">
        <v>2421</v>
      </c>
      <c r="R624" s="6" t="s">
        <v>2422</v>
      </c>
      <c r="S624" s="2" t="s">
        <v>2402</v>
      </c>
    </row>
    <row r="625" spans="1:19" ht="15" customHeight="1">
      <c r="A625" s="21">
        <v>9</v>
      </c>
      <c r="B625" s="2" t="s">
        <v>2227</v>
      </c>
      <c r="C625" s="21">
        <v>0</v>
      </c>
      <c r="D625" s="2" t="s">
        <v>2228</v>
      </c>
      <c r="E625" s="14">
        <v>0</v>
      </c>
      <c r="F625" s="21">
        <v>36</v>
      </c>
      <c r="G625" s="2" t="s">
        <v>2423</v>
      </c>
      <c r="H625" s="23" t="s">
        <v>2424</v>
      </c>
      <c r="I625" s="101" t="s">
        <v>2425</v>
      </c>
      <c r="J625" s="2" t="s">
        <v>24</v>
      </c>
      <c r="K625" s="2" t="s">
        <v>116</v>
      </c>
      <c r="L625" s="9" t="s">
        <v>2425</v>
      </c>
      <c r="M625" s="2" t="s">
        <v>24</v>
      </c>
      <c r="N625" s="2" t="s">
        <v>116</v>
      </c>
      <c r="O625" s="9" t="s">
        <v>2425</v>
      </c>
      <c r="P625" s="7">
        <v>1</v>
      </c>
      <c r="Q625" s="99" t="s">
        <v>2426</v>
      </c>
      <c r="R625" s="6" t="s">
        <v>2427</v>
      </c>
      <c r="S625" s="2" t="s">
        <v>2402</v>
      </c>
    </row>
    <row r="626" spans="1:19" ht="15" customHeight="1">
      <c r="A626" s="21">
        <v>9</v>
      </c>
      <c r="B626" s="2" t="s">
        <v>2227</v>
      </c>
      <c r="C626" s="21">
        <v>0</v>
      </c>
      <c r="D626" s="2" t="s">
        <v>2228</v>
      </c>
      <c r="E626" s="14">
        <v>0</v>
      </c>
      <c r="F626" s="21">
        <v>37</v>
      </c>
      <c r="G626" s="2" t="s">
        <v>2428</v>
      </c>
      <c r="H626" s="23" t="s">
        <v>2429</v>
      </c>
      <c r="I626" s="101" t="s">
        <v>2430</v>
      </c>
      <c r="J626" s="2" t="s">
        <v>24</v>
      </c>
      <c r="K626" s="2" t="s">
        <v>25</v>
      </c>
      <c r="L626" s="6" t="s">
        <v>2431</v>
      </c>
      <c r="M626" s="2" t="s">
        <v>24</v>
      </c>
      <c r="N626" s="2" t="s">
        <v>25</v>
      </c>
      <c r="O626" s="6" t="s">
        <v>2431</v>
      </c>
      <c r="P626" s="7">
        <v>1</v>
      </c>
      <c r="Q626" s="99" t="s">
        <v>2432</v>
      </c>
      <c r="R626" s="6" t="s">
        <v>2433</v>
      </c>
      <c r="S626" s="2" t="s">
        <v>2402</v>
      </c>
    </row>
    <row r="627" spans="1:19" ht="15" customHeight="1">
      <c r="A627" s="21">
        <v>9</v>
      </c>
      <c r="B627" s="2" t="s">
        <v>2227</v>
      </c>
      <c r="C627" s="21">
        <v>0</v>
      </c>
      <c r="D627" s="2" t="s">
        <v>2228</v>
      </c>
      <c r="E627" s="14">
        <v>0</v>
      </c>
      <c r="F627" s="21">
        <v>38</v>
      </c>
      <c r="G627" s="2" t="s">
        <v>2434</v>
      </c>
      <c r="H627" s="23" t="s">
        <v>2435</v>
      </c>
      <c r="I627" s="101" t="s">
        <v>2436</v>
      </c>
      <c r="J627" s="2" t="s">
        <v>23</v>
      </c>
      <c r="K627" s="2" t="s">
        <v>23</v>
      </c>
      <c r="M627" s="2" t="s">
        <v>24</v>
      </c>
      <c r="N627" s="2" t="s">
        <v>133</v>
      </c>
      <c r="O627" s="6"/>
      <c r="P627" s="7">
        <v>1</v>
      </c>
      <c r="Q627" s="99" t="s">
        <v>2437</v>
      </c>
      <c r="R627" s="6" t="s">
        <v>2438</v>
      </c>
      <c r="S627" s="2" t="s">
        <v>2402</v>
      </c>
    </row>
    <row r="628" spans="1:19" ht="15" customHeight="1">
      <c r="A628" s="21">
        <v>9</v>
      </c>
      <c r="B628" s="2" t="s">
        <v>2227</v>
      </c>
      <c r="C628" s="21">
        <v>0</v>
      </c>
      <c r="D628" s="2" t="s">
        <v>2228</v>
      </c>
      <c r="E628" s="14">
        <v>0</v>
      </c>
      <c r="F628" s="21">
        <v>39</v>
      </c>
      <c r="G628" s="2" t="s">
        <v>2439</v>
      </c>
      <c r="H628" s="23" t="s">
        <v>2440</v>
      </c>
      <c r="I628" s="101" t="s">
        <v>2441</v>
      </c>
      <c r="J628" s="2" t="s">
        <v>24</v>
      </c>
      <c r="K628" s="2" t="s">
        <v>23</v>
      </c>
      <c r="L628" s="6" t="s">
        <v>2442</v>
      </c>
      <c r="M628" s="2" t="s">
        <v>24</v>
      </c>
      <c r="N628" s="2" t="s">
        <v>23</v>
      </c>
      <c r="O628" s="6" t="s">
        <v>2442</v>
      </c>
      <c r="P628" s="7">
        <v>1</v>
      </c>
      <c r="Q628" s="99" t="s">
        <v>2443</v>
      </c>
      <c r="R628" s="6" t="s">
        <v>2444</v>
      </c>
      <c r="S628" s="2" t="s">
        <v>2445</v>
      </c>
    </row>
    <row r="629" spans="1:19" ht="15" customHeight="1">
      <c r="A629" s="21">
        <v>9</v>
      </c>
      <c r="B629" s="2" t="s">
        <v>2227</v>
      </c>
      <c r="C629" s="21">
        <v>0</v>
      </c>
      <c r="D629" s="2" t="s">
        <v>2228</v>
      </c>
      <c r="E629" s="14">
        <v>0</v>
      </c>
      <c r="F629" s="21">
        <v>40</v>
      </c>
      <c r="G629" s="2" t="s">
        <v>2446</v>
      </c>
      <c r="H629" s="23" t="s">
        <v>2447</v>
      </c>
      <c r="I629" s="101" t="s">
        <v>2448</v>
      </c>
      <c r="J629" s="2" t="s">
        <v>24</v>
      </c>
      <c r="K629" s="2" t="s">
        <v>23</v>
      </c>
      <c r="L629" s="6" t="s">
        <v>2449</v>
      </c>
      <c r="M629" s="2" t="s">
        <v>24</v>
      </c>
      <c r="N629" s="2" t="s">
        <v>23</v>
      </c>
      <c r="O629" s="6" t="s">
        <v>2449</v>
      </c>
      <c r="P629" s="7">
        <v>1</v>
      </c>
      <c r="Q629" s="99" t="s">
        <v>2450</v>
      </c>
      <c r="R629" s="6" t="s">
        <v>2451</v>
      </c>
      <c r="S629" s="2" t="s">
        <v>2452</v>
      </c>
    </row>
    <row r="630" spans="1:19" ht="15" customHeight="1">
      <c r="A630" s="21">
        <v>9</v>
      </c>
      <c r="B630" s="2" t="s">
        <v>2227</v>
      </c>
      <c r="C630" s="21">
        <v>0</v>
      </c>
      <c r="D630" s="2" t="s">
        <v>2228</v>
      </c>
      <c r="E630" s="14">
        <v>0</v>
      </c>
      <c r="F630" s="21">
        <v>41</v>
      </c>
      <c r="G630" s="2" t="s">
        <v>2453</v>
      </c>
      <c r="H630" s="23" t="s">
        <v>2454</v>
      </c>
      <c r="I630" s="101" t="s">
        <v>2455</v>
      </c>
      <c r="J630" s="2" t="s">
        <v>24</v>
      </c>
      <c r="K630" s="2" t="s">
        <v>23</v>
      </c>
      <c r="L630" s="6" t="s">
        <v>2456</v>
      </c>
      <c r="M630" s="2" t="s">
        <v>24</v>
      </c>
      <c r="N630" s="2" t="s">
        <v>23</v>
      </c>
      <c r="O630" s="6" t="s">
        <v>2456</v>
      </c>
      <c r="P630" s="7">
        <v>1</v>
      </c>
      <c r="Q630" s="99" t="s">
        <v>2457</v>
      </c>
      <c r="R630" s="6" t="s">
        <v>2458</v>
      </c>
      <c r="S630" s="2" t="s">
        <v>2452</v>
      </c>
    </row>
    <row r="631" spans="1:19" ht="15" customHeight="1">
      <c r="A631" s="21">
        <v>9</v>
      </c>
      <c r="B631" s="2" t="s">
        <v>2227</v>
      </c>
      <c r="C631" s="21">
        <v>0</v>
      </c>
      <c r="D631" s="2" t="s">
        <v>2228</v>
      </c>
      <c r="E631" s="14">
        <v>0</v>
      </c>
      <c r="F631" s="21">
        <v>42</v>
      </c>
      <c r="G631" s="2" t="s">
        <v>2459</v>
      </c>
      <c r="H631" s="23" t="s">
        <v>2460</v>
      </c>
      <c r="I631" s="101" t="s">
        <v>2461</v>
      </c>
      <c r="J631" s="2" t="s">
        <v>24</v>
      </c>
      <c r="K631" s="2" t="s">
        <v>23</v>
      </c>
      <c r="L631" s="6" t="s">
        <v>2449</v>
      </c>
      <c r="M631" s="2" t="s">
        <v>24</v>
      </c>
      <c r="N631" s="2" t="s">
        <v>23</v>
      </c>
      <c r="O631" s="6" t="s">
        <v>2449</v>
      </c>
      <c r="P631" s="7">
        <v>1</v>
      </c>
      <c r="Q631" s="99" t="s">
        <v>2462</v>
      </c>
      <c r="R631" s="6" t="s">
        <v>2463</v>
      </c>
      <c r="S631" s="2" t="s">
        <v>2452</v>
      </c>
    </row>
    <row r="632" spans="1:19" ht="15" customHeight="1">
      <c r="A632" s="21">
        <v>9</v>
      </c>
      <c r="B632" s="2" t="s">
        <v>2227</v>
      </c>
      <c r="C632" s="21">
        <v>0</v>
      </c>
      <c r="D632" s="2" t="s">
        <v>2228</v>
      </c>
      <c r="E632" s="14">
        <v>0</v>
      </c>
      <c r="F632" s="21">
        <v>43</v>
      </c>
      <c r="G632" s="2" t="s">
        <v>2464</v>
      </c>
      <c r="H632" s="23" t="s">
        <v>2465</v>
      </c>
      <c r="I632" s="101" t="s">
        <v>2466</v>
      </c>
      <c r="J632" s="2" t="s">
        <v>24</v>
      </c>
      <c r="K632" s="2" t="s">
        <v>23</v>
      </c>
      <c r="L632" s="6" t="s">
        <v>2456</v>
      </c>
      <c r="M632" s="2" t="s">
        <v>24</v>
      </c>
      <c r="N632" s="2" t="s">
        <v>23</v>
      </c>
      <c r="O632" s="6" t="s">
        <v>2456</v>
      </c>
      <c r="P632" s="7">
        <v>1</v>
      </c>
      <c r="Q632" s="99" t="s">
        <v>2467</v>
      </c>
      <c r="R632" s="6" t="s">
        <v>2468</v>
      </c>
      <c r="S632" s="2" t="s">
        <v>2452</v>
      </c>
    </row>
    <row r="633" spans="1:19" ht="15" customHeight="1">
      <c r="A633" s="21">
        <v>9</v>
      </c>
      <c r="B633" s="2" t="s">
        <v>2227</v>
      </c>
      <c r="C633" s="21">
        <v>0</v>
      </c>
      <c r="D633" s="2" t="s">
        <v>2228</v>
      </c>
      <c r="E633" s="14">
        <v>0</v>
      </c>
      <c r="F633" s="21">
        <v>44</v>
      </c>
      <c r="G633" s="2" t="s">
        <v>2469</v>
      </c>
      <c r="H633" s="23" t="s">
        <v>2470</v>
      </c>
      <c r="I633" s="101" t="s">
        <v>2471</v>
      </c>
      <c r="J633" s="2" t="s">
        <v>24</v>
      </c>
      <c r="K633" s="2" t="s">
        <v>25</v>
      </c>
      <c r="L633" s="6" t="s">
        <v>2431</v>
      </c>
      <c r="M633" s="2" t="s">
        <v>24</v>
      </c>
      <c r="N633" s="2" t="s">
        <v>25</v>
      </c>
      <c r="O633" s="6" t="s">
        <v>2431</v>
      </c>
      <c r="P633" s="7">
        <v>1</v>
      </c>
      <c r="Q633" s="99" t="s">
        <v>2472</v>
      </c>
      <c r="R633" s="6" t="s">
        <v>2473</v>
      </c>
      <c r="S633" s="2" t="s">
        <v>2474</v>
      </c>
    </row>
    <row r="634" spans="1:19" ht="15" customHeight="1">
      <c r="A634" s="21">
        <v>9</v>
      </c>
      <c r="B634" s="2" t="s">
        <v>2227</v>
      </c>
      <c r="C634" s="21">
        <v>0</v>
      </c>
      <c r="D634" s="2" t="s">
        <v>2228</v>
      </c>
      <c r="E634" s="14">
        <v>0</v>
      </c>
      <c r="F634" s="21">
        <v>45</v>
      </c>
      <c r="G634" s="2" t="s">
        <v>2475</v>
      </c>
      <c r="H634" s="23" t="s">
        <v>2476</v>
      </c>
      <c r="I634" s="101" t="s">
        <v>2477</v>
      </c>
      <c r="J634" s="2" t="s">
        <v>24</v>
      </c>
      <c r="K634" s="2" t="s">
        <v>116</v>
      </c>
      <c r="L634" s="9" t="s">
        <v>2477</v>
      </c>
      <c r="M634" s="2" t="s">
        <v>24</v>
      </c>
      <c r="N634" s="2" t="s">
        <v>116</v>
      </c>
      <c r="O634" s="9" t="s">
        <v>2477</v>
      </c>
      <c r="P634" s="7">
        <v>1</v>
      </c>
      <c r="Q634" s="99" t="s">
        <v>2478</v>
      </c>
      <c r="R634" s="6" t="s">
        <v>2479</v>
      </c>
      <c r="S634" s="2" t="s">
        <v>2474</v>
      </c>
    </row>
    <row r="635" spans="1:19" ht="15" customHeight="1">
      <c r="A635" s="21">
        <v>9</v>
      </c>
      <c r="B635" s="2" t="s">
        <v>2227</v>
      </c>
      <c r="C635" s="21">
        <v>0</v>
      </c>
      <c r="D635" s="2" t="s">
        <v>2228</v>
      </c>
      <c r="E635" s="14">
        <v>0</v>
      </c>
      <c r="F635" s="21">
        <v>46</v>
      </c>
      <c r="G635" s="2" t="s">
        <v>2480</v>
      </c>
      <c r="H635" s="23" t="s">
        <v>2481</v>
      </c>
      <c r="I635" s="101" t="s">
        <v>2482</v>
      </c>
      <c r="J635" s="2" t="s">
        <v>24</v>
      </c>
      <c r="K635" s="2" t="s">
        <v>23</v>
      </c>
      <c r="L635" s="6" t="s">
        <v>2449</v>
      </c>
      <c r="M635" s="2" t="s">
        <v>24</v>
      </c>
      <c r="N635" s="2" t="s">
        <v>23</v>
      </c>
      <c r="O635" s="6" t="s">
        <v>2449</v>
      </c>
      <c r="P635" s="7">
        <v>1</v>
      </c>
      <c r="Q635" s="99" t="s">
        <v>2483</v>
      </c>
      <c r="R635" s="6" t="s">
        <v>2484</v>
      </c>
      <c r="S635" s="2" t="s">
        <v>2474</v>
      </c>
    </row>
    <row r="636" spans="1:19" ht="15" customHeight="1">
      <c r="A636" s="21">
        <v>9</v>
      </c>
      <c r="B636" s="2" t="s">
        <v>2227</v>
      </c>
      <c r="C636" s="21">
        <v>0</v>
      </c>
      <c r="D636" s="2" t="s">
        <v>2228</v>
      </c>
      <c r="E636" s="14">
        <v>0</v>
      </c>
      <c r="F636" s="21">
        <v>47</v>
      </c>
      <c r="G636" s="2" t="s">
        <v>2485</v>
      </c>
      <c r="H636" s="23" t="s">
        <v>2486</v>
      </c>
      <c r="I636" s="101" t="s">
        <v>2487</v>
      </c>
      <c r="J636" s="2" t="s">
        <v>24</v>
      </c>
      <c r="K636" s="2" t="s">
        <v>23</v>
      </c>
      <c r="L636" s="6" t="s">
        <v>2456</v>
      </c>
      <c r="M636" s="2" t="s">
        <v>24</v>
      </c>
      <c r="N636" s="2" t="s">
        <v>23</v>
      </c>
      <c r="O636" s="6" t="s">
        <v>2456</v>
      </c>
      <c r="P636" s="7">
        <v>1</v>
      </c>
      <c r="Q636" s="99" t="s">
        <v>2488</v>
      </c>
      <c r="R636" s="6" t="s">
        <v>2489</v>
      </c>
      <c r="S636" s="2" t="s">
        <v>2490</v>
      </c>
    </row>
    <row r="637" spans="1:19" ht="15" customHeight="1">
      <c r="A637" s="21">
        <v>9</v>
      </c>
      <c r="B637" s="2" t="s">
        <v>2227</v>
      </c>
      <c r="C637" s="21">
        <v>0</v>
      </c>
      <c r="D637" s="2" t="s">
        <v>2228</v>
      </c>
      <c r="E637" s="14">
        <v>0</v>
      </c>
      <c r="F637" s="21">
        <v>48</v>
      </c>
      <c r="G637" s="2" t="s">
        <v>2491</v>
      </c>
      <c r="H637" s="23" t="s">
        <v>2492</v>
      </c>
      <c r="I637" s="101" t="s">
        <v>2493</v>
      </c>
      <c r="J637" s="2" t="s">
        <v>24</v>
      </c>
      <c r="K637" s="2" t="s">
        <v>23</v>
      </c>
      <c r="L637" s="6" t="s">
        <v>2494</v>
      </c>
      <c r="M637" s="2" t="s">
        <v>24</v>
      </c>
      <c r="N637" s="2" t="s">
        <v>23</v>
      </c>
      <c r="O637" s="6" t="s">
        <v>2494</v>
      </c>
      <c r="P637" s="7">
        <v>1</v>
      </c>
      <c r="Q637" s="99" t="s">
        <v>2495</v>
      </c>
      <c r="R637" s="2" t="s">
        <v>2496</v>
      </c>
    </row>
    <row r="638" spans="1:19" ht="15" customHeight="1">
      <c r="A638" s="21">
        <v>9</v>
      </c>
      <c r="B638" s="2" t="s">
        <v>2227</v>
      </c>
      <c r="C638" s="21">
        <v>1</v>
      </c>
      <c r="D638" s="2" t="s">
        <v>2497</v>
      </c>
      <c r="E638" s="14">
        <v>0</v>
      </c>
      <c r="F638" s="21">
        <v>0</v>
      </c>
      <c r="G638" s="2" t="s">
        <v>20</v>
      </c>
      <c r="H638" s="23" t="s">
        <v>2498</v>
      </c>
      <c r="I638" s="34" t="s">
        <v>2499</v>
      </c>
      <c r="J638" s="2" t="s">
        <v>23</v>
      </c>
      <c r="K638" s="2" t="s">
        <v>23</v>
      </c>
      <c r="M638" s="2" t="s">
        <v>24</v>
      </c>
      <c r="N638" s="2" t="s">
        <v>25</v>
      </c>
      <c r="O638" s="6" t="s">
        <v>26</v>
      </c>
      <c r="P638" s="7">
        <v>1</v>
      </c>
      <c r="Q638" s="1" t="s">
        <v>2500</v>
      </c>
      <c r="R638" s="6" t="s">
        <v>2501</v>
      </c>
    </row>
    <row r="639" spans="1:19" ht="15" customHeight="1">
      <c r="A639" s="21">
        <v>9</v>
      </c>
      <c r="B639" s="2" t="s">
        <v>2227</v>
      </c>
      <c r="C639" s="21">
        <v>1</v>
      </c>
      <c r="D639" s="2" t="s">
        <v>2497</v>
      </c>
      <c r="E639" s="14">
        <v>0</v>
      </c>
      <c r="F639" s="21">
        <v>1</v>
      </c>
      <c r="G639" s="2" t="s">
        <v>2502</v>
      </c>
      <c r="H639" s="23" t="s">
        <v>2503</v>
      </c>
      <c r="I639" s="101" t="s">
        <v>2504</v>
      </c>
      <c r="J639" s="2" t="s">
        <v>23</v>
      </c>
      <c r="K639" s="2" t="s">
        <v>23</v>
      </c>
      <c r="M639" s="2" t="s">
        <v>24</v>
      </c>
      <c r="N639" s="2" t="s">
        <v>133</v>
      </c>
      <c r="O639" s="6"/>
      <c r="P639" s="7">
        <v>1</v>
      </c>
      <c r="Q639" s="99" t="s">
        <v>2505</v>
      </c>
      <c r="R639" s="6" t="s">
        <v>2505</v>
      </c>
    </row>
    <row r="640" spans="1:19" ht="15" customHeight="1">
      <c r="A640" s="21">
        <v>9</v>
      </c>
      <c r="B640" s="2" t="s">
        <v>2227</v>
      </c>
      <c r="C640" s="21">
        <v>1</v>
      </c>
      <c r="D640" s="2" t="s">
        <v>2497</v>
      </c>
      <c r="E640" s="14">
        <v>0</v>
      </c>
      <c r="F640" s="21">
        <v>2</v>
      </c>
      <c r="G640" s="2" t="s">
        <v>2506</v>
      </c>
      <c r="H640" s="23" t="s">
        <v>2507</v>
      </c>
      <c r="I640" s="101" t="s">
        <v>2508</v>
      </c>
      <c r="J640" s="2" t="s">
        <v>23</v>
      </c>
      <c r="K640" s="2" t="s">
        <v>23</v>
      </c>
      <c r="M640" s="2" t="s">
        <v>24</v>
      </c>
      <c r="N640" s="2" t="s">
        <v>263</v>
      </c>
      <c r="O640" s="6"/>
      <c r="P640" s="7">
        <v>1</v>
      </c>
      <c r="Q640" s="99" t="s">
        <v>2509</v>
      </c>
      <c r="R640" s="6" t="s">
        <v>2509</v>
      </c>
    </row>
    <row r="641" spans="1:19" ht="15" customHeight="1">
      <c r="A641" s="21">
        <v>9</v>
      </c>
      <c r="B641" s="2" t="s">
        <v>2227</v>
      </c>
      <c r="C641" s="21">
        <v>1</v>
      </c>
      <c r="D641" s="2" t="s">
        <v>2497</v>
      </c>
      <c r="E641" s="14">
        <v>0</v>
      </c>
      <c r="F641" s="21">
        <v>3</v>
      </c>
      <c r="G641" s="2" t="s">
        <v>2510</v>
      </c>
      <c r="H641" s="23" t="s">
        <v>2511</v>
      </c>
      <c r="I641" s="101" t="s">
        <v>2512</v>
      </c>
      <c r="J641" s="2" t="s">
        <v>23</v>
      </c>
      <c r="K641" s="2" t="s">
        <v>23</v>
      </c>
      <c r="M641" s="2" t="s">
        <v>24</v>
      </c>
      <c r="N641" s="2" t="s">
        <v>206</v>
      </c>
      <c r="O641" s="6"/>
      <c r="P641" s="7">
        <v>1</v>
      </c>
      <c r="Q641" s="99" t="s">
        <v>2513</v>
      </c>
      <c r="R641" s="6" t="s">
        <v>2514</v>
      </c>
    </row>
    <row r="642" spans="1:19" ht="15" customHeight="1">
      <c r="A642" s="21">
        <v>9</v>
      </c>
      <c r="B642" s="2" t="s">
        <v>2227</v>
      </c>
      <c r="C642" s="21">
        <v>1</v>
      </c>
      <c r="D642" s="2" t="s">
        <v>2497</v>
      </c>
      <c r="E642" s="14">
        <v>0</v>
      </c>
      <c r="F642" s="21">
        <v>4</v>
      </c>
      <c r="G642" s="2" t="s">
        <v>2247</v>
      </c>
      <c r="H642" s="23" t="s">
        <v>2515</v>
      </c>
      <c r="I642" s="101" t="s">
        <v>2516</v>
      </c>
      <c r="J642" s="2" t="s">
        <v>23</v>
      </c>
      <c r="K642" s="2" t="s">
        <v>23</v>
      </c>
      <c r="M642" s="2" t="s">
        <v>24</v>
      </c>
      <c r="N642" s="2" t="s">
        <v>116</v>
      </c>
      <c r="O642" s="9" t="s">
        <v>2517</v>
      </c>
      <c r="P642" s="7">
        <v>1</v>
      </c>
      <c r="Q642" s="99" t="s">
        <v>2250</v>
      </c>
      <c r="R642" s="6" t="s">
        <v>2518</v>
      </c>
    </row>
    <row r="643" spans="1:19" ht="15" customHeight="1">
      <c r="A643" s="21">
        <v>9</v>
      </c>
      <c r="B643" s="2" t="s">
        <v>2227</v>
      </c>
      <c r="C643" s="21">
        <v>1</v>
      </c>
      <c r="D643" s="2" t="s">
        <v>2497</v>
      </c>
      <c r="E643" s="14">
        <v>0</v>
      </c>
      <c r="F643" s="21">
        <v>5</v>
      </c>
      <c r="G643" s="2" t="s">
        <v>2519</v>
      </c>
      <c r="H643" s="23" t="s">
        <v>2520</v>
      </c>
      <c r="I643" s="101" t="s">
        <v>2521</v>
      </c>
      <c r="J643" s="2" t="s">
        <v>24</v>
      </c>
      <c r="K643" s="2" t="s">
        <v>25</v>
      </c>
      <c r="L643" s="6" t="s">
        <v>2522</v>
      </c>
      <c r="M643" s="2" t="s">
        <v>24</v>
      </c>
      <c r="N643" s="2" t="s">
        <v>25</v>
      </c>
      <c r="O643" s="6" t="s">
        <v>2522</v>
      </c>
      <c r="P643" s="7">
        <v>1</v>
      </c>
      <c r="Q643" s="99" t="s">
        <v>2523</v>
      </c>
      <c r="R643" s="6" t="s">
        <v>2292</v>
      </c>
    </row>
    <row r="644" spans="1:19" ht="15" customHeight="1">
      <c r="A644" s="21">
        <v>9</v>
      </c>
      <c r="B644" s="2" t="s">
        <v>2227</v>
      </c>
      <c r="C644" s="21">
        <v>1</v>
      </c>
      <c r="D644" s="2" t="s">
        <v>2497</v>
      </c>
      <c r="E644" s="14">
        <v>0</v>
      </c>
      <c r="F644" s="21">
        <v>6</v>
      </c>
      <c r="G644" s="2" t="s">
        <v>2524</v>
      </c>
      <c r="H644" s="23" t="s">
        <v>2525</v>
      </c>
      <c r="I644" s="101" t="s">
        <v>2526</v>
      </c>
      <c r="J644" s="2" t="s">
        <v>24</v>
      </c>
      <c r="K644" s="2" t="s">
        <v>25</v>
      </c>
      <c r="L644" s="6" t="s">
        <v>2527</v>
      </c>
      <c r="M644" s="2" t="s">
        <v>24</v>
      </c>
      <c r="N644" s="2" t="s">
        <v>25</v>
      </c>
      <c r="O644" s="6" t="s">
        <v>2527</v>
      </c>
      <c r="P644" s="7">
        <v>1</v>
      </c>
      <c r="Q644" s="99" t="s">
        <v>2528</v>
      </c>
      <c r="R644" s="6" t="s">
        <v>2529</v>
      </c>
    </row>
    <row r="645" spans="1:19" ht="15" customHeight="1">
      <c r="A645" s="21">
        <v>9</v>
      </c>
      <c r="B645" s="2" t="s">
        <v>2227</v>
      </c>
      <c r="C645" s="21">
        <v>1</v>
      </c>
      <c r="D645" s="2" t="s">
        <v>2497</v>
      </c>
      <c r="E645" s="14">
        <v>0</v>
      </c>
      <c r="F645" s="21">
        <v>7</v>
      </c>
      <c r="G645" s="2" t="s">
        <v>2530</v>
      </c>
      <c r="H645" s="23" t="s">
        <v>2531</v>
      </c>
      <c r="I645" s="101" t="s">
        <v>2532</v>
      </c>
      <c r="J645" s="2" t="s">
        <v>24</v>
      </c>
      <c r="K645" s="2" t="s">
        <v>116</v>
      </c>
      <c r="L645" s="9" t="s">
        <v>2533</v>
      </c>
      <c r="M645" s="2" t="s">
        <v>24</v>
      </c>
      <c r="N645" s="2" t="s">
        <v>116</v>
      </c>
      <c r="O645" s="9" t="s">
        <v>2533</v>
      </c>
      <c r="P645" s="7">
        <v>1</v>
      </c>
      <c r="Q645" s="99" t="s">
        <v>2534</v>
      </c>
      <c r="R645" s="6" t="s">
        <v>2535</v>
      </c>
    </row>
    <row r="646" spans="1:19" ht="15" customHeight="1">
      <c r="A646" s="21">
        <v>9</v>
      </c>
      <c r="B646" s="2" t="s">
        <v>2227</v>
      </c>
      <c r="C646" s="21">
        <v>1</v>
      </c>
      <c r="D646" s="2" t="s">
        <v>2497</v>
      </c>
      <c r="E646" s="14">
        <v>0</v>
      </c>
      <c r="F646" s="21">
        <v>8</v>
      </c>
      <c r="G646" s="2" t="s">
        <v>2536</v>
      </c>
      <c r="H646" s="23" t="s">
        <v>2537</v>
      </c>
      <c r="I646" s="101" t="s">
        <v>2538</v>
      </c>
      <c r="J646" s="2" t="s">
        <v>23</v>
      </c>
      <c r="K646" s="2" t="s">
        <v>23</v>
      </c>
      <c r="M646" s="2" t="s">
        <v>24</v>
      </c>
      <c r="N646" s="2" t="s">
        <v>133</v>
      </c>
      <c r="O646" s="9"/>
      <c r="P646" s="7">
        <v>1</v>
      </c>
      <c r="Q646" s="99" t="s">
        <v>2539</v>
      </c>
      <c r="R646" s="6" t="s">
        <v>2540</v>
      </c>
    </row>
    <row r="647" spans="1:19" ht="15" customHeight="1">
      <c r="A647" s="21">
        <v>9</v>
      </c>
      <c r="B647" s="2" t="s">
        <v>2227</v>
      </c>
      <c r="C647" s="21">
        <v>1</v>
      </c>
      <c r="D647" s="2" t="s">
        <v>2497</v>
      </c>
      <c r="E647" s="14">
        <v>0</v>
      </c>
      <c r="F647" s="21">
        <v>9</v>
      </c>
      <c r="G647" s="2" t="s">
        <v>2541</v>
      </c>
      <c r="H647" s="23" t="s">
        <v>2542</v>
      </c>
      <c r="I647" s="101" t="s">
        <v>2543</v>
      </c>
      <c r="J647" s="2" t="s">
        <v>23</v>
      </c>
      <c r="K647" s="2" t="s">
        <v>23</v>
      </c>
      <c r="M647" s="2" t="s">
        <v>24</v>
      </c>
      <c r="N647" s="2" t="s">
        <v>335</v>
      </c>
      <c r="O647" s="9"/>
      <c r="P647" s="7">
        <v>1</v>
      </c>
      <c r="Q647" s="99" t="s">
        <v>2544</v>
      </c>
      <c r="R647" s="6" t="s">
        <v>2545</v>
      </c>
    </row>
    <row r="648" spans="1:19" ht="15" customHeight="1">
      <c r="A648" s="21">
        <v>9</v>
      </c>
      <c r="B648" s="2" t="s">
        <v>2227</v>
      </c>
      <c r="C648" s="21">
        <v>2</v>
      </c>
      <c r="D648" s="2" t="s">
        <v>2546</v>
      </c>
      <c r="E648" s="14">
        <v>0</v>
      </c>
      <c r="F648" s="21">
        <v>0</v>
      </c>
      <c r="G648" s="2" t="s">
        <v>20</v>
      </c>
      <c r="H648" s="23" t="s">
        <v>2547</v>
      </c>
      <c r="I648" s="34" t="s">
        <v>2548</v>
      </c>
      <c r="J648" s="2" t="s">
        <v>23</v>
      </c>
      <c r="K648" s="2" t="s">
        <v>23</v>
      </c>
      <c r="M648" s="2" t="s">
        <v>24</v>
      </c>
      <c r="N648" s="2" t="s">
        <v>25</v>
      </c>
      <c r="O648" s="5" t="s">
        <v>26</v>
      </c>
      <c r="P648" s="7">
        <v>1</v>
      </c>
      <c r="Q648" s="28" t="s">
        <v>2549</v>
      </c>
    </row>
    <row r="649" spans="1:19" ht="15" customHeight="1">
      <c r="A649" s="21">
        <v>9</v>
      </c>
      <c r="B649" s="2" t="s">
        <v>2227</v>
      </c>
      <c r="C649" s="21">
        <v>2</v>
      </c>
      <c r="D649" s="2" t="s">
        <v>2546</v>
      </c>
      <c r="E649" s="14">
        <v>0</v>
      </c>
      <c r="F649" s="21">
        <v>1</v>
      </c>
      <c r="G649" s="2" t="s">
        <v>314</v>
      </c>
      <c r="H649" s="23" t="s">
        <v>2550</v>
      </c>
      <c r="I649" s="101" t="s">
        <v>2551</v>
      </c>
      <c r="J649" s="2" t="s">
        <v>23</v>
      </c>
      <c r="K649" s="2" t="s">
        <v>23</v>
      </c>
      <c r="M649" s="2" t="s">
        <v>24</v>
      </c>
      <c r="N649" s="2" t="s">
        <v>116</v>
      </c>
      <c r="O649" s="9" t="s">
        <v>2551</v>
      </c>
      <c r="P649" s="7">
        <v>1</v>
      </c>
      <c r="Q649" s="99" t="s">
        <v>1490</v>
      </c>
      <c r="S649" s="2" t="s">
        <v>2552</v>
      </c>
    </row>
    <row r="650" spans="1:19" ht="15" customHeight="1">
      <c r="A650" s="21">
        <v>9</v>
      </c>
      <c r="B650" s="2" t="s">
        <v>2227</v>
      </c>
      <c r="C650" s="21">
        <v>2</v>
      </c>
      <c r="D650" s="2" t="s">
        <v>2546</v>
      </c>
      <c r="E650" s="14">
        <v>0</v>
      </c>
      <c r="F650" s="21">
        <v>2</v>
      </c>
      <c r="G650" s="2" t="s">
        <v>2553</v>
      </c>
      <c r="H650" s="23" t="s">
        <v>2554</v>
      </c>
      <c r="I650" s="101" t="s">
        <v>2555</v>
      </c>
      <c r="J650" s="2" t="s">
        <v>24</v>
      </c>
      <c r="K650" s="2" t="s">
        <v>25</v>
      </c>
      <c r="L650" s="2" t="s">
        <v>2556</v>
      </c>
      <c r="M650" s="2" t="s">
        <v>24</v>
      </c>
      <c r="N650" s="2" t="s">
        <v>25</v>
      </c>
      <c r="O650" s="2" t="s">
        <v>2556</v>
      </c>
      <c r="P650" s="7">
        <v>1</v>
      </c>
      <c r="Q650" s="99" t="s">
        <v>2557</v>
      </c>
      <c r="R650" s="2" t="s">
        <v>2558</v>
      </c>
      <c r="S650" s="2" t="s">
        <v>2552</v>
      </c>
    </row>
    <row r="651" spans="1:19" ht="15" customHeight="1">
      <c r="A651" s="21">
        <v>9</v>
      </c>
      <c r="B651" s="2" t="s">
        <v>2227</v>
      </c>
      <c r="C651" s="21">
        <v>2</v>
      </c>
      <c r="D651" s="2" t="s">
        <v>2546</v>
      </c>
      <c r="E651" s="14">
        <v>0</v>
      </c>
      <c r="F651" s="21">
        <v>3</v>
      </c>
      <c r="G651" s="2" t="s">
        <v>2559</v>
      </c>
      <c r="H651" s="23" t="s">
        <v>2560</v>
      </c>
      <c r="I651" s="101" t="s">
        <v>2561</v>
      </c>
      <c r="J651" s="2" t="s">
        <v>24</v>
      </c>
      <c r="K651" s="2" t="s">
        <v>25</v>
      </c>
      <c r="L651" s="2" t="s">
        <v>2556</v>
      </c>
      <c r="M651" s="2" t="s">
        <v>24</v>
      </c>
      <c r="N651" s="2" t="s">
        <v>25</v>
      </c>
      <c r="O651" s="2" t="s">
        <v>2556</v>
      </c>
      <c r="P651" s="7">
        <v>1</v>
      </c>
      <c r="Q651" s="99" t="s">
        <v>2562</v>
      </c>
      <c r="R651" s="2" t="s">
        <v>2562</v>
      </c>
      <c r="S651" s="2" t="s">
        <v>2552</v>
      </c>
    </row>
    <row r="652" spans="1:19" ht="15" customHeight="1">
      <c r="A652" s="21">
        <v>9</v>
      </c>
      <c r="B652" s="2" t="s">
        <v>2227</v>
      </c>
      <c r="C652" s="21">
        <v>2</v>
      </c>
      <c r="D652" s="2" t="s">
        <v>2546</v>
      </c>
      <c r="E652" s="14">
        <v>0</v>
      </c>
      <c r="F652" s="21">
        <v>4</v>
      </c>
      <c r="G652" s="2" t="s">
        <v>2563</v>
      </c>
      <c r="H652" s="23" t="s">
        <v>2564</v>
      </c>
      <c r="I652" s="101" t="s">
        <v>2565</v>
      </c>
      <c r="J652" s="2" t="s">
        <v>24</v>
      </c>
      <c r="K652" s="2" t="s">
        <v>25</v>
      </c>
      <c r="L652" s="2" t="s">
        <v>2556</v>
      </c>
      <c r="M652" s="2" t="s">
        <v>24</v>
      </c>
      <c r="N652" s="2" t="s">
        <v>25</v>
      </c>
      <c r="O652" s="2" t="s">
        <v>2556</v>
      </c>
      <c r="P652" s="7">
        <v>1</v>
      </c>
      <c r="Q652" s="99" t="s">
        <v>2566</v>
      </c>
      <c r="R652" s="2" t="s">
        <v>2566</v>
      </c>
      <c r="S652" s="2" t="s">
        <v>2552</v>
      </c>
    </row>
    <row r="653" spans="1:19" ht="15" customHeight="1">
      <c r="A653" s="21">
        <v>9</v>
      </c>
      <c r="B653" s="2" t="s">
        <v>2227</v>
      </c>
      <c r="C653" s="21">
        <v>2</v>
      </c>
      <c r="D653" s="2" t="s">
        <v>2546</v>
      </c>
      <c r="E653" s="14">
        <v>0</v>
      </c>
      <c r="F653" s="21">
        <v>5</v>
      </c>
      <c r="G653" s="2" t="s">
        <v>2567</v>
      </c>
      <c r="H653" s="23" t="s">
        <v>2568</v>
      </c>
      <c r="I653" s="101" t="s">
        <v>2569</v>
      </c>
      <c r="J653" s="2" t="s">
        <v>24</v>
      </c>
      <c r="K653" s="2" t="s">
        <v>25</v>
      </c>
      <c r="L653" s="2" t="s">
        <v>2556</v>
      </c>
      <c r="M653" s="2" t="s">
        <v>24</v>
      </c>
      <c r="N653" s="2" t="s">
        <v>25</v>
      </c>
      <c r="O653" s="2" t="s">
        <v>2556</v>
      </c>
      <c r="P653" s="7">
        <v>1</v>
      </c>
      <c r="Q653" s="99" t="s">
        <v>2570</v>
      </c>
      <c r="R653" s="2" t="s">
        <v>2570</v>
      </c>
      <c r="S653" s="2" t="s">
        <v>2552</v>
      </c>
    </row>
    <row r="654" spans="1:19" ht="15" customHeight="1">
      <c r="A654" s="21">
        <v>9</v>
      </c>
      <c r="B654" s="2" t="s">
        <v>2227</v>
      </c>
      <c r="C654" s="21">
        <v>2</v>
      </c>
      <c r="D654" s="2" t="s">
        <v>2546</v>
      </c>
      <c r="E654" s="14">
        <v>0</v>
      </c>
      <c r="F654" s="21">
        <v>6</v>
      </c>
      <c r="G654" s="2" t="s">
        <v>2571</v>
      </c>
      <c r="H654" s="23" t="s">
        <v>2572</v>
      </c>
      <c r="I654" s="101" t="s">
        <v>2573</v>
      </c>
      <c r="J654" s="2" t="s">
        <v>23</v>
      </c>
      <c r="K654" s="2" t="s">
        <v>23</v>
      </c>
      <c r="M654" s="2" t="s">
        <v>24</v>
      </c>
      <c r="N654" s="2" t="s">
        <v>133</v>
      </c>
      <c r="P654" s="7">
        <v>1</v>
      </c>
      <c r="Q654" s="99" t="s">
        <v>2574</v>
      </c>
      <c r="R654" s="2" t="s">
        <v>2575</v>
      </c>
      <c r="S654" s="2" t="s">
        <v>2552</v>
      </c>
    </row>
    <row r="655" spans="1:19" ht="15" customHeight="1">
      <c r="A655" s="21">
        <v>9</v>
      </c>
      <c r="B655" s="2" t="s">
        <v>2227</v>
      </c>
      <c r="C655" s="21">
        <v>2</v>
      </c>
      <c r="D655" s="2" t="s">
        <v>2546</v>
      </c>
      <c r="E655" s="14">
        <v>0</v>
      </c>
      <c r="F655" s="21">
        <v>7</v>
      </c>
      <c r="G655" s="2" t="s">
        <v>2576</v>
      </c>
      <c r="H655" s="23" t="s">
        <v>2577</v>
      </c>
      <c r="I655" s="101" t="s">
        <v>2578</v>
      </c>
      <c r="J655" s="2" t="s">
        <v>23</v>
      </c>
      <c r="K655" s="2" t="s">
        <v>23</v>
      </c>
      <c r="M655" s="2" t="s">
        <v>24</v>
      </c>
      <c r="N655" s="2" t="s">
        <v>263</v>
      </c>
      <c r="P655" s="7">
        <v>1</v>
      </c>
      <c r="Q655" s="99" t="s">
        <v>2579</v>
      </c>
      <c r="R655" s="2" t="s">
        <v>2580</v>
      </c>
      <c r="S655" s="2" t="s">
        <v>2552</v>
      </c>
    </row>
    <row r="656" spans="1:19" ht="15" customHeight="1">
      <c r="A656" s="21">
        <v>9</v>
      </c>
      <c r="B656" s="2" t="s">
        <v>2227</v>
      </c>
      <c r="C656" s="21">
        <v>2</v>
      </c>
      <c r="D656" s="2" t="s">
        <v>2546</v>
      </c>
      <c r="E656" s="14">
        <v>0</v>
      </c>
      <c r="F656" s="21">
        <v>8</v>
      </c>
      <c r="G656" s="2" t="s">
        <v>2581</v>
      </c>
      <c r="H656" s="23" t="s">
        <v>2582</v>
      </c>
      <c r="I656" s="101" t="s">
        <v>2583</v>
      </c>
      <c r="J656" s="2" t="s">
        <v>23</v>
      </c>
      <c r="K656" s="2" t="s">
        <v>23</v>
      </c>
      <c r="M656" s="2" t="s">
        <v>24</v>
      </c>
      <c r="N656" s="2" t="s">
        <v>263</v>
      </c>
      <c r="P656" s="7">
        <v>1</v>
      </c>
      <c r="Q656" s="99" t="s">
        <v>2584</v>
      </c>
      <c r="R656" s="2" t="s">
        <v>2585</v>
      </c>
      <c r="S656" s="2" t="s">
        <v>2586</v>
      </c>
    </row>
    <row r="657" spans="1:19" ht="15" customHeight="1">
      <c r="A657" s="21">
        <v>9</v>
      </c>
      <c r="B657" s="2" t="s">
        <v>2227</v>
      </c>
      <c r="C657" s="21">
        <v>2</v>
      </c>
      <c r="D657" s="2" t="s">
        <v>2546</v>
      </c>
      <c r="E657" s="14">
        <v>0</v>
      </c>
      <c r="F657" s="21">
        <v>9</v>
      </c>
      <c r="G657" s="2" t="s">
        <v>2541</v>
      </c>
      <c r="H657" s="23" t="s">
        <v>2587</v>
      </c>
      <c r="I657" s="101" t="s">
        <v>2588</v>
      </c>
      <c r="J657" s="2" t="s">
        <v>23</v>
      </c>
      <c r="K657" s="2" t="s">
        <v>23</v>
      </c>
      <c r="M657" s="2" t="s">
        <v>24</v>
      </c>
      <c r="N657" s="2" t="s">
        <v>335</v>
      </c>
      <c r="P657" s="7">
        <v>1</v>
      </c>
      <c r="Q657" s="99" t="s">
        <v>2589</v>
      </c>
      <c r="S657" s="2" t="s">
        <v>2590</v>
      </c>
    </row>
    <row r="658" spans="1:19" ht="15" customHeight="1">
      <c r="A658" s="21">
        <v>9</v>
      </c>
      <c r="B658" s="2" t="s">
        <v>2227</v>
      </c>
      <c r="C658" s="21">
        <v>3</v>
      </c>
      <c r="D658" s="2" t="s">
        <v>2591</v>
      </c>
      <c r="E658" s="14">
        <v>0</v>
      </c>
      <c r="F658" s="21">
        <v>0</v>
      </c>
      <c r="G658" s="2" t="s">
        <v>20</v>
      </c>
      <c r="H658" s="23" t="s">
        <v>2592</v>
      </c>
      <c r="I658" s="34" t="s">
        <v>2593</v>
      </c>
      <c r="J658" s="2" t="s">
        <v>23</v>
      </c>
      <c r="K658" s="2" t="s">
        <v>23</v>
      </c>
      <c r="M658" s="2" t="s">
        <v>24</v>
      </c>
      <c r="N658" s="2" t="s">
        <v>25</v>
      </c>
      <c r="O658" s="5" t="s">
        <v>26</v>
      </c>
      <c r="P658" s="7">
        <v>1</v>
      </c>
      <c r="Q658" s="28" t="s">
        <v>2594</v>
      </c>
    </row>
    <row r="659" spans="1:19" ht="15" customHeight="1">
      <c r="A659" s="21">
        <v>9</v>
      </c>
      <c r="B659" s="2" t="s">
        <v>2227</v>
      </c>
      <c r="C659" s="21">
        <v>3</v>
      </c>
      <c r="D659" s="2" t="s">
        <v>2591</v>
      </c>
      <c r="E659" s="14">
        <v>0</v>
      </c>
      <c r="F659" s="21">
        <v>1</v>
      </c>
      <c r="G659" s="2" t="s">
        <v>2571</v>
      </c>
      <c r="H659" s="23" t="s">
        <v>2595</v>
      </c>
      <c r="I659" s="101" t="s">
        <v>2596</v>
      </c>
      <c r="J659" s="2" t="s">
        <v>23</v>
      </c>
      <c r="K659" s="2" t="s">
        <v>23</v>
      </c>
      <c r="M659" s="2" t="s">
        <v>24</v>
      </c>
      <c r="N659" s="2" t="s">
        <v>133</v>
      </c>
      <c r="O659" s="5"/>
      <c r="P659" s="7">
        <v>1</v>
      </c>
      <c r="Q659" s="106" t="s">
        <v>2597</v>
      </c>
    </row>
    <row r="660" spans="1:19" ht="15" customHeight="1">
      <c r="A660" s="21">
        <v>9</v>
      </c>
      <c r="B660" s="2" t="s">
        <v>2227</v>
      </c>
      <c r="C660" s="21">
        <v>3</v>
      </c>
      <c r="D660" s="2" t="s">
        <v>2591</v>
      </c>
      <c r="E660" s="14">
        <v>0</v>
      </c>
      <c r="F660" s="21">
        <v>2</v>
      </c>
      <c r="G660" s="2" t="s">
        <v>2576</v>
      </c>
      <c r="H660" s="23" t="s">
        <v>2598</v>
      </c>
      <c r="I660" s="101" t="s">
        <v>2599</v>
      </c>
      <c r="J660" s="2" t="s">
        <v>23</v>
      </c>
      <c r="K660" s="2" t="s">
        <v>23</v>
      </c>
      <c r="M660" s="2" t="s">
        <v>24</v>
      </c>
      <c r="N660" s="2" t="s">
        <v>263</v>
      </c>
      <c r="O660" s="5"/>
      <c r="P660" s="7">
        <v>1</v>
      </c>
      <c r="Q660" s="106" t="s">
        <v>2600</v>
      </c>
    </row>
    <row r="661" spans="1:19" ht="15" customHeight="1">
      <c r="A661" s="21">
        <v>9</v>
      </c>
      <c r="B661" s="2" t="s">
        <v>2227</v>
      </c>
      <c r="C661" s="21">
        <v>3</v>
      </c>
      <c r="D661" s="2" t="s">
        <v>2591</v>
      </c>
      <c r="E661" s="14">
        <v>0</v>
      </c>
      <c r="F661" s="21">
        <v>3</v>
      </c>
      <c r="G661" s="2" t="s">
        <v>2601</v>
      </c>
      <c r="H661" s="23" t="s">
        <v>2602</v>
      </c>
      <c r="I661" s="101" t="s">
        <v>2603</v>
      </c>
      <c r="J661" s="2" t="s">
        <v>23</v>
      </c>
      <c r="K661" s="2" t="s">
        <v>23</v>
      </c>
      <c r="M661" s="2" t="s">
        <v>24</v>
      </c>
      <c r="N661" s="2" t="s">
        <v>23</v>
      </c>
      <c r="P661" s="7">
        <v>1</v>
      </c>
      <c r="Q661" s="99" t="s">
        <v>2604</v>
      </c>
      <c r="R661" s="2" t="s">
        <v>2605</v>
      </c>
    </row>
    <row r="662" spans="1:19" ht="15" customHeight="1">
      <c r="A662" s="21">
        <v>9</v>
      </c>
      <c r="B662" s="2" t="s">
        <v>2227</v>
      </c>
      <c r="C662" s="21">
        <v>3</v>
      </c>
      <c r="D662" s="2" t="s">
        <v>2591</v>
      </c>
      <c r="E662" s="14">
        <v>0</v>
      </c>
      <c r="F662" s="21">
        <v>4</v>
      </c>
      <c r="G662" s="2" t="s">
        <v>2606</v>
      </c>
      <c r="H662" s="23" t="s">
        <v>2607</v>
      </c>
      <c r="I662" s="101" t="s">
        <v>2608</v>
      </c>
      <c r="J662" s="2" t="s">
        <v>23</v>
      </c>
      <c r="K662" s="2" t="s">
        <v>23</v>
      </c>
      <c r="M662" s="2" t="s">
        <v>24</v>
      </c>
      <c r="N662" s="2" t="s">
        <v>133</v>
      </c>
      <c r="P662" s="7">
        <v>1</v>
      </c>
      <c r="Q662" s="99" t="s">
        <v>2609</v>
      </c>
    </row>
    <row r="663" spans="1:19" ht="15" customHeight="1">
      <c r="A663" s="21">
        <v>9</v>
      </c>
      <c r="B663" s="2" t="s">
        <v>2227</v>
      </c>
      <c r="C663" s="21">
        <v>3</v>
      </c>
      <c r="D663" s="2" t="s">
        <v>2591</v>
      </c>
      <c r="E663" s="14">
        <v>0</v>
      </c>
      <c r="F663" s="21">
        <v>5</v>
      </c>
      <c r="G663" s="2" t="s">
        <v>2610</v>
      </c>
      <c r="H663" s="23" t="s">
        <v>2611</v>
      </c>
      <c r="I663" s="101" t="s">
        <v>2612</v>
      </c>
      <c r="J663" s="2" t="s">
        <v>23</v>
      </c>
      <c r="K663" s="2" t="s">
        <v>23</v>
      </c>
      <c r="M663" s="2" t="s">
        <v>24</v>
      </c>
      <c r="N663" s="2" t="s">
        <v>133</v>
      </c>
      <c r="P663" s="7">
        <v>1</v>
      </c>
      <c r="Q663" s="99" t="s">
        <v>2613</v>
      </c>
    </row>
    <row r="664" spans="1:19" ht="15" customHeight="1">
      <c r="A664" s="21">
        <v>9</v>
      </c>
      <c r="B664" s="2" t="s">
        <v>2227</v>
      </c>
      <c r="C664" s="21">
        <v>3</v>
      </c>
      <c r="D664" s="2" t="s">
        <v>2591</v>
      </c>
      <c r="E664" s="14">
        <v>0</v>
      </c>
      <c r="F664" s="21">
        <v>6</v>
      </c>
      <c r="G664" s="2" t="s">
        <v>2614</v>
      </c>
      <c r="H664" s="23" t="s">
        <v>2615</v>
      </c>
      <c r="I664" s="101" t="s">
        <v>2616</v>
      </c>
      <c r="J664" s="2" t="s">
        <v>23</v>
      </c>
      <c r="K664" s="2" t="s">
        <v>23</v>
      </c>
      <c r="M664" s="2" t="s">
        <v>24</v>
      </c>
      <c r="N664" s="2" t="s">
        <v>133</v>
      </c>
      <c r="P664" s="7">
        <v>1</v>
      </c>
      <c r="Q664" s="99" t="s">
        <v>2617</v>
      </c>
    </row>
    <row r="665" spans="1:19" ht="15" customHeight="1">
      <c r="A665" s="21">
        <v>9</v>
      </c>
      <c r="B665" s="2" t="s">
        <v>2227</v>
      </c>
      <c r="C665" s="21">
        <v>3</v>
      </c>
      <c r="D665" s="2" t="s">
        <v>2591</v>
      </c>
      <c r="E665" s="14">
        <v>0</v>
      </c>
      <c r="F665" s="21">
        <v>7</v>
      </c>
      <c r="G665" s="2" t="s">
        <v>2618</v>
      </c>
      <c r="H665" s="23" t="s">
        <v>2619</v>
      </c>
      <c r="I665" s="101" t="s">
        <v>2620</v>
      </c>
      <c r="J665" s="2" t="s">
        <v>23</v>
      </c>
      <c r="K665" s="2" t="s">
        <v>23</v>
      </c>
      <c r="M665" s="2" t="s">
        <v>24</v>
      </c>
      <c r="N665" s="2" t="s">
        <v>133</v>
      </c>
      <c r="P665" s="7">
        <v>1</v>
      </c>
      <c r="Q665" s="99" t="s">
        <v>2621</v>
      </c>
    </row>
    <row r="666" spans="1:19" ht="15" customHeight="1">
      <c r="A666" s="21">
        <v>9</v>
      </c>
      <c r="B666" s="2" t="s">
        <v>2227</v>
      </c>
      <c r="C666" s="21">
        <v>3</v>
      </c>
      <c r="D666" s="2" t="s">
        <v>2591</v>
      </c>
      <c r="E666" s="14">
        <v>0</v>
      </c>
      <c r="F666" s="21">
        <v>8</v>
      </c>
      <c r="G666" s="2" t="s">
        <v>2622</v>
      </c>
      <c r="H666" s="23" t="s">
        <v>2623</v>
      </c>
      <c r="I666" s="101" t="s">
        <v>2624</v>
      </c>
      <c r="J666" s="2" t="s">
        <v>23</v>
      </c>
      <c r="K666" s="2" t="s">
        <v>23</v>
      </c>
      <c r="M666" s="2" t="s">
        <v>24</v>
      </c>
      <c r="N666" s="2" t="s">
        <v>133</v>
      </c>
      <c r="P666" s="7">
        <v>1</v>
      </c>
      <c r="Q666" s="99" t="s">
        <v>2625</v>
      </c>
    </row>
    <row r="667" spans="1:19" ht="15" customHeight="1">
      <c r="A667" s="21">
        <v>9</v>
      </c>
      <c r="B667" s="2" t="s">
        <v>2227</v>
      </c>
      <c r="C667" s="21">
        <v>4</v>
      </c>
      <c r="D667" s="2" t="s">
        <v>2626</v>
      </c>
      <c r="E667" s="14">
        <v>0</v>
      </c>
      <c r="F667" s="21">
        <v>0</v>
      </c>
      <c r="G667" s="2" t="s">
        <v>20</v>
      </c>
      <c r="H667" s="23" t="s">
        <v>2627</v>
      </c>
      <c r="I667" s="34" t="s">
        <v>2628</v>
      </c>
      <c r="J667" s="2" t="s">
        <v>23</v>
      </c>
      <c r="K667" s="2" t="s">
        <v>23</v>
      </c>
      <c r="M667" s="2" t="s">
        <v>24</v>
      </c>
      <c r="N667" s="2" t="s">
        <v>25</v>
      </c>
      <c r="O667" s="11" t="s">
        <v>26</v>
      </c>
      <c r="P667" s="7">
        <v>1</v>
      </c>
      <c r="Q667" s="1" t="s">
        <v>2629</v>
      </c>
    </row>
    <row r="668" spans="1:19" ht="15" customHeight="1">
      <c r="A668" s="21">
        <v>9</v>
      </c>
      <c r="B668" s="2" t="s">
        <v>2227</v>
      </c>
      <c r="C668" s="21">
        <v>4</v>
      </c>
      <c r="D668" s="2" t="s">
        <v>2626</v>
      </c>
      <c r="E668" s="14">
        <v>0</v>
      </c>
      <c r="F668" s="21">
        <v>1</v>
      </c>
      <c r="G668" s="2" t="s">
        <v>2630</v>
      </c>
      <c r="H668" s="23" t="s">
        <v>2631</v>
      </c>
      <c r="I668" s="101" t="s">
        <v>2632</v>
      </c>
      <c r="J668" s="2" t="s">
        <v>24</v>
      </c>
      <c r="K668" s="2" t="s">
        <v>133</v>
      </c>
      <c r="M668" s="2" t="s">
        <v>24</v>
      </c>
      <c r="N668" s="2" t="s">
        <v>133</v>
      </c>
      <c r="O668" s="11"/>
      <c r="P668" s="7">
        <v>1</v>
      </c>
      <c r="Q668" s="99" t="s">
        <v>2633</v>
      </c>
      <c r="R668" s="2" t="s">
        <v>2634</v>
      </c>
      <c r="S668" s="2" t="s">
        <v>2635</v>
      </c>
    </row>
    <row r="669" spans="1:19" ht="15" customHeight="1">
      <c r="A669" s="21">
        <v>9</v>
      </c>
      <c r="B669" s="2" t="s">
        <v>2227</v>
      </c>
      <c r="C669" s="21">
        <v>4</v>
      </c>
      <c r="D669" s="2" t="s">
        <v>2626</v>
      </c>
      <c r="E669" s="14">
        <v>0</v>
      </c>
      <c r="F669" s="21">
        <v>2</v>
      </c>
      <c r="G669" s="2" t="s">
        <v>2636</v>
      </c>
      <c r="H669" s="23" t="s">
        <v>2637</v>
      </c>
      <c r="I669" s="101" t="s">
        <v>2638</v>
      </c>
      <c r="J669" s="2" t="s">
        <v>24</v>
      </c>
      <c r="K669" s="2" t="s">
        <v>263</v>
      </c>
      <c r="M669" s="2" t="s">
        <v>24</v>
      </c>
      <c r="N669" s="2" t="s">
        <v>263</v>
      </c>
      <c r="O669" s="11"/>
      <c r="P669" s="7">
        <v>1</v>
      </c>
      <c r="Q669" s="99" t="s">
        <v>2639</v>
      </c>
      <c r="R669" s="2" t="s">
        <v>2640</v>
      </c>
    </row>
    <row r="670" spans="1:19" ht="15" customHeight="1">
      <c r="A670" s="21">
        <v>9</v>
      </c>
      <c r="B670" s="2" t="s">
        <v>2227</v>
      </c>
      <c r="C670" s="21">
        <v>4</v>
      </c>
      <c r="D670" s="2" t="s">
        <v>2626</v>
      </c>
      <c r="E670" s="14">
        <v>0</v>
      </c>
      <c r="F670" s="21">
        <v>3</v>
      </c>
      <c r="G670" s="2" t="s">
        <v>2641</v>
      </c>
      <c r="H670" s="23" t="s">
        <v>2642</v>
      </c>
      <c r="I670" s="101" t="s">
        <v>2643</v>
      </c>
      <c r="J670" s="2" t="s">
        <v>24</v>
      </c>
      <c r="K670" s="2" t="s">
        <v>263</v>
      </c>
      <c r="M670" s="2" t="s">
        <v>24</v>
      </c>
      <c r="N670" s="2" t="s">
        <v>263</v>
      </c>
      <c r="O670" s="11"/>
      <c r="P670" s="7">
        <v>1</v>
      </c>
      <c r="Q670" s="99" t="s">
        <v>2644</v>
      </c>
      <c r="R670" s="2" t="s">
        <v>2645</v>
      </c>
    </row>
    <row r="671" spans="1:19" ht="15" customHeight="1">
      <c r="A671" s="21">
        <v>9</v>
      </c>
      <c r="B671" s="2" t="s">
        <v>2227</v>
      </c>
      <c r="C671" s="21">
        <v>4</v>
      </c>
      <c r="D671" s="2" t="s">
        <v>2626</v>
      </c>
      <c r="E671" s="14">
        <v>0</v>
      </c>
      <c r="F671" s="21">
        <v>4</v>
      </c>
      <c r="G671" s="2" t="s">
        <v>2646</v>
      </c>
      <c r="H671" s="23" t="s">
        <v>2647</v>
      </c>
      <c r="I671" s="101" t="s">
        <v>2648</v>
      </c>
      <c r="J671" s="2" t="s">
        <v>24</v>
      </c>
      <c r="K671" s="2" t="s">
        <v>263</v>
      </c>
      <c r="M671" s="2" t="s">
        <v>24</v>
      </c>
      <c r="N671" s="2" t="s">
        <v>263</v>
      </c>
      <c r="O671" s="11"/>
      <c r="P671" s="7">
        <v>1</v>
      </c>
      <c r="Q671" s="99" t="s">
        <v>2649</v>
      </c>
      <c r="R671" s="2" t="s">
        <v>2650</v>
      </c>
    </row>
    <row r="672" spans="1:19" ht="15" customHeight="1">
      <c r="A672" s="21">
        <v>9</v>
      </c>
      <c r="B672" s="2" t="s">
        <v>2227</v>
      </c>
      <c r="C672" s="21">
        <v>4</v>
      </c>
      <c r="D672" s="2" t="s">
        <v>2626</v>
      </c>
      <c r="E672" s="14">
        <v>0</v>
      </c>
      <c r="F672" s="21">
        <v>5</v>
      </c>
      <c r="G672" s="2" t="s">
        <v>2651</v>
      </c>
      <c r="H672" s="23" t="s">
        <v>2652</v>
      </c>
      <c r="I672" s="101" t="s">
        <v>2653</v>
      </c>
      <c r="J672" s="2" t="s">
        <v>24</v>
      </c>
      <c r="K672" s="2" t="s">
        <v>133</v>
      </c>
      <c r="M672" s="2" t="s">
        <v>24</v>
      </c>
      <c r="N672" s="2" t="s">
        <v>133</v>
      </c>
      <c r="O672" s="11"/>
      <c r="P672" s="7">
        <v>1</v>
      </c>
      <c r="Q672" s="99" t="s">
        <v>2654</v>
      </c>
      <c r="R672" s="2" t="s">
        <v>2655</v>
      </c>
    </row>
    <row r="673" spans="1:18" ht="15" customHeight="1">
      <c r="A673" s="21">
        <v>9</v>
      </c>
      <c r="B673" s="2" t="s">
        <v>2227</v>
      </c>
      <c r="C673" s="21">
        <v>4</v>
      </c>
      <c r="D673" s="2" t="s">
        <v>2626</v>
      </c>
      <c r="E673" s="14">
        <v>0</v>
      </c>
      <c r="F673" s="21">
        <v>6</v>
      </c>
      <c r="G673" s="2" t="s">
        <v>2656</v>
      </c>
      <c r="H673" s="23" t="s">
        <v>2657</v>
      </c>
      <c r="I673" s="101" t="s">
        <v>2658</v>
      </c>
      <c r="J673" s="2" t="s">
        <v>24</v>
      </c>
      <c r="K673" s="2" t="s">
        <v>133</v>
      </c>
      <c r="M673" s="2" t="s">
        <v>24</v>
      </c>
      <c r="N673" s="2" t="s">
        <v>133</v>
      </c>
      <c r="O673" s="11"/>
      <c r="P673" s="7">
        <v>1</v>
      </c>
      <c r="Q673" s="99" t="s">
        <v>2659</v>
      </c>
      <c r="R673" s="2" t="s">
        <v>2660</v>
      </c>
    </row>
    <row r="674" spans="1:18" ht="15" customHeight="1">
      <c r="A674" s="21">
        <v>9</v>
      </c>
      <c r="B674" s="2" t="s">
        <v>2227</v>
      </c>
      <c r="C674" s="21">
        <v>4</v>
      </c>
      <c r="D674" s="2" t="s">
        <v>2626</v>
      </c>
      <c r="E674" s="14">
        <v>0</v>
      </c>
      <c r="F674" s="21">
        <v>7</v>
      </c>
      <c r="G674" s="2" t="s">
        <v>2661</v>
      </c>
      <c r="H674" s="23" t="s">
        <v>2662</v>
      </c>
      <c r="I674" s="101" t="s">
        <v>2663</v>
      </c>
      <c r="J674" s="2" t="s">
        <v>24</v>
      </c>
      <c r="K674" s="2" t="s">
        <v>139</v>
      </c>
      <c r="M674" s="2" t="s">
        <v>24</v>
      </c>
      <c r="N674" s="2" t="s">
        <v>139</v>
      </c>
      <c r="O674" s="11"/>
      <c r="P674" s="7">
        <v>1</v>
      </c>
      <c r="Q674" s="99" t="s">
        <v>2664</v>
      </c>
      <c r="R674" s="2" t="s">
        <v>2665</v>
      </c>
    </row>
    <row r="675" spans="1:18" ht="15" customHeight="1">
      <c r="A675" s="21">
        <v>9</v>
      </c>
      <c r="B675" s="2" t="s">
        <v>2227</v>
      </c>
      <c r="C675" s="21">
        <v>4</v>
      </c>
      <c r="D675" s="2" t="s">
        <v>2626</v>
      </c>
      <c r="E675" s="14">
        <v>0</v>
      </c>
      <c r="F675" s="21">
        <v>8</v>
      </c>
      <c r="G675" s="2" t="s">
        <v>2666</v>
      </c>
      <c r="H675" s="23" t="s">
        <v>2667</v>
      </c>
      <c r="I675" s="101" t="s">
        <v>2668</v>
      </c>
      <c r="J675" s="2" t="s">
        <v>23</v>
      </c>
      <c r="K675" s="2" t="s">
        <v>23</v>
      </c>
      <c r="M675" s="2" t="s">
        <v>24</v>
      </c>
      <c r="N675" s="2" t="s">
        <v>116</v>
      </c>
      <c r="O675" s="11" t="s">
        <v>2668</v>
      </c>
      <c r="P675" s="7">
        <v>1</v>
      </c>
      <c r="Q675" s="99" t="s">
        <v>2669</v>
      </c>
      <c r="R675" s="2" t="s">
        <v>2670</v>
      </c>
    </row>
    <row r="676" spans="1:18" ht="15" customHeight="1">
      <c r="A676" s="21">
        <v>9</v>
      </c>
      <c r="B676" s="2" t="s">
        <v>2227</v>
      </c>
      <c r="C676" s="21">
        <v>4</v>
      </c>
      <c r="D676" s="2" t="s">
        <v>2626</v>
      </c>
      <c r="E676" s="14">
        <v>0</v>
      </c>
      <c r="F676" s="21">
        <v>9</v>
      </c>
      <c r="G676" s="2" t="s">
        <v>2671</v>
      </c>
      <c r="H676" s="23" t="s">
        <v>2672</v>
      </c>
      <c r="I676" s="101" t="s">
        <v>2673</v>
      </c>
      <c r="J676" s="2" t="s">
        <v>23</v>
      </c>
      <c r="K676" s="2" t="s">
        <v>23</v>
      </c>
      <c r="M676" s="2" t="s">
        <v>24</v>
      </c>
      <c r="N676" s="2" t="s">
        <v>116</v>
      </c>
      <c r="O676" s="11" t="s">
        <v>2674</v>
      </c>
      <c r="P676" s="7">
        <v>1</v>
      </c>
      <c r="Q676" s="99" t="s">
        <v>2675</v>
      </c>
      <c r="R676" s="2" t="s">
        <v>2676</v>
      </c>
    </row>
    <row r="677" spans="1:18" ht="15" customHeight="1">
      <c r="A677" s="21">
        <v>9</v>
      </c>
      <c r="B677" s="2" t="s">
        <v>2227</v>
      </c>
      <c r="C677" s="21">
        <v>4</v>
      </c>
      <c r="D677" s="2" t="s">
        <v>2626</v>
      </c>
      <c r="E677" s="14">
        <v>0</v>
      </c>
      <c r="F677" s="21">
        <v>10</v>
      </c>
      <c r="G677" s="2" t="s">
        <v>2677</v>
      </c>
      <c r="H677" s="23" t="s">
        <v>2678</v>
      </c>
      <c r="I677" s="101" t="s">
        <v>2679</v>
      </c>
      <c r="J677" s="2" t="s">
        <v>23</v>
      </c>
      <c r="K677" s="2" t="s">
        <v>23</v>
      </c>
      <c r="M677" s="2" t="s">
        <v>38</v>
      </c>
      <c r="N677" s="2" t="s">
        <v>23</v>
      </c>
      <c r="O677" s="11"/>
      <c r="P677" s="7">
        <v>1</v>
      </c>
      <c r="Q677" s="99" t="s">
        <v>2680</v>
      </c>
      <c r="R677" s="2" t="s">
        <v>2681</v>
      </c>
    </row>
    <row r="678" spans="1:18" ht="15" customHeight="1">
      <c r="A678" s="21">
        <v>9</v>
      </c>
      <c r="B678" s="2" t="s">
        <v>2227</v>
      </c>
      <c r="C678" s="21">
        <v>4</v>
      </c>
      <c r="D678" s="2" t="s">
        <v>2626</v>
      </c>
      <c r="E678" s="14">
        <v>0</v>
      </c>
      <c r="F678" s="21">
        <v>11</v>
      </c>
      <c r="G678" s="2" t="s">
        <v>2682</v>
      </c>
      <c r="H678" s="23" t="s">
        <v>2683</v>
      </c>
      <c r="I678" s="101" t="s">
        <v>2684</v>
      </c>
      <c r="J678" s="2" t="s">
        <v>23</v>
      </c>
      <c r="K678" s="2" t="s">
        <v>23</v>
      </c>
      <c r="M678" s="2" t="s">
        <v>38</v>
      </c>
      <c r="N678" s="2" t="s">
        <v>23</v>
      </c>
      <c r="O678" s="11"/>
      <c r="P678" s="7">
        <v>1</v>
      </c>
      <c r="Q678" s="99" t="s">
        <v>2685</v>
      </c>
      <c r="R678" s="2" t="s">
        <v>2686</v>
      </c>
    </row>
    <row r="679" spans="1:18" ht="15" customHeight="1">
      <c r="A679" s="21">
        <v>9</v>
      </c>
      <c r="B679" s="2" t="s">
        <v>2227</v>
      </c>
      <c r="C679" s="21">
        <v>4</v>
      </c>
      <c r="D679" s="2" t="s">
        <v>2626</v>
      </c>
      <c r="E679" s="14">
        <v>0</v>
      </c>
      <c r="F679" s="21">
        <v>12</v>
      </c>
      <c r="G679" s="2" t="s">
        <v>2687</v>
      </c>
      <c r="H679" s="23" t="s">
        <v>2688</v>
      </c>
      <c r="I679" s="101" t="s">
        <v>2689</v>
      </c>
      <c r="J679" s="2" t="s">
        <v>23</v>
      </c>
      <c r="K679" s="2" t="s">
        <v>23</v>
      </c>
      <c r="M679" s="2" t="s">
        <v>24</v>
      </c>
      <c r="N679" s="2" t="s">
        <v>25</v>
      </c>
      <c r="O679" s="11"/>
      <c r="P679" s="7">
        <v>1</v>
      </c>
      <c r="Q679" s="99" t="s">
        <v>2690</v>
      </c>
      <c r="R679" s="2" t="s">
        <v>2691</v>
      </c>
    </row>
    <row r="680" spans="1:18" ht="15" customHeight="1">
      <c r="A680" s="21">
        <v>9</v>
      </c>
      <c r="B680" s="2" t="s">
        <v>2227</v>
      </c>
      <c r="C680" s="21">
        <v>4</v>
      </c>
      <c r="D680" s="2" t="s">
        <v>2626</v>
      </c>
      <c r="E680" s="14">
        <v>0</v>
      </c>
      <c r="F680" s="21">
        <v>13</v>
      </c>
      <c r="G680" s="2" t="s">
        <v>2692</v>
      </c>
      <c r="H680" s="23" t="s">
        <v>2693</v>
      </c>
      <c r="I680" s="101" t="s">
        <v>2694</v>
      </c>
      <c r="J680" s="2" t="s">
        <v>23</v>
      </c>
      <c r="K680" s="2" t="s">
        <v>23</v>
      </c>
      <c r="M680" s="2" t="s">
        <v>24</v>
      </c>
      <c r="N680" s="2" t="s">
        <v>116</v>
      </c>
      <c r="O680" s="11" t="s">
        <v>2694</v>
      </c>
      <c r="P680" s="7">
        <v>1</v>
      </c>
      <c r="Q680" s="99" t="s">
        <v>2695</v>
      </c>
      <c r="R680" s="2" t="s">
        <v>2696</v>
      </c>
    </row>
    <row r="681" spans="1:18" ht="15" customHeight="1">
      <c r="A681" s="72"/>
      <c r="C681" s="72"/>
      <c r="E681" s="86"/>
      <c r="F681" s="72"/>
      <c r="H681" s="87" t="s">
        <v>234</v>
      </c>
      <c r="I681" s="105"/>
      <c r="O681" s="11"/>
      <c r="P681" s="7"/>
      <c r="Q681" s="99"/>
    </row>
    <row r="682" spans="1:18" ht="15" customHeight="1">
      <c r="A682" s="21">
        <v>10</v>
      </c>
      <c r="B682" s="2" t="s">
        <v>2697</v>
      </c>
      <c r="C682" s="21">
        <v>0</v>
      </c>
      <c r="D682" s="2" t="s">
        <v>2698</v>
      </c>
      <c r="E682" s="14">
        <v>0</v>
      </c>
      <c r="F682" s="21">
        <v>0</v>
      </c>
      <c r="G682" s="2" t="s">
        <v>20</v>
      </c>
      <c r="H682" s="23" t="s">
        <v>2699</v>
      </c>
      <c r="I682" s="34" t="s">
        <v>2700</v>
      </c>
      <c r="J682" s="2" t="s">
        <v>23</v>
      </c>
      <c r="K682" s="2" t="s">
        <v>23</v>
      </c>
      <c r="M682" s="2" t="s">
        <v>24</v>
      </c>
      <c r="N682" s="2" t="s">
        <v>25</v>
      </c>
      <c r="O682" s="5" t="s">
        <v>26</v>
      </c>
      <c r="P682" s="7">
        <v>1</v>
      </c>
      <c r="Q682" s="1" t="s">
        <v>2701</v>
      </c>
    </row>
    <row r="683" spans="1:18" ht="15" customHeight="1">
      <c r="A683" s="21">
        <v>10</v>
      </c>
      <c r="B683" s="2" t="s">
        <v>2697</v>
      </c>
      <c r="C683" s="21">
        <v>0</v>
      </c>
      <c r="D683" s="2" t="s">
        <v>2698</v>
      </c>
      <c r="E683" s="14">
        <v>0</v>
      </c>
      <c r="F683" s="21">
        <v>1</v>
      </c>
      <c r="G683" s="2" t="s">
        <v>2392</v>
      </c>
      <c r="H683" s="23" t="s">
        <v>2702</v>
      </c>
      <c r="I683" s="101" t="s">
        <v>2703</v>
      </c>
      <c r="J683" s="2" t="s">
        <v>23</v>
      </c>
      <c r="K683" s="2" t="s">
        <v>23</v>
      </c>
      <c r="M683" s="2" t="s">
        <v>24</v>
      </c>
      <c r="N683" s="2" t="s">
        <v>116</v>
      </c>
      <c r="O683" s="9" t="s">
        <v>2703</v>
      </c>
      <c r="P683" s="7">
        <v>1</v>
      </c>
      <c r="Q683" s="99" t="s">
        <v>2704</v>
      </c>
    </row>
    <row r="684" spans="1:18" ht="15" customHeight="1">
      <c r="A684" s="21">
        <v>10</v>
      </c>
      <c r="B684" s="2" t="s">
        <v>2697</v>
      </c>
      <c r="C684" s="21">
        <v>0</v>
      </c>
      <c r="D684" s="2" t="s">
        <v>2698</v>
      </c>
      <c r="E684" s="14">
        <v>0</v>
      </c>
      <c r="F684" s="21">
        <v>2</v>
      </c>
      <c r="G684" s="2" t="s">
        <v>2705</v>
      </c>
      <c r="H684" s="23" t="s">
        <v>2706</v>
      </c>
      <c r="I684" s="101" t="s">
        <v>2707</v>
      </c>
      <c r="J684" s="2" t="s">
        <v>23</v>
      </c>
      <c r="K684" s="2" t="s">
        <v>23</v>
      </c>
      <c r="M684" s="2" t="s">
        <v>24</v>
      </c>
      <c r="N684" s="2" t="s">
        <v>23</v>
      </c>
      <c r="P684" s="7">
        <v>1</v>
      </c>
      <c r="Q684" s="99" t="s">
        <v>2708</v>
      </c>
      <c r="R684" s="2" t="s">
        <v>2709</v>
      </c>
    </row>
    <row r="685" spans="1:18" ht="15" customHeight="1">
      <c r="A685" s="21">
        <v>10</v>
      </c>
      <c r="B685" s="2" t="s">
        <v>2697</v>
      </c>
      <c r="C685" s="21">
        <v>0</v>
      </c>
      <c r="D685" s="2" t="s">
        <v>2698</v>
      </c>
      <c r="E685" s="14">
        <v>0</v>
      </c>
      <c r="F685" s="21">
        <v>3</v>
      </c>
      <c r="G685" s="2" t="s">
        <v>2710</v>
      </c>
      <c r="H685" s="23" t="s">
        <v>2711</v>
      </c>
      <c r="I685" s="101" t="s">
        <v>2712</v>
      </c>
      <c r="J685" s="2" t="s">
        <v>23</v>
      </c>
      <c r="K685" s="2" t="s">
        <v>23</v>
      </c>
      <c r="M685" s="2" t="s">
        <v>24</v>
      </c>
      <c r="N685" s="2" t="s">
        <v>23</v>
      </c>
      <c r="P685" s="7">
        <v>1</v>
      </c>
      <c r="Q685" s="99" t="s">
        <v>2713</v>
      </c>
      <c r="R685" s="2" t="s">
        <v>2714</v>
      </c>
    </row>
    <row r="686" spans="1:18" ht="15" customHeight="1">
      <c r="A686" s="21">
        <v>10</v>
      </c>
      <c r="B686" s="2" t="s">
        <v>2697</v>
      </c>
      <c r="C686" s="21">
        <v>0</v>
      </c>
      <c r="D686" s="2" t="s">
        <v>2698</v>
      </c>
      <c r="E686" s="14">
        <v>0</v>
      </c>
      <c r="F686" s="21">
        <v>4</v>
      </c>
      <c r="G686" s="2" t="s">
        <v>2606</v>
      </c>
      <c r="H686" s="23" t="s">
        <v>2715</v>
      </c>
      <c r="I686" s="101" t="s">
        <v>2716</v>
      </c>
      <c r="J686" s="2" t="s">
        <v>23</v>
      </c>
      <c r="K686" s="2" t="s">
        <v>23</v>
      </c>
      <c r="M686" s="2" t="s">
        <v>24</v>
      </c>
      <c r="N686" s="2" t="s">
        <v>23</v>
      </c>
      <c r="P686" s="7">
        <v>1</v>
      </c>
      <c r="Q686" s="99" t="s">
        <v>2717</v>
      </c>
      <c r="R686" s="2" t="s">
        <v>2718</v>
      </c>
    </row>
    <row r="687" spans="1:18" ht="15" customHeight="1">
      <c r="A687" s="21">
        <v>10</v>
      </c>
      <c r="B687" s="2" t="s">
        <v>2697</v>
      </c>
      <c r="C687" s="21">
        <v>0</v>
      </c>
      <c r="D687" s="2" t="s">
        <v>2698</v>
      </c>
      <c r="E687" s="14">
        <v>0</v>
      </c>
      <c r="F687" s="21">
        <v>5</v>
      </c>
      <c r="G687" s="2" t="s">
        <v>2610</v>
      </c>
      <c r="H687" s="23" t="s">
        <v>2719</v>
      </c>
      <c r="I687" s="101" t="s">
        <v>2720</v>
      </c>
      <c r="J687" s="2" t="s">
        <v>23</v>
      </c>
      <c r="K687" s="2" t="s">
        <v>23</v>
      </c>
      <c r="M687" s="2" t="s">
        <v>24</v>
      </c>
      <c r="N687" s="2" t="s">
        <v>23</v>
      </c>
      <c r="P687" s="7">
        <v>1</v>
      </c>
      <c r="Q687" s="99" t="s">
        <v>2721</v>
      </c>
      <c r="R687" s="2" t="s">
        <v>2722</v>
      </c>
    </row>
    <row r="688" spans="1:18" ht="15" customHeight="1">
      <c r="A688" s="21">
        <v>10</v>
      </c>
      <c r="B688" s="2" t="s">
        <v>2697</v>
      </c>
      <c r="C688" s="21">
        <v>0</v>
      </c>
      <c r="D688" s="2" t="s">
        <v>2698</v>
      </c>
      <c r="E688" s="14">
        <v>0</v>
      </c>
      <c r="F688" s="21">
        <v>6</v>
      </c>
      <c r="G688" s="2" t="s">
        <v>2614</v>
      </c>
      <c r="H688" s="23" t="s">
        <v>2723</v>
      </c>
      <c r="I688" s="101" t="s">
        <v>2724</v>
      </c>
      <c r="J688" s="2" t="s">
        <v>23</v>
      </c>
      <c r="K688" s="2" t="s">
        <v>23</v>
      </c>
      <c r="M688" s="2" t="s">
        <v>24</v>
      </c>
      <c r="N688" s="2" t="s">
        <v>23</v>
      </c>
      <c r="P688" s="7">
        <v>1</v>
      </c>
      <c r="Q688" s="99" t="s">
        <v>2725</v>
      </c>
      <c r="R688" s="2" t="s">
        <v>2726</v>
      </c>
    </row>
    <row r="689" spans="1:19" ht="15" customHeight="1">
      <c r="A689" s="21">
        <v>10</v>
      </c>
      <c r="B689" s="2" t="s">
        <v>2697</v>
      </c>
      <c r="C689" s="21">
        <v>0</v>
      </c>
      <c r="D689" s="2" t="s">
        <v>2698</v>
      </c>
      <c r="E689" s="14">
        <v>0</v>
      </c>
      <c r="F689" s="21">
        <v>7</v>
      </c>
      <c r="G689" s="2" t="s">
        <v>2618</v>
      </c>
      <c r="H689" s="23" t="s">
        <v>2727</v>
      </c>
      <c r="I689" s="101" t="s">
        <v>2728</v>
      </c>
      <c r="J689" s="2" t="s">
        <v>23</v>
      </c>
      <c r="K689" s="2" t="s">
        <v>23</v>
      </c>
      <c r="M689" s="2" t="s">
        <v>24</v>
      </c>
      <c r="N689" s="2" t="s">
        <v>23</v>
      </c>
      <c r="P689" s="7">
        <v>1</v>
      </c>
      <c r="Q689" s="99" t="s">
        <v>2729</v>
      </c>
      <c r="R689" s="2" t="s">
        <v>2730</v>
      </c>
    </row>
    <row r="690" spans="1:19" ht="15" customHeight="1">
      <c r="A690" s="21">
        <v>10</v>
      </c>
      <c r="B690" s="2" t="s">
        <v>2697</v>
      </c>
      <c r="C690" s="21">
        <v>0</v>
      </c>
      <c r="D690" s="2" t="s">
        <v>2698</v>
      </c>
      <c r="E690" s="14">
        <v>0</v>
      </c>
      <c r="F690" s="21">
        <v>8</v>
      </c>
      <c r="G690" s="2" t="s">
        <v>2622</v>
      </c>
      <c r="H690" s="23" t="s">
        <v>2731</v>
      </c>
      <c r="I690" s="101" t="s">
        <v>2732</v>
      </c>
      <c r="J690" s="2" t="s">
        <v>23</v>
      </c>
      <c r="K690" s="2" t="s">
        <v>23</v>
      </c>
      <c r="M690" s="2" t="s">
        <v>24</v>
      </c>
      <c r="N690" s="2" t="s">
        <v>23</v>
      </c>
      <c r="P690" s="7">
        <v>1</v>
      </c>
      <c r="Q690" s="99" t="s">
        <v>2733</v>
      </c>
      <c r="R690" s="2" t="s">
        <v>2734</v>
      </c>
    </row>
    <row r="691" spans="1:19" ht="15" customHeight="1">
      <c r="A691" s="21">
        <v>10</v>
      </c>
      <c r="B691" s="2" t="s">
        <v>2697</v>
      </c>
      <c r="C691" s="21">
        <v>0</v>
      </c>
      <c r="D691" s="2" t="s">
        <v>2698</v>
      </c>
      <c r="E691" s="14">
        <v>0</v>
      </c>
      <c r="F691" s="21">
        <v>9</v>
      </c>
      <c r="G691" s="2" t="s">
        <v>273</v>
      </c>
      <c r="H691" s="23" t="s">
        <v>2735</v>
      </c>
      <c r="I691" s="101" t="s">
        <v>2736</v>
      </c>
      <c r="J691" s="2" t="s">
        <v>23</v>
      </c>
      <c r="K691" s="2" t="s">
        <v>23</v>
      </c>
      <c r="M691" s="2" t="s">
        <v>24</v>
      </c>
      <c r="N691" s="2" t="s">
        <v>139</v>
      </c>
      <c r="P691" s="7">
        <v>1</v>
      </c>
      <c r="Q691" s="99" t="s">
        <v>2737</v>
      </c>
    </row>
    <row r="692" spans="1:19" ht="15" customHeight="1">
      <c r="A692" s="21">
        <v>10</v>
      </c>
      <c r="B692" s="2" t="s">
        <v>2697</v>
      </c>
      <c r="C692" s="21">
        <v>1</v>
      </c>
      <c r="D692" s="2" t="s">
        <v>2738</v>
      </c>
      <c r="E692" s="14">
        <v>0</v>
      </c>
      <c r="F692" s="21">
        <v>0</v>
      </c>
      <c r="G692" s="2" t="s">
        <v>20</v>
      </c>
      <c r="H692" s="23" t="s">
        <v>2739</v>
      </c>
      <c r="I692" s="34" t="s">
        <v>2740</v>
      </c>
      <c r="J692" s="2" t="s">
        <v>23</v>
      </c>
      <c r="K692" s="2" t="s">
        <v>23</v>
      </c>
      <c r="M692" s="2" t="s">
        <v>24</v>
      </c>
      <c r="N692" s="2" t="s">
        <v>25</v>
      </c>
      <c r="O692" s="5" t="s">
        <v>26</v>
      </c>
      <c r="P692" s="7">
        <v>1</v>
      </c>
      <c r="Q692" s="28" t="s">
        <v>2741</v>
      </c>
    </row>
    <row r="693" spans="1:19" ht="15" customHeight="1">
      <c r="A693" s="21">
        <v>10</v>
      </c>
      <c r="B693" s="2" t="s">
        <v>2697</v>
      </c>
      <c r="C693" s="21">
        <v>1</v>
      </c>
      <c r="D693" s="2" t="s">
        <v>2738</v>
      </c>
      <c r="E693" s="14">
        <v>0</v>
      </c>
      <c r="F693" s="21">
        <v>1</v>
      </c>
      <c r="G693" s="2" t="s">
        <v>2742</v>
      </c>
      <c r="H693" s="23" t="s">
        <v>2743</v>
      </c>
      <c r="I693" s="101" t="s">
        <v>2744</v>
      </c>
      <c r="J693" s="2" t="s">
        <v>24</v>
      </c>
      <c r="K693" s="2" t="s">
        <v>25</v>
      </c>
      <c r="L693" s="6" t="s">
        <v>2745</v>
      </c>
      <c r="M693" s="2" t="s">
        <v>24</v>
      </c>
      <c r="N693" s="2" t="s">
        <v>25</v>
      </c>
      <c r="O693" s="6" t="s">
        <v>2745</v>
      </c>
      <c r="P693" s="7">
        <v>1</v>
      </c>
      <c r="Q693" s="99" t="s">
        <v>2746</v>
      </c>
      <c r="R693" s="2" t="s">
        <v>2747</v>
      </c>
    </row>
    <row r="694" spans="1:19" ht="15" customHeight="1">
      <c r="A694" s="21">
        <v>10</v>
      </c>
      <c r="B694" s="2" t="s">
        <v>2697</v>
      </c>
      <c r="C694" s="21">
        <v>1</v>
      </c>
      <c r="D694" s="2" t="s">
        <v>2738</v>
      </c>
      <c r="E694" s="14">
        <v>0</v>
      </c>
      <c r="F694" s="21">
        <v>2</v>
      </c>
      <c r="G694" s="2" t="s">
        <v>2748</v>
      </c>
      <c r="H694" s="23" t="s">
        <v>2749</v>
      </c>
      <c r="I694" s="101" t="s">
        <v>2750</v>
      </c>
      <c r="J694" s="2" t="s">
        <v>23</v>
      </c>
      <c r="K694" s="2" t="s">
        <v>23</v>
      </c>
      <c r="M694" s="2" t="s">
        <v>24</v>
      </c>
      <c r="N694" s="2" t="s">
        <v>25</v>
      </c>
      <c r="O694" s="6" t="s">
        <v>2751</v>
      </c>
      <c r="P694" s="7">
        <v>1</v>
      </c>
      <c r="Q694" s="99" t="s">
        <v>2752</v>
      </c>
    </row>
    <row r="695" spans="1:19" ht="15" customHeight="1">
      <c r="A695" s="21">
        <v>10</v>
      </c>
      <c r="B695" s="2" t="s">
        <v>2697</v>
      </c>
      <c r="C695" s="21">
        <v>1</v>
      </c>
      <c r="D695" s="2" t="s">
        <v>2738</v>
      </c>
      <c r="E695" s="14">
        <v>0</v>
      </c>
      <c r="F695" s="21">
        <v>3</v>
      </c>
      <c r="G695" s="2" t="s">
        <v>2753</v>
      </c>
      <c r="H695" s="23" t="s">
        <v>2754</v>
      </c>
      <c r="I695" s="101" t="s">
        <v>2755</v>
      </c>
      <c r="J695" s="2" t="s">
        <v>23</v>
      </c>
      <c r="K695" s="2" t="s">
        <v>23</v>
      </c>
      <c r="M695" s="2" t="s">
        <v>24</v>
      </c>
      <c r="N695" s="2" t="s">
        <v>25</v>
      </c>
      <c r="O695" s="6" t="s">
        <v>2756</v>
      </c>
      <c r="P695" s="7">
        <v>1</v>
      </c>
      <c r="Q695" s="99" t="s">
        <v>2757</v>
      </c>
    </row>
    <row r="696" spans="1:19" ht="15" customHeight="1">
      <c r="A696" s="21">
        <v>10</v>
      </c>
      <c r="B696" s="2" t="s">
        <v>2697</v>
      </c>
      <c r="C696" s="21">
        <v>1</v>
      </c>
      <c r="D696" s="2" t="s">
        <v>2738</v>
      </c>
      <c r="E696" s="14">
        <v>0</v>
      </c>
      <c r="F696" s="21">
        <v>4</v>
      </c>
      <c r="G696" s="2" t="s">
        <v>2758</v>
      </c>
      <c r="H696" s="23" t="s">
        <v>2759</v>
      </c>
      <c r="I696" s="101" t="s">
        <v>2760</v>
      </c>
      <c r="J696" s="2" t="s">
        <v>23</v>
      </c>
      <c r="K696" s="2" t="s">
        <v>23</v>
      </c>
      <c r="M696" s="2" t="s">
        <v>24</v>
      </c>
      <c r="N696" s="2" t="s">
        <v>1900</v>
      </c>
      <c r="O696" s="6"/>
      <c r="P696" s="7">
        <v>1</v>
      </c>
      <c r="Q696" s="99" t="s">
        <v>2761</v>
      </c>
      <c r="R696" s="6" t="s">
        <v>2762</v>
      </c>
    </row>
    <row r="697" spans="1:19" ht="15" customHeight="1">
      <c r="A697" s="21">
        <v>10</v>
      </c>
      <c r="B697" s="2" t="s">
        <v>2697</v>
      </c>
      <c r="C697" s="21">
        <v>1</v>
      </c>
      <c r="D697" s="2" t="s">
        <v>2738</v>
      </c>
      <c r="E697" s="14">
        <v>0</v>
      </c>
      <c r="F697" s="21">
        <v>5</v>
      </c>
      <c r="G697" s="2" t="s">
        <v>2763</v>
      </c>
      <c r="H697" s="23" t="s">
        <v>2764</v>
      </c>
      <c r="I697" s="101" t="s">
        <v>2765</v>
      </c>
      <c r="J697" s="2" t="s">
        <v>24</v>
      </c>
      <c r="K697" s="2" t="s">
        <v>1900</v>
      </c>
      <c r="L697" s="2" t="s">
        <v>857</v>
      </c>
      <c r="M697" s="2" t="s">
        <v>24</v>
      </c>
      <c r="N697" s="2" t="s">
        <v>1900</v>
      </c>
      <c r="O697" s="6" t="s">
        <v>852</v>
      </c>
      <c r="P697" s="7">
        <v>1</v>
      </c>
      <c r="Q697" s="99" t="s">
        <v>2766</v>
      </c>
      <c r="R697" s="6" t="s">
        <v>2762</v>
      </c>
    </row>
    <row r="698" spans="1:19" ht="15" customHeight="1">
      <c r="A698" s="21">
        <v>10</v>
      </c>
      <c r="B698" s="2" t="s">
        <v>2697</v>
      </c>
      <c r="C698" s="21">
        <v>1</v>
      </c>
      <c r="D698" s="2" t="s">
        <v>2738</v>
      </c>
      <c r="E698" s="14">
        <v>0</v>
      </c>
      <c r="F698" s="21">
        <v>6</v>
      </c>
      <c r="G698" s="2" t="s">
        <v>2767</v>
      </c>
      <c r="H698" s="23" t="s">
        <v>2768</v>
      </c>
      <c r="I698" s="101" t="s">
        <v>2769</v>
      </c>
      <c r="J698" s="2" t="s">
        <v>24</v>
      </c>
      <c r="K698" s="2" t="s">
        <v>1900</v>
      </c>
      <c r="L698" s="2" t="s">
        <v>857</v>
      </c>
      <c r="M698" s="2" t="s">
        <v>24</v>
      </c>
      <c r="N698" s="2" t="s">
        <v>1900</v>
      </c>
      <c r="O698" s="6" t="s">
        <v>852</v>
      </c>
      <c r="P698" s="7">
        <v>1</v>
      </c>
      <c r="Q698" s="99" t="s">
        <v>2770</v>
      </c>
      <c r="R698" s="6" t="s">
        <v>2762</v>
      </c>
    </row>
    <row r="699" spans="1:19" ht="15" customHeight="1">
      <c r="A699" s="21">
        <v>10</v>
      </c>
      <c r="B699" s="2" t="s">
        <v>2697</v>
      </c>
      <c r="C699" s="21">
        <v>1</v>
      </c>
      <c r="D699" s="2" t="s">
        <v>2738</v>
      </c>
      <c r="E699" s="14">
        <v>0</v>
      </c>
      <c r="F699" s="21">
        <v>7</v>
      </c>
      <c r="G699" s="2" t="s">
        <v>2771</v>
      </c>
      <c r="H699" s="23" t="s">
        <v>2772</v>
      </c>
      <c r="I699" s="101" t="s">
        <v>2773</v>
      </c>
      <c r="J699" s="2" t="s">
        <v>23</v>
      </c>
      <c r="K699" s="2" t="s">
        <v>23</v>
      </c>
      <c r="M699" s="2" t="s">
        <v>24</v>
      </c>
      <c r="N699" s="2" t="s">
        <v>263</v>
      </c>
      <c r="O699" s="2" t="s">
        <v>2774</v>
      </c>
      <c r="P699" s="7">
        <v>1</v>
      </c>
      <c r="Q699" s="99" t="s">
        <v>2775</v>
      </c>
    </row>
    <row r="700" spans="1:19" ht="15" customHeight="1">
      <c r="A700" s="21">
        <v>10</v>
      </c>
      <c r="B700" s="2" t="s">
        <v>2697</v>
      </c>
      <c r="C700" s="21">
        <v>1</v>
      </c>
      <c r="D700" s="2" t="s">
        <v>2738</v>
      </c>
      <c r="E700" s="14">
        <v>0</v>
      </c>
      <c r="F700" s="21">
        <v>8</v>
      </c>
      <c r="G700" s="2" t="s">
        <v>2180</v>
      </c>
      <c r="H700" s="23" t="s">
        <v>2776</v>
      </c>
      <c r="I700" s="101" t="s">
        <v>2777</v>
      </c>
      <c r="J700" s="2" t="s">
        <v>24</v>
      </c>
      <c r="K700" s="2" t="s">
        <v>116</v>
      </c>
      <c r="L700" s="9" t="s">
        <v>2054</v>
      </c>
      <c r="M700" s="2" t="s">
        <v>24</v>
      </c>
      <c r="N700" s="2" t="s">
        <v>116</v>
      </c>
      <c r="O700" s="9" t="s">
        <v>2054</v>
      </c>
      <c r="P700" s="7">
        <v>1</v>
      </c>
      <c r="Q700" s="99" t="s">
        <v>2778</v>
      </c>
      <c r="R700" s="2" t="s">
        <v>2056</v>
      </c>
    </row>
    <row r="701" spans="1:19" ht="15" customHeight="1">
      <c r="A701" s="21">
        <v>10</v>
      </c>
      <c r="B701" s="2" t="s">
        <v>2697</v>
      </c>
      <c r="C701" s="21">
        <v>2</v>
      </c>
      <c r="D701" s="2" t="s">
        <v>2779</v>
      </c>
      <c r="E701" s="14">
        <v>0</v>
      </c>
      <c r="F701" s="21">
        <v>0</v>
      </c>
      <c r="G701" s="2" t="s">
        <v>20</v>
      </c>
      <c r="H701" s="23" t="s">
        <v>2780</v>
      </c>
      <c r="I701" s="34" t="s">
        <v>2781</v>
      </c>
      <c r="J701" s="2" t="s">
        <v>23</v>
      </c>
      <c r="K701" s="2" t="s">
        <v>23</v>
      </c>
      <c r="M701" s="2" t="s">
        <v>24</v>
      </c>
      <c r="N701" s="2" t="s">
        <v>25</v>
      </c>
      <c r="O701" s="5" t="s">
        <v>26</v>
      </c>
      <c r="P701" s="7">
        <v>1</v>
      </c>
      <c r="Q701" s="28" t="s">
        <v>2782</v>
      </c>
    </row>
    <row r="702" spans="1:19" ht="15" customHeight="1">
      <c r="A702" s="21">
        <v>10</v>
      </c>
      <c r="B702" s="2" t="s">
        <v>2697</v>
      </c>
      <c r="C702" s="21">
        <v>2</v>
      </c>
      <c r="D702" s="2" t="s">
        <v>2779</v>
      </c>
      <c r="E702" s="14">
        <v>0</v>
      </c>
      <c r="F702" s="21">
        <v>1</v>
      </c>
      <c r="G702" s="2" t="s">
        <v>2783</v>
      </c>
      <c r="H702" s="23" t="s">
        <v>2784</v>
      </c>
      <c r="I702" s="101" t="s">
        <v>2785</v>
      </c>
      <c r="J702" s="2" t="s">
        <v>24</v>
      </c>
      <c r="K702" s="2" t="s">
        <v>116</v>
      </c>
      <c r="L702" s="9" t="s">
        <v>2785</v>
      </c>
      <c r="M702" s="2" t="s">
        <v>24</v>
      </c>
      <c r="N702" s="2" t="s">
        <v>116</v>
      </c>
      <c r="O702" s="9" t="s">
        <v>2785</v>
      </c>
      <c r="P702" s="7">
        <v>1</v>
      </c>
      <c r="Q702" s="99" t="s">
        <v>2518</v>
      </c>
    </row>
    <row r="703" spans="1:19" ht="15" customHeight="1">
      <c r="A703" s="21">
        <v>10</v>
      </c>
      <c r="B703" s="2" t="s">
        <v>2697</v>
      </c>
      <c r="C703" s="21">
        <v>2</v>
      </c>
      <c r="D703" s="2" t="s">
        <v>2779</v>
      </c>
      <c r="E703" s="14">
        <v>0</v>
      </c>
      <c r="F703" s="21">
        <v>2</v>
      </c>
      <c r="G703" s="2" t="s">
        <v>2786</v>
      </c>
      <c r="H703" s="23" t="s">
        <v>2787</v>
      </c>
      <c r="I703" s="101" t="s">
        <v>2788</v>
      </c>
      <c r="J703" s="2" t="s">
        <v>24</v>
      </c>
      <c r="K703" s="2" t="s">
        <v>116</v>
      </c>
      <c r="L703" s="9" t="s">
        <v>2788</v>
      </c>
      <c r="M703" s="2" t="s">
        <v>24</v>
      </c>
      <c r="N703" s="2" t="s">
        <v>116</v>
      </c>
      <c r="O703" s="9" t="s">
        <v>2788</v>
      </c>
      <c r="P703" s="7">
        <v>1</v>
      </c>
      <c r="Q703" s="99" t="s">
        <v>2789</v>
      </c>
      <c r="S703" s="2" t="s">
        <v>2790</v>
      </c>
    </row>
    <row r="704" spans="1:19" ht="15" customHeight="1">
      <c r="A704" s="72"/>
      <c r="C704" s="72"/>
      <c r="E704" s="86"/>
      <c r="F704" s="72"/>
      <c r="H704" s="87" t="s">
        <v>234</v>
      </c>
      <c r="I704" s="105"/>
      <c r="L704" s="9"/>
      <c r="O704" s="9"/>
      <c r="P704" s="7"/>
      <c r="Q704" s="99"/>
      <c r="S704" s="2" t="s">
        <v>2790</v>
      </c>
    </row>
    <row r="705" spans="1:19" ht="15" customHeight="1">
      <c r="A705" s="21">
        <v>11</v>
      </c>
      <c r="B705" s="2" t="s">
        <v>2791</v>
      </c>
      <c r="C705" s="21">
        <v>0</v>
      </c>
      <c r="D705" s="2" t="s">
        <v>2792</v>
      </c>
      <c r="E705" s="14">
        <v>0</v>
      </c>
      <c r="F705" s="21">
        <v>0</v>
      </c>
      <c r="G705" s="2" t="s">
        <v>20</v>
      </c>
      <c r="H705" s="23" t="s">
        <v>2793</v>
      </c>
      <c r="I705" s="34" t="s">
        <v>2794</v>
      </c>
      <c r="J705" s="2" t="s">
        <v>23</v>
      </c>
      <c r="K705" s="2" t="s">
        <v>23</v>
      </c>
      <c r="M705" s="2" t="s">
        <v>24</v>
      </c>
      <c r="N705" s="2" t="s">
        <v>25</v>
      </c>
      <c r="O705" s="27" t="s">
        <v>26</v>
      </c>
      <c r="P705" s="26">
        <v>1</v>
      </c>
      <c r="Q705" s="75" t="s">
        <v>2795</v>
      </c>
      <c r="S705" s="2" t="s">
        <v>2790</v>
      </c>
    </row>
    <row r="706" spans="1:19" ht="15" customHeight="1">
      <c r="A706" s="21">
        <v>11</v>
      </c>
      <c r="B706" s="2" t="s">
        <v>2791</v>
      </c>
      <c r="C706" s="21">
        <v>0</v>
      </c>
      <c r="D706" s="2" t="s">
        <v>2792</v>
      </c>
      <c r="E706" s="14">
        <v>0</v>
      </c>
      <c r="F706" s="21">
        <v>1</v>
      </c>
      <c r="G706" s="2" t="s">
        <v>854</v>
      </c>
      <c r="H706" s="23" t="s">
        <v>2796</v>
      </c>
      <c r="I706" s="101" t="s">
        <v>2797</v>
      </c>
      <c r="J706" s="2" t="s">
        <v>24</v>
      </c>
      <c r="K706" s="2" t="s">
        <v>116</v>
      </c>
      <c r="L706" s="9" t="s">
        <v>2797</v>
      </c>
      <c r="M706" s="2" t="s">
        <v>24</v>
      </c>
      <c r="N706" s="2" t="s">
        <v>116</v>
      </c>
      <c r="O706" s="9" t="s">
        <v>2797</v>
      </c>
      <c r="P706" s="7">
        <v>1</v>
      </c>
      <c r="Q706" s="99" t="s">
        <v>857</v>
      </c>
      <c r="S706" s="2" t="s">
        <v>2790</v>
      </c>
    </row>
    <row r="707" spans="1:19" ht="15" customHeight="1">
      <c r="A707" s="21">
        <v>11</v>
      </c>
      <c r="B707" s="2" t="s">
        <v>2791</v>
      </c>
      <c r="C707" s="21">
        <v>0</v>
      </c>
      <c r="D707" s="2" t="s">
        <v>2792</v>
      </c>
      <c r="E707" s="14">
        <v>0</v>
      </c>
      <c r="F707" s="21">
        <v>2</v>
      </c>
      <c r="G707" s="2" t="s">
        <v>2798</v>
      </c>
      <c r="H707" s="23" t="s">
        <v>2799</v>
      </c>
      <c r="I707" s="101" t="s">
        <v>2800</v>
      </c>
      <c r="J707" s="2" t="s">
        <v>24</v>
      </c>
      <c r="K707" s="2" t="s">
        <v>23</v>
      </c>
      <c r="L707" s="13" t="s">
        <v>2039</v>
      </c>
      <c r="M707" s="2" t="s">
        <v>24</v>
      </c>
      <c r="N707" s="2" t="s">
        <v>23</v>
      </c>
      <c r="O707" s="13" t="s">
        <v>2039</v>
      </c>
      <c r="P707" s="7">
        <v>1</v>
      </c>
      <c r="Q707" s="99" t="s">
        <v>2801</v>
      </c>
      <c r="R707" s="2" t="s">
        <v>2041</v>
      </c>
      <c r="S707" s="2" t="s">
        <v>2790</v>
      </c>
    </row>
    <row r="708" spans="1:19" ht="15" customHeight="1">
      <c r="A708" s="21">
        <v>11</v>
      </c>
      <c r="B708" s="2" t="s">
        <v>2791</v>
      </c>
      <c r="C708" s="21">
        <v>0</v>
      </c>
      <c r="D708" s="2" t="s">
        <v>2792</v>
      </c>
      <c r="E708" s="14">
        <v>0</v>
      </c>
      <c r="F708" s="21">
        <v>3</v>
      </c>
      <c r="G708" s="2" t="s">
        <v>579</v>
      </c>
      <c r="H708" s="23" t="s">
        <v>2802</v>
      </c>
      <c r="I708" s="101" t="s">
        <v>2803</v>
      </c>
      <c r="J708" s="2" t="s">
        <v>24</v>
      </c>
      <c r="K708" s="2" t="s">
        <v>206</v>
      </c>
      <c r="M708" s="2" t="s">
        <v>24</v>
      </c>
      <c r="N708" s="2" t="s">
        <v>206</v>
      </c>
      <c r="P708" s="7">
        <v>1</v>
      </c>
      <c r="Q708" s="99" t="s">
        <v>832</v>
      </c>
      <c r="S708" s="2" t="s">
        <v>2790</v>
      </c>
    </row>
    <row r="709" spans="1:19" ht="15" customHeight="1">
      <c r="A709" s="21">
        <v>11</v>
      </c>
      <c r="B709" s="2" t="s">
        <v>2791</v>
      </c>
      <c r="C709" s="21">
        <v>0</v>
      </c>
      <c r="D709" s="2" t="s">
        <v>2792</v>
      </c>
      <c r="E709" s="14">
        <v>0</v>
      </c>
      <c r="F709" s="21">
        <v>4</v>
      </c>
      <c r="G709" s="2" t="s">
        <v>2180</v>
      </c>
      <c r="H709" s="23" t="s">
        <v>2804</v>
      </c>
      <c r="I709" s="101" t="s">
        <v>2805</v>
      </c>
      <c r="J709" s="2" t="s">
        <v>24</v>
      </c>
      <c r="K709" s="2" t="s">
        <v>116</v>
      </c>
      <c r="L709" s="9" t="s">
        <v>2054</v>
      </c>
      <c r="M709" s="2" t="s">
        <v>24</v>
      </c>
      <c r="N709" s="2" t="s">
        <v>116</v>
      </c>
      <c r="O709" s="9" t="s">
        <v>2054</v>
      </c>
      <c r="P709" s="7">
        <v>1</v>
      </c>
      <c r="Q709" s="99" t="s">
        <v>2778</v>
      </c>
      <c r="R709" s="2" t="s">
        <v>2056</v>
      </c>
      <c r="S709" s="2" t="s">
        <v>2790</v>
      </c>
    </row>
    <row r="710" spans="1:19" ht="15" customHeight="1">
      <c r="A710" s="21">
        <v>11</v>
      </c>
      <c r="B710" s="2" t="s">
        <v>2791</v>
      </c>
      <c r="C710" s="21">
        <v>0</v>
      </c>
      <c r="D710" s="2" t="s">
        <v>2792</v>
      </c>
      <c r="E710" s="14">
        <v>0</v>
      </c>
      <c r="F710" s="21">
        <v>5</v>
      </c>
      <c r="G710" s="2" t="s">
        <v>2392</v>
      </c>
      <c r="H710" s="23" t="s">
        <v>2806</v>
      </c>
      <c r="I710" s="101" t="s">
        <v>2807</v>
      </c>
      <c r="J710" s="2" t="s">
        <v>24</v>
      </c>
      <c r="K710" s="2" t="s">
        <v>116</v>
      </c>
      <c r="L710" s="9" t="s">
        <v>2807</v>
      </c>
      <c r="M710" s="2" t="s">
        <v>24</v>
      </c>
      <c r="N710" s="2" t="s">
        <v>116</v>
      </c>
      <c r="O710" s="9" t="s">
        <v>2807</v>
      </c>
      <c r="P710" s="7">
        <v>1</v>
      </c>
      <c r="Q710" s="99" t="s">
        <v>2704</v>
      </c>
      <c r="S710" s="2" t="s">
        <v>2236</v>
      </c>
    </row>
    <row r="711" spans="1:19" ht="15" customHeight="1">
      <c r="A711" s="72"/>
      <c r="C711" s="72"/>
      <c r="E711" s="86"/>
      <c r="F711" s="72"/>
      <c r="H711" s="87" t="s">
        <v>234</v>
      </c>
      <c r="I711" s="105"/>
      <c r="L711" s="9"/>
      <c r="O711" s="9"/>
      <c r="P711" s="7"/>
      <c r="Q711" s="99"/>
    </row>
    <row r="712" spans="1:19" ht="15" customHeight="1">
      <c r="A712" s="21">
        <v>12</v>
      </c>
      <c r="B712" s="2" t="s">
        <v>2808</v>
      </c>
      <c r="C712" s="21">
        <v>0</v>
      </c>
      <c r="D712" s="2" t="s">
        <v>2809</v>
      </c>
      <c r="E712" s="14">
        <v>0</v>
      </c>
      <c r="F712" s="21">
        <v>0</v>
      </c>
      <c r="G712" s="2" t="s">
        <v>20</v>
      </c>
      <c r="H712" s="23" t="s">
        <v>2810</v>
      </c>
      <c r="I712" s="34" t="s">
        <v>2811</v>
      </c>
      <c r="J712" s="2" t="s">
        <v>23</v>
      </c>
      <c r="K712" s="2" t="s">
        <v>23</v>
      </c>
      <c r="M712" s="2" t="s">
        <v>24</v>
      </c>
      <c r="N712" s="2" t="s">
        <v>25</v>
      </c>
      <c r="O712" s="27" t="s">
        <v>26</v>
      </c>
      <c r="P712" s="26">
        <v>1</v>
      </c>
      <c r="Q712" s="75" t="s">
        <v>2812</v>
      </c>
      <c r="S712" s="2" t="s">
        <v>2813</v>
      </c>
    </row>
    <row r="713" spans="1:19" ht="15" customHeight="1">
      <c r="A713" s="21">
        <v>12</v>
      </c>
      <c r="B713" s="2" t="s">
        <v>2808</v>
      </c>
      <c r="C713" s="21">
        <v>0</v>
      </c>
      <c r="D713" s="2" t="s">
        <v>2809</v>
      </c>
      <c r="E713" s="14">
        <v>0</v>
      </c>
      <c r="F713" s="21">
        <v>1</v>
      </c>
      <c r="G713" s="2" t="s">
        <v>854</v>
      </c>
      <c r="H713" s="23" t="s">
        <v>2814</v>
      </c>
      <c r="I713" s="101" t="s">
        <v>2034</v>
      </c>
      <c r="J713" s="25" t="s">
        <v>24</v>
      </c>
      <c r="K713" s="2" t="s">
        <v>116</v>
      </c>
      <c r="L713" s="9" t="s">
        <v>2034</v>
      </c>
      <c r="M713" s="25" t="s">
        <v>24</v>
      </c>
      <c r="N713" s="2" t="s">
        <v>116</v>
      </c>
      <c r="O713" s="9" t="s">
        <v>2034</v>
      </c>
      <c r="P713" s="26">
        <v>1</v>
      </c>
      <c r="Q713" s="99" t="s">
        <v>857</v>
      </c>
      <c r="S713" s="2" t="s">
        <v>2815</v>
      </c>
    </row>
    <row r="714" spans="1:19" ht="15" customHeight="1">
      <c r="A714" s="21">
        <v>12</v>
      </c>
      <c r="B714" s="2" t="s">
        <v>2808</v>
      </c>
      <c r="C714" s="21">
        <v>0</v>
      </c>
      <c r="D714" s="2" t="s">
        <v>2809</v>
      </c>
      <c r="E714" s="14">
        <v>0</v>
      </c>
      <c r="F714" s="21">
        <v>2</v>
      </c>
      <c r="G714" s="2" t="s">
        <v>2798</v>
      </c>
      <c r="H714" s="23" t="s">
        <v>2816</v>
      </c>
      <c r="I714" s="101" t="s">
        <v>2817</v>
      </c>
      <c r="J714" s="25" t="s">
        <v>24</v>
      </c>
      <c r="K714" s="2" t="s">
        <v>23</v>
      </c>
      <c r="L714" s="13" t="s">
        <v>2039</v>
      </c>
      <c r="M714" s="25" t="s">
        <v>24</v>
      </c>
      <c r="N714" s="2" t="s">
        <v>23</v>
      </c>
      <c r="O714" s="13" t="s">
        <v>2039</v>
      </c>
      <c r="P714" s="26">
        <v>1</v>
      </c>
      <c r="Q714" s="99" t="s">
        <v>2801</v>
      </c>
      <c r="R714" s="2" t="s">
        <v>2041</v>
      </c>
    </row>
    <row r="715" spans="1:19" ht="15" customHeight="1">
      <c r="A715" s="21">
        <v>12</v>
      </c>
      <c r="B715" s="2" t="s">
        <v>2808</v>
      </c>
      <c r="C715" s="21">
        <v>0</v>
      </c>
      <c r="D715" s="2" t="s">
        <v>2809</v>
      </c>
      <c r="E715" s="14">
        <v>0</v>
      </c>
      <c r="F715" s="21">
        <v>3</v>
      </c>
      <c r="G715" s="2" t="s">
        <v>579</v>
      </c>
      <c r="H715" s="23" t="s">
        <v>2818</v>
      </c>
      <c r="I715" s="101" t="s">
        <v>2819</v>
      </c>
      <c r="J715" s="25" t="s">
        <v>24</v>
      </c>
      <c r="K715" s="2" t="s">
        <v>206</v>
      </c>
      <c r="M715" s="25" t="s">
        <v>24</v>
      </c>
      <c r="N715" s="2" t="s">
        <v>206</v>
      </c>
      <c r="P715" s="26">
        <v>1</v>
      </c>
      <c r="Q715" s="99" t="s">
        <v>832</v>
      </c>
    </row>
    <row r="716" spans="1:19" ht="15" customHeight="1">
      <c r="A716" s="21">
        <v>12</v>
      </c>
      <c r="B716" s="2" t="s">
        <v>2808</v>
      </c>
      <c r="C716" s="21">
        <v>0</v>
      </c>
      <c r="D716" s="2" t="s">
        <v>2809</v>
      </c>
      <c r="E716" s="14">
        <v>0</v>
      </c>
      <c r="F716" s="21">
        <v>4</v>
      </c>
      <c r="G716" s="2" t="s">
        <v>2820</v>
      </c>
      <c r="H716" s="23" t="s">
        <v>2821</v>
      </c>
      <c r="I716" s="101" t="s">
        <v>2822</v>
      </c>
      <c r="J716" s="25" t="s">
        <v>24</v>
      </c>
      <c r="K716" s="2" t="s">
        <v>23</v>
      </c>
      <c r="M716" s="25" t="s">
        <v>24</v>
      </c>
      <c r="N716" s="2" t="s">
        <v>23</v>
      </c>
      <c r="P716" s="26">
        <v>1</v>
      </c>
      <c r="Q716" s="99" t="s">
        <v>2823</v>
      </c>
      <c r="R716" s="2" t="s">
        <v>2050</v>
      </c>
    </row>
    <row r="717" spans="1:19" ht="15" customHeight="1">
      <c r="A717" s="21">
        <v>12</v>
      </c>
      <c r="B717" s="2" t="s">
        <v>2808</v>
      </c>
      <c r="C717" s="21">
        <v>0</v>
      </c>
      <c r="D717" s="2" t="s">
        <v>2809</v>
      </c>
      <c r="E717" s="14">
        <v>0</v>
      </c>
      <c r="F717" s="21">
        <v>5</v>
      </c>
      <c r="G717" s="2" t="s">
        <v>2180</v>
      </c>
      <c r="H717" s="23" t="s">
        <v>2824</v>
      </c>
      <c r="I717" s="101" t="s">
        <v>2825</v>
      </c>
      <c r="J717" s="2" t="s">
        <v>24</v>
      </c>
      <c r="K717" s="2" t="s">
        <v>116</v>
      </c>
      <c r="L717" s="9" t="s">
        <v>2054</v>
      </c>
      <c r="M717" s="2" t="s">
        <v>24</v>
      </c>
      <c r="N717" s="2" t="s">
        <v>116</v>
      </c>
      <c r="O717" s="9" t="s">
        <v>2054</v>
      </c>
      <c r="P717" s="26">
        <v>1</v>
      </c>
      <c r="Q717" s="99" t="s">
        <v>2778</v>
      </c>
      <c r="R717" s="2" t="s">
        <v>2056</v>
      </c>
    </row>
    <row r="718" spans="1:19" ht="15" customHeight="1">
      <c r="A718" s="21">
        <v>12</v>
      </c>
      <c r="B718" s="2" t="s">
        <v>2808</v>
      </c>
      <c r="C718" s="21">
        <v>0</v>
      </c>
      <c r="D718" s="2" t="s">
        <v>2809</v>
      </c>
      <c r="E718" s="14">
        <v>0</v>
      </c>
      <c r="F718" s="21">
        <v>6</v>
      </c>
      <c r="G718" s="2" t="s">
        <v>2826</v>
      </c>
      <c r="H718" s="23" t="s">
        <v>2827</v>
      </c>
      <c r="I718" s="101" t="s">
        <v>2060</v>
      </c>
      <c r="J718" s="2" t="s">
        <v>24</v>
      </c>
      <c r="K718" s="2" t="s">
        <v>116</v>
      </c>
      <c r="L718" s="9" t="s">
        <v>2060</v>
      </c>
      <c r="M718" s="2" t="s">
        <v>24</v>
      </c>
      <c r="N718" s="2" t="s">
        <v>116</v>
      </c>
      <c r="O718" s="9" t="s">
        <v>2060</v>
      </c>
      <c r="P718" s="26">
        <v>1</v>
      </c>
      <c r="Q718" s="99" t="s">
        <v>2828</v>
      </c>
    </row>
    <row r="719" spans="1:19" ht="15" customHeight="1">
      <c r="A719" s="21">
        <v>12</v>
      </c>
      <c r="B719" s="2" t="s">
        <v>2808</v>
      </c>
      <c r="C719" s="21">
        <v>0</v>
      </c>
      <c r="D719" s="2" t="s">
        <v>2809</v>
      </c>
      <c r="E719" s="14">
        <v>0</v>
      </c>
      <c r="F719" s="21">
        <v>7</v>
      </c>
      <c r="G719" s="2" t="s">
        <v>181</v>
      </c>
      <c r="H719" s="23" t="s">
        <v>8949</v>
      </c>
      <c r="I719" s="101" t="s">
        <v>8950</v>
      </c>
      <c r="J719" s="2" t="s">
        <v>38</v>
      </c>
      <c r="K719" s="2" t="s">
        <v>23</v>
      </c>
      <c r="L719" s="9"/>
      <c r="M719" s="2" t="s">
        <v>38</v>
      </c>
      <c r="N719" s="2" t="s">
        <v>23</v>
      </c>
      <c r="O719" s="9"/>
      <c r="P719" s="26">
        <v>1</v>
      </c>
      <c r="Q719" s="99" t="s">
        <v>2836</v>
      </c>
    </row>
    <row r="720" spans="1:19" ht="15" customHeight="1">
      <c r="A720" s="21">
        <v>12</v>
      </c>
      <c r="B720" s="2" t="s">
        <v>2808</v>
      </c>
      <c r="C720" s="21">
        <v>0</v>
      </c>
      <c r="D720" s="2" t="s">
        <v>2809</v>
      </c>
      <c r="E720" s="14">
        <v>0</v>
      </c>
      <c r="F720" s="21">
        <v>8</v>
      </c>
      <c r="G720" s="2" t="s">
        <v>2392</v>
      </c>
      <c r="H720" s="23" t="s">
        <v>8963</v>
      </c>
      <c r="I720" s="101" t="s">
        <v>8964</v>
      </c>
      <c r="J720" s="2" t="s">
        <v>8100</v>
      </c>
      <c r="K720" s="2" t="s">
        <v>9287</v>
      </c>
      <c r="L720" s="9" t="s">
        <v>8964</v>
      </c>
      <c r="M720" s="2" t="s">
        <v>8100</v>
      </c>
      <c r="N720" s="2" t="s">
        <v>9287</v>
      </c>
      <c r="O720" s="9" t="s">
        <v>8964</v>
      </c>
      <c r="P720" s="26">
        <v>1</v>
      </c>
      <c r="Q720" s="99" t="s">
        <v>8965</v>
      </c>
      <c r="R720" s="2" t="s">
        <v>436</v>
      </c>
    </row>
    <row r="721" spans="1:19" ht="15" customHeight="1">
      <c r="A721" s="72"/>
      <c r="C721" s="72"/>
      <c r="E721" s="86"/>
      <c r="F721" s="72"/>
      <c r="H721" s="87" t="s">
        <v>234</v>
      </c>
      <c r="I721" s="105"/>
      <c r="L721" s="9"/>
      <c r="O721" s="9"/>
      <c r="P721" s="26"/>
      <c r="Q721" s="99"/>
      <c r="S721" s="2" t="s">
        <v>2236</v>
      </c>
    </row>
    <row r="722" spans="1:19" ht="15" customHeight="1">
      <c r="A722" s="21">
        <v>13</v>
      </c>
      <c r="B722" s="2" t="s">
        <v>2829</v>
      </c>
      <c r="C722" s="21">
        <v>0</v>
      </c>
      <c r="D722" s="2" t="s">
        <v>2830</v>
      </c>
      <c r="E722" s="14">
        <v>0</v>
      </c>
      <c r="F722" s="21">
        <v>0</v>
      </c>
      <c r="G722" s="2" t="s">
        <v>20</v>
      </c>
      <c r="H722" s="23" t="s">
        <v>2831</v>
      </c>
      <c r="I722" s="34" t="s">
        <v>2832</v>
      </c>
      <c r="J722" s="2" t="s">
        <v>23</v>
      </c>
      <c r="K722" s="2" t="s">
        <v>23</v>
      </c>
      <c r="M722" s="2" t="s">
        <v>24</v>
      </c>
      <c r="N722" s="2" t="s">
        <v>25</v>
      </c>
      <c r="O722" s="27" t="s">
        <v>26</v>
      </c>
      <c r="P722" s="26">
        <v>1</v>
      </c>
      <c r="Q722" s="75" t="s">
        <v>2833</v>
      </c>
    </row>
    <row r="723" spans="1:19" ht="15" customHeight="1">
      <c r="A723" s="21">
        <v>13</v>
      </c>
      <c r="B723" s="2" t="s">
        <v>2829</v>
      </c>
      <c r="C723" s="21">
        <v>0</v>
      </c>
      <c r="D723" s="2" t="s">
        <v>2830</v>
      </c>
      <c r="E723" s="14">
        <v>0</v>
      </c>
      <c r="F723" s="21">
        <v>1</v>
      </c>
      <c r="G723" s="2" t="s">
        <v>181</v>
      </c>
      <c r="H723" s="23" t="s">
        <v>2834</v>
      </c>
      <c r="I723" s="101" t="s">
        <v>2835</v>
      </c>
      <c r="J723" s="2" t="s">
        <v>38</v>
      </c>
      <c r="K723" s="2" t="s">
        <v>23</v>
      </c>
      <c r="M723" s="2" t="s">
        <v>38</v>
      </c>
      <c r="N723" s="2" t="s">
        <v>23</v>
      </c>
      <c r="P723" s="7">
        <v>1</v>
      </c>
      <c r="Q723" s="99" t="s">
        <v>2836</v>
      </c>
      <c r="R723" s="2" t="s">
        <v>2837</v>
      </c>
    </row>
    <row r="724" spans="1:19" ht="15" customHeight="1">
      <c r="A724" s="21">
        <v>13</v>
      </c>
      <c r="B724" s="2" t="s">
        <v>2829</v>
      </c>
      <c r="C724" s="21">
        <v>0</v>
      </c>
      <c r="D724" s="2" t="s">
        <v>2830</v>
      </c>
      <c r="E724" s="14">
        <v>0</v>
      </c>
      <c r="F724" s="21">
        <v>2</v>
      </c>
      <c r="G724" s="2" t="s">
        <v>1191</v>
      </c>
      <c r="H724" s="23" t="s">
        <v>2838</v>
      </c>
      <c r="I724" s="101" t="s">
        <v>2839</v>
      </c>
      <c r="J724" s="25" t="s">
        <v>24</v>
      </c>
      <c r="K724" s="2" t="s">
        <v>116</v>
      </c>
      <c r="L724" s="9" t="s">
        <v>2839</v>
      </c>
      <c r="M724" s="25" t="s">
        <v>24</v>
      </c>
      <c r="N724" s="2" t="s">
        <v>116</v>
      </c>
      <c r="O724" s="9" t="s">
        <v>2839</v>
      </c>
      <c r="P724" s="26">
        <v>1</v>
      </c>
      <c r="Q724" s="99" t="s">
        <v>852</v>
      </c>
      <c r="R724" s="2" t="s">
        <v>2840</v>
      </c>
    </row>
    <row r="725" spans="1:19" ht="15" customHeight="1">
      <c r="A725" s="21">
        <v>13</v>
      </c>
      <c r="B725" s="2" t="s">
        <v>2829</v>
      </c>
      <c r="C725" s="21">
        <v>1</v>
      </c>
      <c r="D725" s="2" t="s">
        <v>2841</v>
      </c>
      <c r="E725" s="14">
        <v>0</v>
      </c>
      <c r="F725" s="21">
        <v>0</v>
      </c>
      <c r="G725" s="2" t="s">
        <v>20</v>
      </c>
      <c r="H725" s="23" t="s">
        <v>2842</v>
      </c>
      <c r="I725" s="34" t="s">
        <v>2843</v>
      </c>
      <c r="J725" s="2" t="s">
        <v>23</v>
      </c>
      <c r="K725" s="2" t="s">
        <v>23</v>
      </c>
      <c r="M725" s="2" t="s">
        <v>24</v>
      </c>
      <c r="N725" s="2" t="s">
        <v>25</v>
      </c>
      <c r="O725" s="27" t="s">
        <v>26</v>
      </c>
      <c r="P725" s="26">
        <v>1</v>
      </c>
      <c r="Q725" s="75" t="s">
        <v>2844</v>
      </c>
    </row>
    <row r="726" spans="1:19" ht="15" customHeight="1">
      <c r="A726" s="21">
        <v>13</v>
      </c>
      <c r="B726" s="2" t="s">
        <v>2829</v>
      </c>
      <c r="C726" s="21">
        <v>1</v>
      </c>
      <c r="D726" s="2" t="s">
        <v>2841</v>
      </c>
      <c r="E726" s="14">
        <v>0</v>
      </c>
      <c r="F726" s="21">
        <v>1</v>
      </c>
      <c r="G726" s="2" t="s">
        <v>2845</v>
      </c>
      <c r="H726" s="23" t="s">
        <v>2846</v>
      </c>
      <c r="I726" s="101" t="s">
        <v>2847</v>
      </c>
      <c r="J726" s="25" t="s">
        <v>24</v>
      </c>
      <c r="K726" s="2" t="s">
        <v>23</v>
      </c>
      <c r="M726" s="25" t="s">
        <v>24</v>
      </c>
      <c r="N726" s="2" t="s">
        <v>23</v>
      </c>
      <c r="P726" s="26">
        <v>1</v>
      </c>
      <c r="Q726" s="99" t="s">
        <v>2848</v>
      </c>
      <c r="R726" s="2" t="s">
        <v>2849</v>
      </c>
    </row>
    <row r="727" spans="1:19" ht="15" customHeight="1">
      <c r="A727" s="21">
        <v>13</v>
      </c>
      <c r="B727" s="2" t="s">
        <v>2829</v>
      </c>
      <c r="C727" s="21">
        <v>1</v>
      </c>
      <c r="D727" s="2" t="s">
        <v>2841</v>
      </c>
      <c r="E727" s="14">
        <v>0</v>
      </c>
      <c r="F727" s="21">
        <v>2</v>
      </c>
      <c r="G727" s="2" t="s">
        <v>2850</v>
      </c>
      <c r="H727" s="23" t="s">
        <v>2851</v>
      </c>
      <c r="I727" s="101" t="s">
        <v>2852</v>
      </c>
      <c r="J727" s="2" t="s">
        <v>38</v>
      </c>
      <c r="K727" s="2" t="s">
        <v>23</v>
      </c>
      <c r="M727" s="2" t="s">
        <v>38</v>
      </c>
      <c r="N727" s="2" t="s">
        <v>23</v>
      </c>
      <c r="P727" s="7">
        <v>1</v>
      </c>
      <c r="Q727" s="99" t="s">
        <v>8</v>
      </c>
      <c r="R727" s="2" t="s">
        <v>2853</v>
      </c>
    </row>
    <row r="728" spans="1:19" ht="15" customHeight="1">
      <c r="A728" s="21">
        <v>13</v>
      </c>
      <c r="B728" s="2" t="s">
        <v>2829</v>
      </c>
      <c r="C728" s="21">
        <v>1</v>
      </c>
      <c r="D728" s="2" t="s">
        <v>2841</v>
      </c>
      <c r="E728" s="14">
        <v>0</v>
      </c>
      <c r="F728" s="21">
        <v>3</v>
      </c>
      <c r="G728" s="2" t="s">
        <v>2854</v>
      </c>
      <c r="H728" s="23" t="s">
        <v>2855</v>
      </c>
      <c r="I728" s="101" t="s">
        <v>2856</v>
      </c>
      <c r="J728" s="25" t="s">
        <v>24</v>
      </c>
      <c r="K728" s="2" t="s">
        <v>23</v>
      </c>
      <c r="M728" s="25" t="s">
        <v>24</v>
      </c>
      <c r="N728" s="2" t="s">
        <v>23</v>
      </c>
      <c r="P728" s="26">
        <v>1</v>
      </c>
      <c r="Q728" s="99" t="s">
        <v>7</v>
      </c>
      <c r="R728" s="2" t="s">
        <v>2857</v>
      </c>
    </row>
    <row r="729" spans="1:19" ht="15" customHeight="1">
      <c r="A729" s="21">
        <v>13</v>
      </c>
      <c r="B729" s="2" t="s">
        <v>2829</v>
      </c>
      <c r="C729" s="21">
        <v>2</v>
      </c>
      <c r="D729" s="2" t="s">
        <v>2858</v>
      </c>
      <c r="E729" s="14">
        <v>0</v>
      </c>
      <c r="F729" s="21">
        <v>0</v>
      </c>
      <c r="G729" s="2" t="s">
        <v>20</v>
      </c>
      <c r="H729" s="23" t="s">
        <v>2859</v>
      </c>
      <c r="I729" s="34" t="s">
        <v>2860</v>
      </c>
      <c r="J729" s="2" t="s">
        <v>23</v>
      </c>
      <c r="K729" s="2" t="s">
        <v>23</v>
      </c>
      <c r="M729" s="2" t="s">
        <v>24</v>
      </c>
      <c r="N729" s="2" t="s">
        <v>25</v>
      </c>
      <c r="O729" s="27" t="s">
        <v>26</v>
      </c>
      <c r="P729" s="26">
        <v>1</v>
      </c>
      <c r="Q729" s="75" t="s">
        <v>2861</v>
      </c>
      <c r="S729" s="2" t="s">
        <v>2236</v>
      </c>
    </row>
    <row r="730" spans="1:19" ht="15" customHeight="1">
      <c r="A730" s="21">
        <v>13</v>
      </c>
      <c r="B730" s="2" t="s">
        <v>2829</v>
      </c>
      <c r="C730" s="21">
        <v>2</v>
      </c>
      <c r="D730" s="2" t="s">
        <v>2858</v>
      </c>
      <c r="E730" s="14">
        <v>0</v>
      </c>
      <c r="F730" s="21">
        <v>1</v>
      </c>
      <c r="G730" s="2" t="s">
        <v>181</v>
      </c>
      <c r="H730" s="23" t="s">
        <v>2862</v>
      </c>
      <c r="I730" s="101" t="s">
        <v>2863</v>
      </c>
      <c r="J730" s="2" t="s">
        <v>38</v>
      </c>
      <c r="K730" s="2" t="s">
        <v>23</v>
      </c>
      <c r="M730" s="2" t="s">
        <v>38</v>
      </c>
      <c r="N730" s="2" t="s">
        <v>23</v>
      </c>
      <c r="P730" s="7">
        <v>1</v>
      </c>
      <c r="Q730" s="99" t="s">
        <v>2836</v>
      </c>
      <c r="R730" s="2" t="s">
        <v>2864</v>
      </c>
    </row>
    <row r="731" spans="1:19" ht="15" customHeight="1">
      <c r="A731" s="21">
        <v>13</v>
      </c>
      <c r="B731" s="2" t="s">
        <v>2829</v>
      </c>
      <c r="C731" s="21">
        <v>2</v>
      </c>
      <c r="D731" s="2" t="s">
        <v>2858</v>
      </c>
      <c r="E731" s="14">
        <v>0</v>
      </c>
      <c r="F731" s="21">
        <v>2</v>
      </c>
      <c r="G731" s="2" t="s">
        <v>1552</v>
      </c>
      <c r="H731" s="23" t="s">
        <v>2865</v>
      </c>
      <c r="I731" s="101" t="s">
        <v>2866</v>
      </c>
      <c r="J731" s="25" t="s">
        <v>24</v>
      </c>
      <c r="K731" s="2" t="s">
        <v>25</v>
      </c>
      <c r="L731" s="2" t="s">
        <v>2556</v>
      </c>
      <c r="M731" s="25" t="s">
        <v>24</v>
      </c>
      <c r="N731" s="2" t="s">
        <v>25</v>
      </c>
      <c r="O731" s="2" t="s">
        <v>2556</v>
      </c>
      <c r="P731" s="26">
        <v>1</v>
      </c>
      <c r="Q731" s="99" t="s">
        <v>2867</v>
      </c>
      <c r="R731" s="2" t="s">
        <v>2868</v>
      </c>
    </row>
    <row r="732" spans="1:19" ht="15" customHeight="1">
      <c r="A732" s="21">
        <v>13</v>
      </c>
      <c r="B732" s="2" t="s">
        <v>2829</v>
      </c>
      <c r="C732" s="21">
        <v>2</v>
      </c>
      <c r="D732" s="2" t="s">
        <v>2858</v>
      </c>
      <c r="E732" s="14">
        <v>0</v>
      </c>
      <c r="F732" s="21">
        <v>3</v>
      </c>
      <c r="G732" s="2" t="s">
        <v>2869</v>
      </c>
      <c r="H732" s="23" t="s">
        <v>2870</v>
      </c>
      <c r="I732" s="101" t="s">
        <v>2871</v>
      </c>
      <c r="J732" s="2" t="s">
        <v>24</v>
      </c>
      <c r="K732" s="2" t="s">
        <v>23</v>
      </c>
      <c r="L732" s="6" t="s">
        <v>2449</v>
      </c>
      <c r="M732" s="2" t="s">
        <v>24</v>
      </c>
      <c r="N732" s="2" t="s">
        <v>23</v>
      </c>
      <c r="O732" s="6" t="s">
        <v>2449</v>
      </c>
      <c r="P732" s="7">
        <v>1</v>
      </c>
      <c r="Q732" s="99" t="s">
        <v>2872</v>
      </c>
    </row>
    <row r="733" spans="1:19" ht="15" customHeight="1">
      <c r="A733" s="21">
        <v>13</v>
      </c>
      <c r="B733" s="2" t="s">
        <v>2829</v>
      </c>
      <c r="C733" s="21">
        <v>2</v>
      </c>
      <c r="D733" s="2" t="s">
        <v>2858</v>
      </c>
      <c r="E733" s="14">
        <v>0</v>
      </c>
      <c r="F733" s="21">
        <v>4</v>
      </c>
      <c r="G733" s="2" t="s">
        <v>2873</v>
      </c>
      <c r="H733" s="23" t="s">
        <v>2874</v>
      </c>
      <c r="I733" s="101" t="s">
        <v>2875</v>
      </c>
      <c r="J733" s="2" t="s">
        <v>24</v>
      </c>
      <c r="K733" s="2" t="s">
        <v>23</v>
      </c>
      <c r="L733" s="6" t="s">
        <v>2456</v>
      </c>
      <c r="M733" s="2" t="s">
        <v>24</v>
      </c>
      <c r="N733" s="2" t="s">
        <v>23</v>
      </c>
      <c r="O733" s="6" t="s">
        <v>2456</v>
      </c>
      <c r="P733" s="7">
        <v>1</v>
      </c>
      <c r="Q733" s="99" t="s">
        <v>2876</v>
      </c>
    </row>
    <row r="734" spans="1:19" ht="15" customHeight="1">
      <c r="A734" s="21">
        <v>13</v>
      </c>
      <c r="B734" s="2" t="s">
        <v>2829</v>
      </c>
      <c r="C734" s="21">
        <v>2</v>
      </c>
      <c r="D734" s="2" t="s">
        <v>2858</v>
      </c>
      <c r="E734" s="14">
        <v>0</v>
      </c>
      <c r="F734" s="21">
        <v>5</v>
      </c>
      <c r="G734" s="2" t="s">
        <v>2877</v>
      </c>
      <c r="H734" s="23" t="s">
        <v>2878</v>
      </c>
      <c r="I734" s="101" t="s">
        <v>2879</v>
      </c>
      <c r="J734" s="2" t="s">
        <v>24</v>
      </c>
      <c r="K734" s="2" t="s">
        <v>116</v>
      </c>
      <c r="L734" s="9" t="s">
        <v>2477</v>
      </c>
      <c r="M734" s="2" t="s">
        <v>24</v>
      </c>
      <c r="N734" s="2" t="s">
        <v>116</v>
      </c>
      <c r="O734" s="9" t="s">
        <v>2477</v>
      </c>
      <c r="P734" s="7">
        <v>1</v>
      </c>
      <c r="Q734" s="99" t="s">
        <v>2880</v>
      </c>
    </row>
    <row r="735" spans="1:19" ht="15" customHeight="1">
      <c r="A735" s="21">
        <v>13</v>
      </c>
      <c r="B735" s="2" t="s">
        <v>2829</v>
      </c>
      <c r="C735" s="21">
        <v>2</v>
      </c>
      <c r="D735" s="2" t="s">
        <v>2858</v>
      </c>
      <c r="E735" s="14">
        <v>0</v>
      </c>
      <c r="F735" s="21">
        <v>6</v>
      </c>
      <c r="G735" s="2" t="s">
        <v>2881</v>
      </c>
      <c r="H735" s="23" t="s">
        <v>2882</v>
      </c>
      <c r="I735" s="101" t="s">
        <v>2883</v>
      </c>
      <c r="J735" s="2" t="s">
        <v>24</v>
      </c>
      <c r="K735" s="2" t="s">
        <v>23</v>
      </c>
      <c r="L735" s="9"/>
      <c r="M735" s="2" t="s">
        <v>24</v>
      </c>
      <c r="N735" s="2" t="s">
        <v>23</v>
      </c>
      <c r="O735" s="9"/>
      <c r="P735" s="7">
        <v>1</v>
      </c>
      <c r="Q735" s="99" t="s">
        <v>4</v>
      </c>
      <c r="R735" s="2" t="s">
        <v>2884</v>
      </c>
    </row>
    <row r="736" spans="1:19" ht="15" customHeight="1">
      <c r="A736" s="72"/>
      <c r="C736" s="72"/>
      <c r="E736" s="86"/>
      <c r="F736" s="72"/>
      <c r="H736" s="87" t="s">
        <v>234</v>
      </c>
      <c r="I736" s="105"/>
      <c r="L736" s="9"/>
      <c r="O736" s="9"/>
      <c r="P736" s="7"/>
      <c r="Q736" s="99"/>
    </row>
    <row r="737" spans="1:18" ht="15" customHeight="1">
      <c r="A737" s="21">
        <v>14</v>
      </c>
      <c r="B737" s="2" t="s">
        <v>2885</v>
      </c>
      <c r="C737" s="21">
        <v>0</v>
      </c>
      <c r="D737" s="2" t="s">
        <v>2886</v>
      </c>
      <c r="E737" s="21">
        <v>0</v>
      </c>
      <c r="F737" s="21">
        <v>0</v>
      </c>
      <c r="G737" s="2" t="s">
        <v>20</v>
      </c>
      <c r="H737" s="23" t="s">
        <v>2887</v>
      </c>
      <c r="I737" s="34" t="s">
        <v>2888</v>
      </c>
      <c r="J737" s="2" t="s">
        <v>23</v>
      </c>
      <c r="K737" s="2" t="s">
        <v>23</v>
      </c>
      <c r="M737" s="2" t="s">
        <v>24</v>
      </c>
      <c r="N737" s="2" t="s">
        <v>25</v>
      </c>
      <c r="O737" s="27" t="s">
        <v>26</v>
      </c>
      <c r="P737" s="26">
        <v>1</v>
      </c>
      <c r="Q737" s="1" t="s">
        <v>2889</v>
      </c>
      <c r="R737" s="2" t="s">
        <v>2890</v>
      </c>
    </row>
    <row r="738" spans="1:18" ht="15" customHeight="1">
      <c r="A738" s="21">
        <v>14</v>
      </c>
      <c r="B738" s="2" t="s">
        <v>2885</v>
      </c>
      <c r="C738" s="21">
        <v>0</v>
      </c>
      <c r="D738" s="2" t="s">
        <v>2886</v>
      </c>
      <c r="E738" s="14">
        <v>0</v>
      </c>
      <c r="F738" s="21">
        <v>1</v>
      </c>
      <c r="G738" s="2" t="s">
        <v>2891</v>
      </c>
      <c r="H738" s="23" t="s">
        <v>2892</v>
      </c>
      <c r="I738" s="101" t="s">
        <v>2893</v>
      </c>
      <c r="J738" s="2" t="s">
        <v>23</v>
      </c>
      <c r="K738" s="2" t="s">
        <v>23</v>
      </c>
      <c r="M738" s="2" t="s">
        <v>24</v>
      </c>
      <c r="N738" s="2" t="s">
        <v>116</v>
      </c>
      <c r="O738" s="11" t="s">
        <v>2893</v>
      </c>
      <c r="P738" s="7">
        <v>1</v>
      </c>
      <c r="Q738" s="99" t="s">
        <v>2894</v>
      </c>
    </row>
    <row r="739" spans="1:18" ht="15" customHeight="1">
      <c r="A739" s="21">
        <v>14</v>
      </c>
      <c r="B739" s="2" t="s">
        <v>2885</v>
      </c>
      <c r="C739" s="21">
        <v>0</v>
      </c>
      <c r="D739" s="2" t="s">
        <v>2886</v>
      </c>
      <c r="E739" s="14">
        <v>0</v>
      </c>
      <c r="F739" s="21">
        <v>2</v>
      </c>
      <c r="G739" s="2" t="s">
        <v>2392</v>
      </c>
      <c r="H739" s="23" t="s">
        <v>2895</v>
      </c>
      <c r="I739" s="101" t="s">
        <v>2896</v>
      </c>
      <c r="J739" s="2" t="s">
        <v>23</v>
      </c>
      <c r="K739" s="2" t="s">
        <v>23</v>
      </c>
      <c r="M739" s="2" t="s">
        <v>24</v>
      </c>
      <c r="N739" s="2" t="s">
        <v>116</v>
      </c>
      <c r="O739" s="11" t="s">
        <v>115</v>
      </c>
      <c r="P739" s="7">
        <v>1</v>
      </c>
      <c r="Q739" s="99" t="s">
        <v>2897</v>
      </c>
    </row>
    <row r="740" spans="1:18" ht="15" customHeight="1">
      <c r="A740" s="21">
        <v>14</v>
      </c>
      <c r="B740" s="2" t="s">
        <v>2885</v>
      </c>
      <c r="C740" s="21">
        <v>0</v>
      </c>
      <c r="D740" s="2" t="s">
        <v>2886</v>
      </c>
      <c r="E740" s="14">
        <v>0</v>
      </c>
      <c r="F740" s="21">
        <v>3</v>
      </c>
      <c r="G740" s="2" t="s">
        <v>342</v>
      </c>
      <c r="H740" s="23" t="s">
        <v>2898</v>
      </c>
      <c r="I740" s="101" t="s">
        <v>2899</v>
      </c>
      <c r="J740" s="2" t="s">
        <v>23</v>
      </c>
      <c r="K740" s="2" t="s">
        <v>23</v>
      </c>
      <c r="M740" s="2" t="s">
        <v>24</v>
      </c>
      <c r="N740" s="2" t="s">
        <v>116</v>
      </c>
      <c r="O740" s="11" t="s">
        <v>2899</v>
      </c>
      <c r="P740" s="7">
        <v>1</v>
      </c>
      <c r="Q740" s="99" t="s">
        <v>2900</v>
      </c>
    </row>
    <row r="741" spans="1:18" ht="15" customHeight="1">
      <c r="A741" s="21">
        <v>14</v>
      </c>
      <c r="B741" s="2" t="s">
        <v>2885</v>
      </c>
      <c r="C741" s="21">
        <v>0</v>
      </c>
      <c r="D741" s="2" t="s">
        <v>2886</v>
      </c>
      <c r="E741" s="14">
        <v>0</v>
      </c>
      <c r="F741" s="21">
        <v>4</v>
      </c>
      <c r="G741" s="2" t="s">
        <v>2901</v>
      </c>
      <c r="H741" s="23" t="s">
        <v>2902</v>
      </c>
      <c r="I741" s="101" t="s">
        <v>2903</v>
      </c>
      <c r="J741" s="2" t="s">
        <v>23</v>
      </c>
      <c r="K741" s="2" t="s">
        <v>23</v>
      </c>
      <c r="M741" s="2" t="s">
        <v>32</v>
      </c>
      <c r="N741" s="2" t="s">
        <v>23</v>
      </c>
      <c r="O741" s="27"/>
      <c r="P741" s="7">
        <v>1</v>
      </c>
      <c r="Q741" s="99" t="s">
        <v>2904</v>
      </c>
    </row>
    <row r="742" spans="1:18" ht="15" customHeight="1">
      <c r="A742" s="21">
        <v>14</v>
      </c>
      <c r="B742" s="2" t="s">
        <v>2885</v>
      </c>
      <c r="C742" s="21">
        <v>0</v>
      </c>
      <c r="D742" s="2" t="s">
        <v>2886</v>
      </c>
      <c r="E742" s="14">
        <v>0</v>
      </c>
      <c r="F742" s="21">
        <v>5</v>
      </c>
      <c r="G742" s="2" t="s">
        <v>181</v>
      </c>
      <c r="H742" s="23" t="s">
        <v>2905</v>
      </c>
      <c r="I742" s="101" t="s">
        <v>2906</v>
      </c>
      <c r="J742" s="2" t="s">
        <v>38</v>
      </c>
      <c r="K742" s="2" t="s">
        <v>23</v>
      </c>
      <c r="M742" s="2" t="s">
        <v>38</v>
      </c>
      <c r="N742" s="2" t="s">
        <v>23</v>
      </c>
      <c r="O742" s="27"/>
      <c r="P742" s="7">
        <v>1</v>
      </c>
      <c r="Q742" s="99" t="s">
        <v>2907</v>
      </c>
    </row>
    <row r="743" spans="1:18" ht="15" customHeight="1">
      <c r="A743" s="71">
        <v>14</v>
      </c>
      <c r="B743" s="2" t="s">
        <v>2885</v>
      </c>
      <c r="C743" s="71">
        <v>0</v>
      </c>
      <c r="D743" s="2" t="s">
        <v>2886</v>
      </c>
      <c r="E743" s="74">
        <v>0</v>
      </c>
      <c r="F743" s="71">
        <v>6</v>
      </c>
      <c r="G743" s="2" t="s">
        <v>1810</v>
      </c>
      <c r="H743" s="73" t="s">
        <v>2908</v>
      </c>
      <c r="I743" s="100" t="s">
        <v>2909</v>
      </c>
      <c r="J743" s="2" t="s">
        <v>163</v>
      </c>
      <c r="K743" s="2" t="s">
        <v>23</v>
      </c>
      <c r="M743" s="2" t="s">
        <v>23</v>
      </c>
      <c r="N743" s="2" t="s">
        <v>23</v>
      </c>
      <c r="O743" s="27"/>
      <c r="P743" s="7">
        <v>0</v>
      </c>
      <c r="Q743" s="99" t="s">
        <v>2910</v>
      </c>
    </row>
    <row r="744" spans="1:18" ht="15" customHeight="1">
      <c r="A744" s="71">
        <v>14</v>
      </c>
      <c r="B744" s="2" t="s">
        <v>2885</v>
      </c>
      <c r="C744" s="71">
        <v>0</v>
      </c>
      <c r="D744" s="2" t="s">
        <v>2886</v>
      </c>
      <c r="E744" s="74">
        <v>0</v>
      </c>
      <c r="F744" s="71">
        <v>7</v>
      </c>
      <c r="G744" s="2" t="s">
        <v>2911</v>
      </c>
      <c r="H744" s="73" t="s">
        <v>2912</v>
      </c>
      <c r="I744" s="100" t="s">
        <v>2913</v>
      </c>
      <c r="J744" s="2" t="s">
        <v>24</v>
      </c>
      <c r="K744" s="2" t="s">
        <v>23</v>
      </c>
      <c r="M744" s="2" t="s">
        <v>24</v>
      </c>
      <c r="N744" s="2" t="s">
        <v>23</v>
      </c>
      <c r="O744" s="27"/>
      <c r="P744" s="7">
        <v>0</v>
      </c>
      <c r="Q744" s="99" t="s">
        <v>2914</v>
      </c>
    </row>
    <row r="745" spans="1:18" ht="15" customHeight="1">
      <c r="A745" s="71">
        <v>14</v>
      </c>
      <c r="B745" s="2" t="s">
        <v>2885</v>
      </c>
      <c r="C745" s="71">
        <v>0</v>
      </c>
      <c r="D745" s="2" t="s">
        <v>2886</v>
      </c>
      <c r="E745" s="74">
        <v>0</v>
      </c>
      <c r="F745" s="71">
        <v>8</v>
      </c>
      <c r="G745" s="2" t="s">
        <v>2915</v>
      </c>
      <c r="H745" s="73" t="s">
        <v>2916</v>
      </c>
      <c r="I745" s="100" t="s">
        <v>2917</v>
      </c>
      <c r="J745" s="2" t="s">
        <v>24</v>
      </c>
      <c r="K745" s="2" t="s">
        <v>23</v>
      </c>
      <c r="M745" s="2" t="s">
        <v>24</v>
      </c>
      <c r="N745" s="2" t="s">
        <v>23</v>
      </c>
      <c r="O745" s="27"/>
      <c r="P745" s="7">
        <v>0</v>
      </c>
      <c r="Q745" s="99" t="s">
        <v>2918</v>
      </c>
    </row>
    <row r="746" spans="1:18" ht="15" customHeight="1">
      <c r="A746" s="71">
        <v>14</v>
      </c>
      <c r="B746" s="2" t="s">
        <v>2885</v>
      </c>
      <c r="C746" s="71">
        <v>0</v>
      </c>
      <c r="D746" s="2" t="s">
        <v>2886</v>
      </c>
      <c r="E746" s="74">
        <v>0</v>
      </c>
      <c r="F746" s="71">
        <v>9</v>
      </c>
      <c r="G746" s="2" t="s">
        <v>2919</v>
      </c>
      <c r="H746" s="73" t="s">
        <v>2920</v>
      </c>
      <c r="I746" s="100" t="s">
        <v>2921</v>
      </c>
      <c r="J746" s="2" t="s">
        <v>24</v>
      </c>
      <c r="K746" s="2" t="s">
        <v>23</v>
      </c>
      <c r="M746" s="2" t="s">
        <v>24</v>
      </c>
      <c r="N746" s="2" t="s">
        <v>23</v>
      </c>
      <c r="O746" s="27"/>
      <c r="P746" s="7">
        <v>0</v>
      </c>
      <c r="Q746" s="99" t="s">
        <v>2922</v>
      </c>
    </row>
    <row r="747" spans="1:18" ht="15" customHeight="1">
      <c r="A747" s="71">
        <v>14</v>
      </c>
      <c r="B747" s="2" t="s">
        <v>2885</v>
      </c>
      <c r="C747" s="71">
        <v>0</v>
      </c>
      <c r="D747" s="2" t="s">
        <v>2886</v>
      </c>
      <c r="E747" s="74">
        <v>0</v>
      </c>
      <c r="F747" s="71">
        <v>10</v>
      </c>
      <c r="G747" s="2" t="s">
        <v>2923</v>
      </c>
      <c r="H747" s="73" t="s">
        <v>2924</v>
      </c>
      <c r="I747" s="100" t="s">
        <v>2925</v>
      </c>
      <c r="J747" s="2" t="s">
        <v>24</v>
      </c>
      <c r="K747" s="2" t="s">
        <v>23</v>
      </c>
      <c r="M747" s="2" t="s">
        <v>24</v>
      </c>
      <c r="N747" s="2" t="s">
        <v>23</v>
      </c>
      <c r="O747" s="11"/>
      <c r="P747" s="7">
        <v>0</v>
      </c>
      <c r="Q747" s="99" t="s">
        <v>2926</v>
      </c>
    </row>
    <row r="748" spans="1:18" ht="15" customHeight="1">
      <c r="A748" s="21">
        <v>14</v>
      </c>
      <c r="B748" s="2" t="s">
        <v>2885</v>
      </c>
      <c r="C748" s="21">
        <v>0</v>
      </c>
      <c r="D748" s="2" t="s">
        <v>2886</v>
      </c>
      <c r="E748" s="14">
        <v>0</v>
      </c>
      <c r="F748" s="21">
        <v>11</v>
      </c>
      <c r="G748" s="2" t="s">
        <v>2927</v>
      </c>
      <c r="H748" s="23" t="s">
        <v>2928</v>
      </c>
      <c r="I748" s="101" t="s">
        <v>2929</v>
      </c>
      <c r="J748" s="2" t="s">
        <v>23</v>
      </c>
      <c r="K748" s="2" t="s">
        <v>23</v>
      </c>
      <c r="M748" s="2" t="s">
        <v>32</v>
      </c>
      <c r="N748" s="2" t="s">
        <v>23</v>
      </c>
      <c r="O748" s="27"/>
      <c r="P748" s="7">
        <v>1</v>
      </c>
      <c r="Q748" s="99" t="s">
        <v>2930</v>
      </c>
    </row>
    <row r="749" spans="1:18" ht="15" customHeight="1">
      <c r="A749" s="21">
        <v>14</v>
      </c>
      <c r="B749" s="2" t="s">
        <v>2885</v>
      </c>
      <c r="C749" s="21">
        <v>0</v>
      </c>
      <c r="D749" s="2" t="s">
        <v>2886</v>
      </c>
      <c r="E749" s="14">
        <v>0</v>
      </c>
      <c r="F749" s="21">
        <v>12</v>
      </c>
      <c r="G749" s="2" t="s">
        <v>2931</v>
      </c>
      <c r="H749" s="23" t="s">
        <v>2932</v>
      </c>
      <c r="I749" s="101" t="s">
        <v>2933</v>
      </c>
      <c r="J749" s="2" t="s">
        <v>32</v>
      </c>
      <c r="K749" s="2" t="s">
        <v>23</v>
      </c>
      <c r="M749" s="2" t="s">
        <v>32</v>
      </c>
      <c r="N749" s="2" t="s">
        <v>23</v>
      </c>
      <c r="P749" s="7">
        <v>1</v>
      </c>
      <c r="Q749" s="99" t="s">
        <v>2934</v>
      </c>
    </row>
    <row r="750" spans="1:18" ht="15" customHeight="1">
      <c r="A750" s="21">
        <v>14</v>
      </c>
      <c r="B750" s="2" t="s">
        <v>2885</v>
      </c>
      <c r="C750" s="21">
        <v>0</v>
      </c>
      <c r="D750" s="2" t="s">
        <v>2886</v>
      </c>
      <c r="E750" s="14">
        <v>0</v>
      </c>
      <c r="F750" s="21">
        <v>13</v>
      </c>
      <c r="G750" s="2" t="s">
        <v>2935</v>
      </c>
      <c r="H750" s="23" t="s">
        <v>2936</v>
      </c>
      <c r="I750" s="101" t="s">
        <v>2937</v>
      </c>
      <c r="J750" s="2" t="s">
        <v>24</v>
      </c>
      <c r="K750" s="2" t="s">
        <v>23</v>
      </c>
      <c r="M750" s="2" t="s">
        <v>24</v>
      </c>
      <c r="N750" s="2" t="s">
        <v>23</v>
      </c>
      <c r="P750" s="7">
        <v>1</v>
      </c>
      <c r="Q750" s="99" t="s">
        <v>2938</v>
      </c>
    </row>
    <row r="751" spans="1:18" ht="15" customHeight="1">
      <c r="A751" s="21">
        <v>14</v>
      </c>
      <c r="B751" s="2" t="s">
        <v>2885</v>
      </c>
      <c r="C751" s="21">
        <v>0</v>
      </c>
      <c r="D751" s="2" t="s">
        <v>2886</v>
      </c>
      <c r="E751" s="14">
        <v>0</v>
      </c>
      <c r="F751" s="21">
        <v>14</v>
      </c>
      <c r="G751" s="2" t="s">
        <v>2939</v>
      </c>
      <c r="H751" s="23" t="s">
        <v>2940</v>
      </c>
      <c r="I751" s="101" t="s">
        <v>2941</v>
      </c>
      <c r="J751" s="2" t="s">
        <v>24</v>
      </c>
      <c r="K751" s="2" t="s">
        <v>23</v>
      </c>
      <c r="M751" s="2" t="s">
        <v>24</v>
      </c>
      <c r="N751" s="2" t="s">
        <v>23</v>
      </c>
      <c r="P751" s="7">
        <v>1</v>
      </c>
      <c r="Q751" s="99" t="s">
        <v>2942</v>
      </c>
    </row>
    <row r="752" spans="1:18" ht="15" customHeight="1">
      <c r="A752" s="71">
        <v>14</v>
      </c>
      <c r="B752" s="2" t="s">
        <v>2885</v>
      </c>
      <c r="C752" s="71">
        <v>0</v>
      </c>
      <c r="D752" s="2" t="s">
        <v>2886</v>
      </c>
      <c r="E752" s="74">
        <v>0</v>
      </c>
      <c r="F752" s="71">
        <v>15</v>
      </c>
      <c r="G752" s="2" t="s">
        <v>2943</v>
      </c>
      <c r="H752" s="73" t="s">
        <v>2944</v>
      </c>
      <c r="I752" s="100" t="s">
        <v>2945</v>
      </c>
      <c r="J752" s="2" t="s">
        <v>163</v>
      </c>
      <c r="K752" s="2" t="s">
        <v>23</v>
      </c>
      <c r="M752" s="2" t="s">
        <v>23</v>
      </c>
      <c r="N752" s="2" t="s">
        <v>23</v>
      </c>
      <c r="P752" s="7">
        <v>0</v>
      </c>
      <c r="Q752" s="99" t="s">
        <v>2946</v>
      </c>
    </row>
    <row r="753" spans="1:17" ht="15" customHeight="1">
      <c r="A753" s="71">
        <v>14</v>
      </c>
      <c r="B753" s="2" t="s">
        <v>2885</v>
      </c>
      <c r="C753" s="71">
        <v>0</v>
      </c>
      <c r="D753" s="2" t="s">
        <v>2886</v>
      </c>
      <c r="E753" s="74">
        <v>0</v>
      </c>
      <c r="F753" s="71">
        <v>16</v>
      </c>
      <c r="G753" s="2" t="s">
        <v>2947</v>
      </c>
      <c r="H753" s="73" t="s">
        <v>2948</v>
      </c>
      <c r="I753" s="100" t="s">
        <v>2949</v>
      </c>
      <c r="J753" s="2" t="s">
        <v>24</v>
      </c>
      <c r="K753" s="2" t="s">
        <v>121</v>
      </c>
      <c r="M753" s="2" t="s">
        <v>24</v>
      </c>
      <c r="N753" s="2" t="s">
        <v>121</v>
      </c>
      <c r="P753" s="7">
        <v>0</v>
      </c>
      <c r="Q753" s="99" t="s">
        <v>2950</v>
      </c>
    </row>
    <row r="754" spans="1:17" ht="15" customHeight="1">
      <c r="A754" s="71">
        <v>14</v>
      </c>
      <c r="B754" s="2" t="s">
        <v>2885</v>
      </c>
      <c r="C754" s="71">
        <v>0</v>
      </c>
      <c r="D754" s="2" t="s">
        <v>2886</v>
      </c>
      <c r="E754" s="74">
        <v>0</v>
      </c>
      <c r="F754" s="71">
        <v>17</v>
      </c>
      <c r="G754" s="2" t="s">
        <v>2951</v>
      </c>
      <c r="H754" s="73" t="s">
        <v>2952</v>
      </c>
      <c r="I754" s="100" t="s">
        <v>2953</v>
      </c>
      <c r="J754" s="2" t="s">
        <v>24</v>
      </c>
      <c r="K754" s="2" t="s">
        <v>121</v>
      </c>
      <c r="M754" s="2" t="s">
        <v>24</v>
      </c>
      <c r="N754" s="2" t="s">
        <v>121</v>
      </c>
      <c r="P754" s="7">
        <v>0</v>
      </c>
      <c r="Q754" s="99" t="s">
        <v>2954</v>
      </c>
    </row>
    <row r="755" spans="1:17" ht="15" customHeight="1">
      <c r="A755" s="71">
        <v>14</v>
      </c>
      <c r="B755" s="2" t="s">
        <v>2885</v>
      </c>
      <c r="C755" s="71">
        <v>0</v>
      </c>
      <c r="D755" s="2" t="s">
        <v>2886</v>
      </c>
      <c r="E755" s="74">
        <v>0</v>
      </c>
      <c r="F755" s="71">
        <v>18</v>
      </c>
      <c r="G755" s="2" t="s">
        <v>2955</v>
      </c>
      <c r="H755" s="73" t="s">
        <v>2956</v>
      </c>
      <c r="I755" s="100" t="s">
        <v>2957</v>
      </c>
      <c r="J755" s="2" t="s">
        <v>32</v>
      </c>
      <c r="K755" s="2" t="s">
        <v>23</v>
      </c>
      <c r="M755" s="2" t="s">
        <v>32</v>
      </c>
      <c r="N755" s="2" t="s">
        <v>23</v>
      </c>
      <c r="P755" s="7">
        <v>0</v>
      </c>
      <c r="Q755" s="99" t="s">
        <v>2958</v>
      </c>
    </row>
    <row r="756" spans="1:17" ht="15" customHeight="1">
      <c r="A756" s="71">
        <v>14</v>
      </c>
      <c r="B756" s="2" t="s">
        <v>2885</v>
      </c>
      <c r="C756" s="71">
        <v>0</v>
      </c>
      <c r="D756" s="2" t="s">
        <v>2886</v>
      </c>
      <c r="E756" s="74">
        <v>0</v>
      </c>
      <c r="F756" s="71">
        <v>19</v>
      </c>
      <c r="G756" s="2" t="s">
        <v>2959</v>
      </c>
      <c r="H756" s="73" t="s">
        <v>2960</v>
      </c>
      <c r="I756" s="100" t="s">
        <v>2961</v>
      </c>
      <c r="J756" s="2" t="s">
        <v>24</v>
      </c>
      <c r="K756" s="2" t="s">
        <v>121</v>
      </c>
      <c r="M756" s="2" t="s">
        <v>24</v>
      </c>
      <c r="N756" s="2" t="s">
        <v>121</v>
      </c>
      <c r="P756" s="7">
        <v>0</v>
      </c>
      <c r="Q756" s="99" t="s">
        <v>2962</v>
      </c>
    </row>
    <row r="757" spans="1:17" ht="15" customHeight="1">
      <c r="A757" s="71">
        <v>14</v>
      </c>
      <c r="B757" s="2" t="s">
        <v>2885</v>
      </c>
      <c r="C757" s="71">
        <v>0</v>
      </c>
      <c r="D757" s="2" t="s">
        <v>2886</v>
      </c>
      <c r="E757" s="74">
        <v>0</v>
      </c>
      <c r="F757" s="71">
        <v>20</v>
      </c>
      <c r="G757" s="2" t="s">
        <v>2963</v>
      </c>
      <c r="H757" s="73" t="s">
        <v>2964</v>
      </c>
      <c r="I757" s="100" t="s">
        <v>2965</v>
      </c>
      <c r="J757" s="2" t="s">
        <v>24</v>
      </c>
      <c r="K757" s="2" t="s">
        <v>25</v>
      </c>
      <c r="M757" s="2" t="s">
        <v>23</v>
      </c>
      <c r="N757" s="2" t="s">
        <v>23</v>
      </c>
      <c r="P757" s="7">
        <v>0</v>
      </c>
      <c r="Q757" s="99" t="s">
        <v>2966</v>
      </c>
    </row>
    <row r="758" spans="1:17" ht="15" customHeight="1">
      <c r="A758" s="71">
        <v>14</v>
      </c>
      <c r="B758" s="2" t="s">
        <v>2885</v>
      </c>
      <c r="C758" s="71">
        <v>0</v>
      </c>
      <c r="D758" s="2" t="s">
        <v>2886</v>
      </c>
      <c r="E758" s="74">
        <v>0</v>
      </c>
      <c r="F758" s="71">
        <v>21</v>
      </c>
      <c r="G758" s="2" t="s">
        <v>2967</v>
      </c>
      <c r="H758" s="73" t="s">
        <v>2968</v>
      </c>
      <c r="I758" s="100" t="s">
        <v>2969</v>
      </c>
      <c r="J758" s="2" t="s">
        <v>24</v>
      </c>
      <c r="K758" s="2" t="s">
        <v>121</v>
      </c>
      <c r="M758" s="2" t="s">
        <v>24</v>
      </c>
      <c r="N758" s="2" t="s">
        <v>121</v>
      </c>
      <c r="P758" s="7">
        <v>0</v>
      </c>
      <c r="Q758" s="99" t="s">
        <v>2970</v>
      </c>
    </row>
    <row r="759" spans="1:17" ht="15" customHeight="1">
      <c r="A759" s="71">
        <v>14</v>
      </c>
      <c r="B759" s="2" t="s">
        <v>2885</v>
      </c>
      <c r="C759" s="71">
        <v>0</v>
      </c>
      <c r="D759" s="2" t="s">
        <v>2886</v>
      </c>
      <c r="E759" s="74">
        <v>0</v>
      </c>
      <c r="F759" s="71">
        <v>22</v>
      </c>
      <c r="G759" s="2" t="s">
        <v>2971</v>
      </c>
      <c r="H759" s="73" t="s">
        <v>2972</v>
      </c>
      <c r="I759" s="100" t="s">
        <v>2973</v>
      </c>
      <c r="J759" s="2" t="s">
        <v>24</v>
      </c>
      <c r="K759" s="2" t="s">
        <v>25</v>
      </c>
      <c r="M759" s="2" t="s">
        <v>23</v>
      </c>
      <c r="N759" s="2" t="s">
        <v>23</v>
      </c>
      <c r="P759" s="7">
        <v>0</v>
      </c>
      <c r="Q759" s="99" t="s">
        <v>2974</v>
      </c>
    </row>
    <row r="760" spans="1:17" ht="15" customHeight="1">
      <c r="A760" s="71">
        <v>14</v>
      </c>
      <c r="B760" s="2" t="s">
        <v>2885</v>
      </c>
      <c r="C760" s="71">
        <v>0</v>
      </c>
      <c r="D760" s="2" t="s">
        <v>2886</v>
      </c>
      <c r="E760" s="74">
        <v>0</v>
      </c>
      <c r="F760" s="71">
        <v>23</v>
      </c>
      <c r="G760" s="2" t="s">
        <v>2975</v>
      </c>
      <c r="H760" s="73" t="s">
        <v>2976</v>
      </c>
      <c r="I760" s="100" t="s">
        <v>2977</v>
      </c>
      <c r="J760" s="2" t="s">
        <v>23</v>
      </c>
      <c r="K760" s="2" t="s">
        <v>23</v>
      </c>
      <c r="M760" s="2" t="s">
        <v>38</v>
      </c>
      <c r="N760" s="2" t="s">
        <v>23</v>
      </c>
      <c r="P760" s="7">
        <v>0</v>
      </c>
      <c r="Q760" s="99" t="s">
        <v>1207</v>
      </c>
    </row>
    <row r="761" spans="1:17" ht="15" customHeight="1">
      <c r="A761" s="71">
        <v>14</v>
      </c>
      <c r="B761" s="2" t="s">
        <v>2885</v>
      </c>
      <c r="C761" s="71">
        <v>0</v>
      </c>
      <c r="D761" s="2" t="s">
        <v>2886</v>
      </c>
      <c r="E761" s="74">
        <v>0</v>
      </c>
      <c r="F761" s="71">
        <v>24</v>
      </c>
      <c r="G761" s="2" t="s">
        <v>2978</v>
      </c>
      <c r="H761" s="73" t="s">
        <v>2979</v>
      </c>
      <c r="I761" s="100" t="s">
        <v>2980</v>
      </c>
      <c r="J761" s="2" t="s">
        <v>23</v>
      </c>
      <c r="K761" s="2" t="s">
        <v>23</v>
      </c>
      <c r="M761" s="2" t="s">
        <v>38</v>
      </c>
      <c r="N761" s="2" t="s">
        <v>23</v>
      </c>
      <c r="P761" s="7">
        <v>0</v>
      </c>
      <c r="Q761" s="99" t="s">
        <v>2981</v>
      </c>
    </row>
    <row r="762" spans="1:17" ht="15" customHeight="1">
      <c r="A762" s="71">
        <v>14</v>
      </c>
      <c r="B762" s="2" t="s">
        <v>2885</v>
      </c>
      <c r="C762" s="71">
        <v>0</v>
      </c>
      <c r="D762" s="2" t="s">
        <v>2886</v>
      </c>
      <c r="E762" s="74">
        <v>0</v>
      </c>
      <c r="F762" s="71">
        <v>25</v>
      </c>
      <c r="G762" s="2" t="s">
        <v>2982</v>
      </c>
      <c r="H762" s="73" t="s">
        <v>2983</v>
      </c>
      <c r="I762" s="100" t="s">
        <v>2984</v>
      </c>
      <c r="J762" s="2" t="s">
        <v>23</v>
      </c>
      <c r="K762" s="2" t="s">
        <v>23</v>
      </c>
      <c r="M762" s="2" t="s">
        <v>38</v>
      </c>
      <c r="N762" s="2" t="s">
        <v>23</v>
      </c>
      <c r="P762" s="7">
        <v>0</v>
      </c>
      <c r="Q762" s="99" t="s">
        <v>2985</v>
      </c>
    </row>
    <row r="763" spans="1:17" ht="15" customHeight="1">
      <c r="A763" s="71">
        <v>14</v>
      </c>
      <c r="B763" s="2" t="s">
        <v>2885</v>
      </c>
      <c r="C763" s="71">
        <v>0</v>
      </c>
      <c r="D763" s="2" t="s">
        <v>2886</v>
      </c>
      <c r="E763" s="74">
        <v>0</v>
      </c>
      <c r="F763" s="71">
        <v>26</v>
      </c>
      <c r="G763" s="2" t="s">
        <v>2986</v>
      </c>
      <c r="H763" s="73" t="s">
        <v>2987</v>
      </c>
      <c r="I763" s="100" t="s">
        <v>2988</v>
      </c>
      <c r="J763" s="2" t="s">
        <v>23</v>
      </c>
      <c r="K763" s="2" t="s">
        <v>23</v>
      </c>
      <c r="M763" s="2" t="s">
        <v>38</v>
      </c>
      <c r="N763" s="2" t="s">
        <v>23</v>
      </c>
      <c r="P763" s="7">
        <v>0</v>
      </c>
      <c r="Q763" s="99" t="s">
        <v>2989</v>
      </c>
    </row>
    <row r="764" spans="1:17" ht="15" customHeight="1">
      <c r="A764" s="71">
        <v>14</v>
      </c>
      <c r="B764" s="2" t="s">
        <v>2885</v>
      </c>
      <c r="C764" s="71">
        <v>0</v>
      </c>
      <c r="D764" s="2" t="s">
        <v>2886</v>
      </c>
      <c r="E764" s="74">
        <v>0</v>
      </c>
      <c r="F764" s="71">
        <v>27</v>
      </c>
      <c r="G764" s="2" t="s">
        <v>96</v>
      </c>
      <c r="H764" s="73" t="s">
        <v>2990</v>
      </c>
      <c r="I764" s="100" t="s">
        <v>2991</v>
      </c>
      <c r="J764" s="2" t="s">
        <v>23</v>
      </c>
      <c r="K764" s="2" t="s">
        <v>23</v>
      </c>
      <c r="M764" s="2" t="s">
        <v>38</v>
      </c>
      <c r="N764" s="2" t="s">
        <v>23</v>
      </c>
      <c r="P764" s="7">
        <v>0</v>
      </c>
      <c r="Q764" s="99" t="s">
        <v>2992</v>
      </c>
    </row>
    <row r="765" spans="1:17" ht="15" customHeight="1">
      <c r="A765" s="71">
        <v>14</v>
      </c>
      <c r="B765" s="2" t="s">
        <v>2885</v>
      </c>
      <c r="C765" s="71">
        <v>0</v>
      </c>
      <c r="D765" s="2" t="s">
        <v>2886</v>
      </c>
      <c r="E765" s="74">
        <v>0</v>
      </c>
      <c r="F765" s="71">
        <v>28</v>
      </c>
      <c r="G765" s="2" t="s">
        <v>35</v>
      </c>
      <c r="H765" s="73" t="s">
        <v>2993</v>
      </c>
      <c r="I765" s="100" t="s">
        <v>2994</v>
      </c>
      <c r="J765" s="2" t="s">
        <v>23</v>
      </c>
      <c r="K765" s="2" t="s">
        <v>23</v>
      </c>
      <c r="M765" s="2" t="s">
        <v>38</v>
      </c>
      <c r="N765" s="2" t="s">
        <v>23</v>
      </c>
      <c r="P765" s="7">
        <v>0</v>
      </c>
      <c r="Q765" s="99" t="s">
        <v>885</v>
      </c>
    </row>
    <row r="766" spans="1:17" ht="15" customHeight="1">
      <c r="A766" s="71">
        <v>14</v>
      </c>
      <c r="B766" s="2" t="s">
        <v>2885</v>
      </c>
      <c r="C766" s="71">
        <v>0</v>
      </c>
      <c r="D766" s="2" t="s">
        <v>2886</v>
      </c>
      <c r="E766" s="74">
        <v>0</v>
      </c>
      <c r="F766" s="71">
        <v>29</v>
      </c>
      <c r="G766" s="2" t="s">
        <v>2995</v>
      </c>
      <c r="H766" s="73" t="s">
        <v>2996</v>
      </c>
      <c r="I766" s="100" t="s">
        <v>2997</v>
      </c>
      <c r="J766" s="2" t="s">
        <v>23</v>
      </c>
      <c r="K766" s="2" t="s">
        <v>23</v>
      </c>
      <c r="M766" s="2" t="s">
        <v>38</v>
      </c>
      <c r="N766" s="2" t="s">
        <v>23</v>
      </c>
      <c r="P766" s="7">
        <v>0</v>
      </c>
      <c r="Q766" s="99" t="s">
        <v>2998</v>
      </c>
    </row>
    <row r="767" spans="1:17" ht="15" customHeight="1">
      <c r="A767" s="71">
        <v>14</v>
      </c>
      <c r="B767" s="2" t="s">
        <v>2885</v>
      </c>
      <c r="C767" s="71">
        <v>0</v>
      </c>
      <c r="D767" s="2" t="s">
        <v>2886</v>
      </c>
      <c r="E767" s="74">
        <v>0</v>
      </c>
      <c r="F767" s="71">
        <v>30</v>
      </c>
      <c r="G767" s="2" t="s">
        <v>2999</v>
      </c>
      <c r="H767" s="73" t="s">
        <v>3000</v>
      </c>
      <c r="I767" s="100" t="s">
        <v>3001</v>
      </c>
      <c r="J767" s="2" t="s">
        <v>23</v>
      </c>
      <c r="K767" s="2" t="s">
        <v>23</v>
      </c>
      <c r="M767" s="2" t="s">
        <v>38</v>
      </c>
      <c r="N767" s="2" t="s">
        <v>23</v>
      </c>
      <c r="P767" s="7">
        <v>0</v>
      </c>
      <c r="Q767" s="99" t="s">
        <v>3002</v>
      </c>
    </row>
    <row r="768" spans="1:17" ht="15" customHeight="1">
      <c r="A768" s="71">
        <v>14</v>
      </c>
      <c r="B768" s="2" t="s">
        <v>2885</v>
      </c>
      <c r="C768" s="71">
        <v>0</v>
      </c>
      <c r="D768" s="2" t="s">
        <v>2886</v>
      </c>
      <c r="E768" s="74">
        <v>0</v>
      </c>
      <c r="F768" s="71">
        <v>31</v>
      </c>
      <c r="G768" s="2" t="s">
        <v>3003</v>
      </c>
      <c r="H768" s="73" t="s">
        <v>3004</v>
      </c>
      <c r="I768" s="100" t="s">
        <v>3005</v>
      </c>
      <c r="J768" s="2" t="s">
        <v>23</v>
      </c>
      <c r="K768" s="2" t="s">
        <v>23</v>
      </c>
      <c r="M768" s="2" t="s">
        <v>38</v>
      </c>
      <c r="N768" s="2" t="s">
        <v>23</v>
      </c>
      <c r="P768" s="7">
        <v>0</v>
      </c>
      <c r="Q768" s="99" t="s">
        <v>3006</v>
      </c>
    </row>
    <row r="769" spans="1:17" ht="15" customHeight="1">
      <c r="A769" s="71">
        <v>14</v>
      </c>
      <c r="B769" s="2" t="s">
        <v>2885</v>
      </c>
      <c r="C769" s="71">
        <v>0</v>
      </c>
      <c r="D769" s="2" t="s">
        <v>2886</v>
      </c>
      <c r="E769" s="74">
        <v>0</v>
      </c>
      <c r="F769" s="71">
        <v>32</v>
      </c>
      <c r="G769" s="2" t="s">
        <v>3007</v>
      </c>
      <c r="H769" s="73" t="s">
        <v>3008</v>
      </c>
      <c r="I769" s="100" t="s">
        <v>3009</v>
      </c>
      <c r="J769" s="2" t="s">
        <v>23</v>
      </c>
      <c r="K769" s="2" t="s">
        <v>23</v>
      </c>
      <c r="M769" s="2" t="s">
        <v>38</v>
      </c>
      <c r="N769" s="2" t="s">
        <v>23</v>
      </c>
      <c r="P769" s="7">
        <v>0</v>
      </c>
      <c r="Q769" s="99" t="s">
        <v>3010</v>
      </c>
    </row>
    <row r="770" spans="1:17" ht="15" customHeight="1">
      <c r="A770" s="71">
        <v>14</v>
      </c>
      <c r="B770" s="2" t="s">
        <v>2885</v>
      </c>
      <c r="C770" s="71">
        <v>0</v>
      </c>
      <c r="D770" s="2" t="s">
        <v>2886</v>
      </c>
      <c r="E770" s="74">
        <v>0</v>
      </c>
      <c r="F770" s="71">
        <v>33</v>
      </c>
      <c r="G770" s="2" t="s">
        <v>3011</v>
      </c>
      <c r="H770" s="73" t="s">
        <v>3012</v>
      </c>
      <c r="I770" s="100" t="s">
        <v>3013</v>
      </c>
      <c r="J770" s="2" t="s">
        <v>23</v>
      </c>
      <c r="K770" s="2" t="s">
        <v>23</v>
      </c>
      <c r="M770" s="2" t="s">
        <v>38</v>
      </c>
      <c r="N770" s="2" t="s">
        <v>23</v>
      </c>
      <c r="P770" s="7">
        <v>0</v>
      </c>
      <c r="Q770" s="99" t="s">
        <v>3014</v>
      </c>
    </row>
    <row r="771" spans="1:17" ht="15" customHeight="1">
      <c r="A771" s="71">
        <v>14</v>
      </c>
      <c r="B771" s="2" t="s">
        <v>2885</v>
      </c>
      <c r="C771" s="71">
        <v>0</v>
      </c>
      <c r="D771" s="2" t="s">
        <v>2886</v>
      </c>
      <c r="E771" s="74">
        <v>0</v>
      </c>
      <c r="F771" s="71">
        <v>34</v>
      </c>
      <c r="G771" s="2" t="s">
        <v>3015</v>
      </c>
      <c r="H771" s="73" t="s">
        <v>3016</v>
      </c>
      <c r="I771" s="100" t="s">
        <v>3017</v>
      </c>
      <c r="J771" s="2" t="s">
        <v>23</v>
      </c>
      <c r="K771" s="2" t="s">
        <v>23</v>
      </c>
      <c r="M771" s="2" t="s">
        <v>38</v>
      </c>
      <c r="N771" s="2" t="s">
        <v>23</v>
      </c>
      <c r="P771" s="7">
        <v>0</v>
      </c>
      <c r="Q771" s="99" t="s">
        <v>3018</v>
      </c>
    </row>
    <row r="772" spans="1:17" ht="15" customHeight="1">
      <c r="A772" s="71">
        <v>14</v>
      </c>
      <c r="B772" s="2" t="s">
        <v>2885</v>
      </c>
      <c r="C772" s="71">
        <v>0</v>
      </c>
      <c r="D772" s="2" t="s">
        <v>2886</v>
      </c>
      <c r="E772" s="74">
        <v>0</v>
      </c>
      <c r="F772" s="71">
        <v>35</v>
      </c>
      <c r="G772" s="2" t="s">
        <v>3019</v>
      </c>
      <c r="H772" s="73" t="s">
        <v>3020</v>
      </c>
      <c r="I772" s="100" t="s">
        <v>3021</v>
      </c>
      <c r="J772" s="2" t="s">
        <v>23</v>
      </c>
      <c r="K772" s="2" t="s">
        <v>23</v>
      </c>
      <c r="M772" s="2" t="s">
        <v>24</v>
      </c>
      <c r="N772" s="2" t="s">
        <v>133</v>
      </c>
      <c r="P772" s="7">
        <v>0</v>
      </c>
      <c r="Q772" s="99" t="s">
        <v>250</v>
      </c>
    </row>
    <row r="773" spans="1:17" ht="15" customHeight="1">
      <c r="A773" s="71">
        <v>14</v>
      </c>
      <c r="B773" s="2" t="s">
        <v>2885</v>
      </c>
      <c r="C773" s="71">
        <v>0</v>
      </c>
      <c r="D773" s="2" t="s">
        <v>2886</v>
      </c>
      <c r="E773" s="74">
        <v>0</v>
      </c>
      <c r="F773" s="71">
        <v>36</v>
      </c>
      <c r="G773" s="2" t="s">
        <v>8875</v>
      </c>
      <c r="H773" s="73" t="s">
        <v>8877</v>
      </c>
      <c r="I773" s="100" t="s">
        <v>8878</v>
      </c>
      <c r="J773" s="2" t="s">
        <v>23</v>
      </c>
      <c r="K773" s="2" t="s">
        <v>23</v>
      </c>
      <c r="M773" s="27" t="s">
        <v>24</v>
      </c>
      <c r="N773" s="27" t="s">
        <v>25</v>
      </c>
      <c r="P773" s="7">
        <v>0</v>
      </c>
      <c r="Q773" s="99" t="s">
        <v>8876</v>
      </c>
    </row>
    <row r="774" spans="1:17" ht="15" customHeight="1">
      <c r="A774" s="21">
        <v>14</v>
      </c>
      <c r="B774" s="2" t="s">
        <v>2885</v>
      </c>
      <c r="C774" s="21">
        <v>1</v>
      </c>
      <c r="D774" s="2" t="s">
        <v>3022</v>
      </c>
      <c r="E774" s="14">
        <v>0</v>
      </c>
      <c r="F774" s="21">
        <v>0</v>
      </c>
      <c r="G774" s="2" t="s">
        <v>20</v>
      </c>
      <c r="H774" s="23" t="s">
        <v>3023</v>
      </c>
      <c r="I774" s="34" t="s">
        <v>3024</v>
      </c>
      <c r="J774" s="2" t="s">
        <v>23</v>
      </c>
      <c r="K774" s="2" t="s">
        <v>23</v>
      </c>
      <c r="L774"/>
      <c r="M774" s="2" t="s">
        <v>24</v>
      </c>
      <c r="N774" s="2" t="s">
        <v>25</v>
      </c>
      <c r="O774" s="27" t="s">
        <v>26</v>
      </c>
      <c r="P774" s="26">
        <v>1</v>
      </c>
      <c r="Q774" s="1" t="s">
        <v>3025</v>
      </c>
    </row>
    <row r="775" spans="1:17" ht="15" customHeight="1">
      <c r="A775" s="71">
        <v>14</v>
      </c>
      <c r="B775" s="2" t="s">
        <v>2885</v>
      </c>
      <c r="C775" s="71">
        <v>1</v>
      </c>
      <c r="D775" s="2" t="s">
        <v>3022</v>
      </c>
      <c r="E775" s="74">
        <v>0</v>
      </c>
      <c r="F775" s="71">
        <v>1</v>
      </c>
      <c r="G775" s="2" t="s">
        <v>412</v>
      </c>
      <c r="H775" s="93" t="s">
        <v>3026</v>
      </c>
      <c r="I775" s="93" t="s">
        <v>3027</v>
      </c>
      <c r="J775" s="2" t="s">
        <v>23</v>
      </c>
      <c r="K775" s="2" t="s">
        <v>23</v>
      </c>
      <c r="L775"/>
      <c r="M775" s="27" t="s">
        <v>24</v>
      </c>
      <c r="N775" s="2" t="s">
        <v>23</v>
      </c>
      <c r="O775"/>
      <c r="P775" s="26">
        <v>0</v>
      </c>
      <c r="Q775" s="99" t="s">
        <v>852</v>
      </c>
    </row>
    <row r="776" spans="1:17" ht="15" customHeight="1">
      <c r="A776" s="71">
        <v>14</v>
      </c>
      <c r="B776" s="2" t="s">
        <v>2885</v>
      </c>
      <c r="C776" s="71">
        <v>1</v>
      </c>
      <c r="D776" s="2" t="s">
        <v>3022</v>
      </c>
      <c r="E776" s="74">
        <v>0</v>
      </c>
      <c r="F776" s="71">
        <v>2</v>
      </c>
      <c r="G776" s="2" t="s">
        <v>1810</v>
      </c>
      <c r="H776" s="93" t="s">
        <v>3028</v>
      </c>
      <c r="I776" s="93" t="s">
        <v>3029</v>
      </c>
      <c r="J776" s="2" t="s">
        <v>163</v>
      </c>
      <c r="K776" s="2" t="s">
        <v>23</v>
      </c>
      <c r="L776"/>
      <c r="M776" s="2" t="s">
        <v>23</v>
      </c>
      <c r="N776" s="2" t="s">
        <v>23</v>
      </c>
      <c r="O776"/>
      <c r="P776" s="26">
        <v>0</v>
      </c>
      <c r="Q776" s="99" t="s">
        <v>2910</v>
      </c>
    </row>
    <row r="777" spans="1:17" ht="15" customHeight="1">
      <c r="A777" s="71">
        <v>14</v>
      </c>
      <c r="B777" s="2" t="s">
        <v>2885</v>
      </c>
      <c r="C777" s="71">
        <v>1</v>
      </c>
      <c r="D777" s="2" t="s">
        <v>3022</v>
      </c>
      <c r="E777" s="74">
        <v>0</v>
      </c>
      <c r="F777" s="71">
        <v>3</v>
      </c>
      <c r="G777" s="27" t="s">
        <v>3030</v>
      </c>
      <c r="H777" s="93" t="s">
        <v>3031</v>
      </c>
      <c r="I777" s="93" t="s">
        <v>3032</v>
      </c>
      <c r="J777" s="27" t="s">
        <v>23</v>
      </c>
      <c r="K777" s="27" t="s">
        <v>23</v>
      </c>
      <c r="L777"/>
      <c r="M777" s="27" t="s">
        <v>24</v>
      </c>
      <c r="N777" s="27" t="s">
        <v>3033</v>
      </c>
      <c r="O777" s="27"/>
      <c r="P777" s="26">
        <v>0</v>
      </c>
      <c r="Q777" s="99" t="s">
        <v>3034</v>
      </c>
    </row>
    <row r="778" spans="1:17" ht="15" customHeight="1">
      <c r="A778" s="71">
        <v>14</v>
      </c>
      <c r="B778" s="2" t="s">
        <v>2885</v>
      </c>
      <c r="C778" s="71">
        <v>1</v>
      </c>
      <c r="D778" s="2" t="s">
        <v>3022</v>
      </c>
      <c r="E778" s="74">
        <v>0</v>
      </c>
      <c r="F778" s="71">
        <v>4</v>
      </c>
      <c r="G778" s="27" t="s">
        <v>3035</v>
      </c>
      <c r="H778" s="93" t="s">
        <v>3036</v>
      </c>
      <c r="I778" s="93" t="s">
        <v>3037</v>
      </c>
      <c r="J778" s="27" t="s">
        <v>23</v>
      </c>
      <c r="K778" s="27" t="s">
        <v>23</v>
      </c>
      <c r="L778"/>
      <c r="M778" s="27" t="s">
        <v>24</v>
      </c>
      <c r="N778" s="27" t="s">
        <v>3033</v>
      </c>
      <c r="O778" s="27"/>
      <c r="P778" s="26">
        <v>0</v>
      </c>
      <c r="Q778" s="99" t="s">
        <v>3038</v>
      </c>
    </row>
    <row r="779" spans="1:17" ht="15" customHeight="1">
      <c r="A779" s="71">
        <v>14</v>
      </c>
      <c r="B779" s="2" t="s">
        <v>2885</v>
      </c>
      <c r="C779" s="71">
        <v>1</v>
      </c>
      <c r="D779" s="2" t="s">
        <v>3022</v>
      </c>
      <c r="E779" s="74">
        <v>0</v>
      </c>
      <c r="F779" s="71">
        <v>5</v>
      </c>
      <c r="G779" s="27" t="s">
        <v>3039</v>
      </c>
      <c r="H779" s="93" t="s">
        <v>3040</v>
      </c>
      <c r="I779" s="93" t="s">
        <v>3041</v>
      </c>
      <c r="J779" s="27" t="s">
        <v>23</v>
      </c>
      <c r="K779" s="27" t="s">
        <v>23</v>
      </c>
      <c r="L779"/>
      <c r="M779" s="27" t="s">
        <v>24</v>
      </c>
      <c r="N779" s="27" t="s">
        <v>3033</v>
      </c>
      <c r="O779" s="27"/>
      <c r="P779" s="26">
        <v>0</v>
      </c>
      <c r="Q779" s="99" t="s">
        <v>3042</v>
      </c>
    </row>
    <row r="780" spans="1:17" ht="15" customHeight="1">
      <c r="A780" s="71">
        <v>14</v>
      </c>
      <c r="B780" s="2" t="s">
        <v>2885</v>
      </c>
      <c r="C780" s="71">
        <v>1</v>
      </c>
      <c r="D780" s="2" t="s">
        <v>3022</v>
      </c>
      <c r="E780" s="74">
        <v>0</v>
      </c>
      <c r="F780" s="71">
        <v>6</v>
      </c>
      <c r="G780" s="27" t="s">
        <v>3043</v>
      </c>
      <c r="H780" s="93" t="s">
        <v>3044</v>
      </c>
      <c r="I780" s="93" t="s">
        <v>3045</v>
      </c>
      <c r="J780" s="27" t="s">
        <v>23</v>
      </c>
      <c r="K780" s="27" t="s">
        <v>23</v>
      </c>
      <c r="L780"/>
      <c r="M780" s="27" t="s">
        <v>24</v>
      </c>
      <c r="N780" s="27" t="s">
        <v>862</v>
      </c>
      <c r="O780" s="27"/>
      <c r="P780" s="26">
        <v>0</v>
      </c>
      <c r="Q780" s="99" t="s">
        <v>3046</v>
      </c>
    </row>
    <row r="781" spans="1:17" ht="15" customHeight="1">
      <c r="A781" s="71">
        <v>14</v>
      </c>
      <c r="B781" s="2" t="s">
        <v>2885</v>
      </c>
      <c r="C781" s="71">
        <v>1</v>
      </c>
      <c r="D781" s="2" t="s">
        <v>3022</v>
      </c>
      <c r="E781" s="74">
        <v>0</v>
      </c>
      <c r="F781" s="71">
        <v>7</v>
      </c>
      <c r="G781" s="27" t="s">
        <v>3047</v>
      </c>
      <c r="H781" s="93" t="s">
        <v>3048</v>
      </c>
      <c r="I781" s="93" t="s">
        <v>3049</v>
      </c>
      <c r="J781" s="27" t="s">
        <v>23</v>
      </c>
      <c r="K781" s="27" t="s">
        <v>23</v>
      </c>
      <c r="L781"/>
      <c r="M781" s="27" t="s">
        <v>24</v>
      </c>
      <c r="N781" s="27" t="s">
        <v>862</v>
      </c>
      <c r="O781" s="27"/>
      <c r="P781" s="26">
        <v>0</v>
      </c>
      <c r="Q781" s="99" t="s">
        <v>3050</v>
      </c>
    </row>
    <row r="782" spans="1:17" ht="15" customHeight="1">
      <c r="A782" s="71">
        <v>14</v>
      </c>
      <c r="B782" s="2" t="s">
        <v>2885</v>
      </c>
      <c r="C782" s="71">
        <v>1</v>
      </c>
      <c r="D782" s="2" t="s">
        <v>3022</v>
      </c>
      <c r="E782" s="74">
        <v>0</v>
      </c>
      <c r="F782" s="71">
        <v>8</v>
      </c>
      <c r="G782" s="27" t="s">
        <v>273</v>
      </c>
      <c r="H782" s="93" t="s">
        <v>3051</v>
      </c>
      <c r="I782" s="93" t="s">
        <v>3052</v>
      </c>
      <c r="J782" s="27" t="s">
        <v>23</v>
      </c>
      <c r="K782" s="27" t="s">
        <v>23</v>
      </c>
      <c r="L782"/>
      <c r="M782" s="27" t="s">
        <v>24</v>
      </c>
      <c r="N782" s="27" t="s">
        <v>139</v>
      </c>
      <c r="O782" s="27"/>
      <c r="P782" s="26">
        <v>0</v>
      </c>
      <c r="Q782" s="99" t="s">
        <v>3053</v>
      </c>
    </row>
    <row r="783" spans="1:17" ht="15" customHeight="1">
      <c r="A783" s="71">
        <v>14</v>
      </c>
      <c r="B783" s="2" t="s">
        <v>2885</v>
      </c>
      <c r="C783" s="71">
        <v>1</v>
      </c>
      <c r="D783" s="2" t="s">
        <v>3022</v>
      </c>
      <c r="E783" s="74">
        <v>0</v>
      </c>
      <c r="F783" s="71">
        <v>9</v>
      </c>
      <c r="G783" s="27" t="s">
        <v>3054</v>
      </c>
      <c r="H783" s="93" t="s">
        <v>3055</v>
      </c>
      <c r="I783" s="93" t="s">
        <v>3056</v>
      </c>
      <c r="J783" s="27" t="s">
        <v>23</v>
      </c>
      <c r="K783" s="27" t="s">
        <v>23</v>
      </c>
      <c r="L783"/>
      <c r="M783" s="27" t="s">
        <v>24</v>
      </c>
      <c r="N783" s="27" t="s">
        <v>23</v>
      </c>
      <c r="O783" s="27"/>
      <c r="P783" s="26">
        <v>0</v>
      </c>
      <c r="Q783" s="99" t="s">
        <v>3057</v>
      </c>
    </row>
    <row r="784" spans="1:17" ht="15" customHeight="1">
      <c r="A784" s="71">
        <v>14</v>
      </c>
      <c r="B784" s="2" t="s">
        <v>2885</v>
      </c>
      <c r="C784" s="71">
        <v>1</v>
      </c>
      <c r="D784" s="2" t="s">
        <v>3022</v>
      </c>
      <c r="E784" s="74">
        <v>0</v>
      </c>
      <c r="F784" s="71">
        <v>10</v>
      </c>
      <c r="G784" s="27" t="s">
        <v>3058</v>
      </c>
      <c r="H784" s="93" t="s">
        <v>3059</v>
      </c>
      <c r="I784" s="93" t="s">
        <v>3060</v>
      </c>
      <c r="J784" s="27" t="s">
        <v>23</v>
      </c>
      <c r="K784" s="27" t="s">
        <v>23</v>
      </c>
      <c r="L784"/>
      <c r="M784" s="27" t="s">
        <v>24</v>
      </c>
      <c r="N784" s="27" t="s">
        <v>116</v>
      </c>
      <c r="O784" s="56" t="s">
        <v>3060</v>
      </c>
      <c r="P784" s="26">
        <v>0</v>
      </c>
      <c r="Q784" s="99" t="s">
        <v>3061</v>
      </c>
    </row>
    <row r="785" spans="1:17" ht="15" customHeight="1">
      <c r="A785" s="71">
        <v>14</v>
      </c>
      <c r="B785" s="2" t="s">
        <v>2885</v>
      </c>
      <c r="C785" s="71">
        <v>1</v>
      </c>
      <c r="D785" s="2" t="s">
        <v>3022</v>
      </c>
      <c r="E785" s="74">
        <v>0</v>
      </c>
      <c r="F785" s="71">
        <v>11</v>
      </c>
      <c r="G785" s="27" t="s">
        <v>3062</v>
      </c>
      <c r="H785" s="93" t="s">
        <v>3063</v>
      </c>
      <c r="I785" s="93" t="s">
        <v>3064</v>
      </c>
      <c r="J785" s="27" t="s">
        <v>24</v>
      </c>
      <c r="K785" s="27" t="s">
        <v>25</v>
      </c>
      <c r="L785"/>
      <c r="M785" s="27" t="s">
        <v>24</v>
      </c>
      <c r="N785" s="27" t="s">
        <v>25</v>
      </c>
      <c r="O785" s="56"/>
      <c r="P785" s="26">
        <v>0</v>
      </c>
      <c r="Q785" s="99" t="s">
        <v>3065</v>
      </c>
    </row>
    <row r="786" spans="1:17" ht="15" customHeight="1">
      <c r="A786" s="71">
        <v>14</v>
      </c>
      <c r="B786" s="2" t="s">
        <v>2885</v>
      </c>
      <c r="C786" s="71">
        <v>1</v>
      </c>
      <c r="D786" s="2" t="s">
        <v>3022</v>
      </c>
      <c r="E786" s="74">
        <v>0</v>
      </c>
      <c r="F786" s="71">
        <v>12</v>
      </c>
      <c r="G786" s="27" t="s">
        <v>3066</v>
      </c>
      <c r="H786" s="93" t="s">
        <v>3067</v>
      </c>
      <c r="I786" s="93" t="s">
        <v>3068</v>
      </c>
      <c r="J786" s="27" t="s">
        <v>24</v>
      </c>
      <c r="K786" s="27" t="s">
        <v>25</v>
      </c>
      <c r="L786"/>
      <c r="M786" s="27" t="s">
        <v>24</v>
      </c>
      <c r="N786" s="27" t="s">
        <v>25</v>
      </c>
      <c r="O786" s="27"/>
      <c r="P786" s="26">
        <v>0</v>
      </c>
      <c r="Q786" s="99" t="s">
        <v>3069</v>
      </c>
    </row>
    <row r="787" spans="1:17" ht="15" customHeight="1">
      <c r="A787" s="71">
        <v>14</v>
      </c>
      <c r="B787" s="2" t="s">
        <v>2885</v>
      </c>
      <c r="C787" s="71">
        <v>1</v>
      </c>
      <c r="D787" s="2" t="s">
        <v>3022</v>
      </c>
      <c r="E787" s="74">
        <v>0</v>
      </c>
      <c r="F787" s="71">
        <v>13</v>
      </c>
      <c r="G787" s="27" t="s">
        <v>3070</v>
      </c>
      <c r="H787" s="93" t="s">
        <v>3071</v>
      </c>
      <c r="I787" s="93" t="s">
        <v>3072</v>
      </c>
      <c r="J787" s="27" t="s">
        <v>24</v>
      </c>
      <c r="K787" s="27" t="s">
        <v>25</v>
      </c>
      <c r="L787"/>
      <c r="M787" s="27" t="s">
        <v>24</v>
      </c>
      <c r="N787" s="27" t="s">
        <v>25</v>
      </c>
      <c r="O787" s="27"/>
      <c r="P787" s="26">
        <v>0</v>
      </c>
      <c r="Q787" s="99" t="s">
        <v>3073</v>
      </c>
    </row>
    <row r="788" spans="1:17" ht="15" customHeight="1">
      <c r="A788" s="71">
        <v>14</v>
      </c>
      <c r="B788" s="2" t="s">
        <v>2885</v>
      </c>
      <c r="C788" s="71">
        <v>1</v>
      </c>
      <c r="D788" s="2" t="s">
        <v>3022</v>
      </c>
      <c r="E788" s="74">
        <v>0</v>
      </c>
      <c r="F788" s="71">
        <v>14</v>
      </c>
      <c r="G788" s="27" t="s">
        <v>3074</v>
      </c>
      <c r="H788" s="93" t="s">
        <v>3075</v>
      </c>
      <c r="I788" s="93" t="s">
        <v>3076</v>
      </c>
      <c r="J788" s="27" t="s">
        <v>24</v>
      </c>
      <c r="K788" s="27" t="s">
        <v>25</v>
      </c>
      <c r="L788" s="56"/>
      <c r="M788" s="27" t="s">
        <v>24</v>
      </c>
      <c r="N788" s="27" t="s">
        <v>25</v>
      </c>
      <c r="O788" s="56"/>
      <c r="P788" s="26">
        <v>0</v>
      </c>
      <c r="Q788" s="99" t="s">
        <v>3077</v>
      </c>
    </row>
    <row r="789" spans="1:17" ht="15" customHeight="1">
      <c r="A789" s="71">
        <v>14</v>
      </c>
      <c r="B789" s="2" t="s">
        <v>2885</v>
      </c>
      <c r="C789" s="71">
        <v>1</v>
      </c>
      <c r="D789" s="2" t="s">
        <v>3022</v>
      </c>
      <c r="E789" s="74">
        <v>0</v>
      </c>
      <c r="F789" s="71">
        <v>15</v>
      </c>
      <c r="G789" s="27" t="s">
        <v>3078</v>
      </c>
      <c r="H789" s="93" t="s">
        <v>3079</v>
      </c>
      <c r="I789" s="93" t="s">
        <v>3080</v>
      </c>
      <c r="J789" s="27" t="s">
        <v>24</v>
      </c>
      <c r="K789" s="27" t="s">
        <v>25</v>
      </c>
      <c r="L789"/>
      <c r="M789" s="27" t="s">
        <v>24</v>
      </c>
      <c r="N789" s="27" t="s">
        <v>25</v>
      </c>
      <c r="O789" s="27"/>
      <c r="P789" s="26">
        <v>0</v>
      </c>
      <c r="Q789" s="99" t="s">
        <v>3081</v>
      </c>
    </row>
    <row r="790" spans="1:17" ht="15" customHeight="1">
      <c r="A790" s="71">
        <v>14</v>
      </c>
      <c r="B790" s="2" t="s">
        <v>2885</v>
      </c>
      <c r="C790" s="71">
        <v>1</v>
      </c>
      <c r="D790" s="2" t="s">
        <v>3022</v>
      </c>
      <c r="E790" s="74">
        <v>0</v>
      </c>
      <c r="F790" s="71">
        <v>16</v>
      </c>
      <c r="G790" s="27" t="s">
        <v>3082</v>
      </c>
      <c r="H790" s="93" t="s">
        <v>3083</v>
      </c>
      <c r="I790" s="93" t="s">
        <v>3084</v>
      </c>
      <c r="J790" s="27" t="s">
        <v>24</v>
      </c>
      <c r="K790" s="27" t="s">
        <v>121</v>
      </c>
      <c r="L790"/>
      <c r="M790" s="27" t="s">
        <v>24</v>
      </c>
      <c r="N790" s="27" t="s">
        <v>121</v>
      </c>
      <c r="O790" s="27"/>
      <c r="P790" s="26">
        <v>0</v>
      </c>
      <c r="Q790" s="99" t="s">
        <v>3085</v>
      </c>
    </row>
    <row r="791" spans="1:17" ht="15" customHeight="1">
      <c r="A791" s="71">
        <v>14</v>
      </c>
      <c r="B791" s="2" t="s">
        <v>2885</v>
      </c>
      <c r="C791" s="71">
        <v>1</v>
      </c>
      <c r="D791" s="2" t="s">
        <v>3022</v>
      </c>
      <c r="E791" s="74">
        <v>0</v>
      </c>
      <c r="F791" s="71">
        <v>17</v>
      </c>
      <c r="G791" s="27" t="s">
        <v>3086</v>
      </c>
      <c r="H791" s="93" t="s">
        <v>3087</v>
      </c>
      <c r="I791" s="93" t="s">
        <v>3088</v>
      </c>
      <c r="J791" s="27" t="s">
        <v>24</v>
      </c>
      <c r="K791" s="27" t="s">
        <v>25</v>
      </c>
      <c r="L791" s="56"/>
      <c r="M791" s="27" t="s">
        <v>24</v>
      </c>
      <c r="N791" s="27" t="s">
        <v>25</v>
      </c>
      <c r="O791" s="56"/>
      <c r="P791" s="26">
        <v>0</v>
      </c>
      <c r="Q791" s="99" t="s">
        <v>3089</v>
      </c>
    </row>
    <row r="792" spans="1:17" ht="15" customHeight="1">
      <c r="A792" s="71">
        <v>14</v>
      </c>
      <c r="B792" s="2" t="s">
        <v>2885</v>
      </c>
      <c r="C792" s="71">
        <v>1</v>
      </c>
      <c r="D792" s="2" t="s">
        <v>3022</v>
      </c>
      <c r="E792" s="74">
        <v>0</v>
      </c>
      <c r="F792" s="71">
        <v>18</v>
      </c>
      <c r="G792" s="27" t="s">
        <v>3090</v>
      </c>
      <c r="H792" s="93" t="s">
        <v>3091</v>
      </c>
      <c r="I792" s="93" t="s">
        <v>3092</v>
      </c>
      <c r="J792" s="27" t="s">
        <v>24</v>
      </c>
      <c r="K792" s="27" t="s">
        <v>25</v>
      </c>
      <c r="L792" s="56"/>
      <c r="M792" s="27" t="s">
        <v>24</v>
      </c>
      <c r="N792" s="27" t="s">
        <v>25</v>
      </c>
      <c r="O792" s="56"/>
      <c r="P792" s="26">
        <v>0</v>
      </c>
      <c r="Q792" s="99" t="s">
        <v>3093</v>
      </c>
    </row>
    <row r="793" spans="1:17" ht="15" customHeight="1">
      <c r="A793" s="71">
        <v>14</v>
      </c>
      <c r="B793" s="2" t="s">
        <v>2885</v>
      </c>
      <c r="C793" s="71">
        <v>1</v>
      </c>
      <c r="D793" s="2" t="s">
        <v>3022</v>
      </c>
      <c r="E793" s="74">
        <v>0</v>
      </c>
      <c r="F793" s="71">
        <v>19</v>
      </c>
      <c r="G793" s="27" t="s">
        <v>3094</v>
      </c>
      <c r="H793" s="93" t="s">
        <v>3095</v>
      </c>
      <c r="I793" s="93" t="s">
        <v>3096</v>
      </c>
      <c r="J793" s="27" t="s">
        <v>24</v>
      </c>
      <c r="K793" s="27" t="s">
        <v>25</v>
      </c>
      <c r="L793" s="56"/>
      <c r="M793" s="27" t="s">
        <v>24</v>
      </c>
      <c r="N793" s="27" t="s">
        <v>25</v>
      </c>
      <c r="O793" s="56"/>
      <c r="P793" s="26">
        <v>0</v>
      </c>
      <c r="Q793" s="99" t="s">
        <v>3097</v>
      </c>
    </row>
    <row r="794" spans="1:17" ht="15" customHeight="1">
      <c r="A794" s="71">
        <v>14</v>
      </c>
      <c r="B794" s="2" t="s">
        <v>2885</v>
      </c>
      <c r="C794" s="71">
        <v>1</v>
      </c>
      <c r="D794" s="2" t="s">
        <v>3022</v>
      </c>
      <c r="E794" s="74">
        <v>0</v>
      </c>
      <c r="F794" s="71">
        <v>20</v>
      </c>
      <c r="G794" s="27" t="s">
        <v>3098</v>
      </c>
      <c r="H794" s="93" t="s">
        <v>3099</v>
      </c>
      <c r="I794" s="93" t="s">
        <v>3100</v>
      </c>
      <c r="J794" s="27" t="s">
        <v>24</v>
      </c>
      <c r="K794" s="27" t="s">
        <v>25</v>
      </c>
      <c r="L794" s="56"/>
      <c r="M794" s="27" t="s">
        <v>24</v>
      </c>
      <c r="N794" s="27" t="s">
        <v>25</v>
      </c>
      <c r="O794" s="56"/>
      <c r="P794" s="26">
        <v>0</v>
      </c>
      <c r="Q794" s="99" t="s">
        <v>3101</v>
      </c>
    </row>
    <row r="795" spans="1:17" ht="15" customHeight="1">
      <c r="A795" s="71">
        <v>14</v>
      </c>
      <c r="B795" s="2" t="s">
        <v>2885</v>
      </c>
      <c r="C795" s="71">
        <v>1</v>
      </c>
      <c r="D795" s="2" t="s">
        <v>3022</v>
      </c>
      <c r="E795" s="74">
        <v>0</v>
      </c>
      <c r="F795" s="71">
        <v>21</v>
      </c>
      <c r="G795" s="27" t="s">
        <v>3102</v>
      </c>
      <c r="H795" s="93" t="s">
        <v>3103</v>
      </c>
      <c r="I795" s="93" t="s">
        <v>3104</v>
      </c>
      <c r="J795" s="27" t="s">
        <v>24</v>
      </c>
      <c r="K795" s="27" t="s">
        <v>25</v>
      </c>
      <c r="L795"/>
      <c r="M795" s="27" t="s">
        <v>24</v>
      </c>
      <c r="N795" s="27" t="s">
        <v>25</v>
      </c>
      <c r="O795" s="27"/>
      <c r="P795" s="26">
        <v>0</v>
      </c>
      <c r="Q795" s="99" t="s">
        <v>3105</v>
      </c>
    </row>
    <row r="796" spans="1:17" ht="15" customHeight="1">
      <c r="A796" s="71">
        <v>14</v>
      </c>
      <c r="B796" s="2" t="s">
        <v>2885</v>
      </c>
      <c r="C796" s="71">
        <v>1</v>
      </c>
      <c r="D796" s="2" t="s">
        <v>3022</v>
      </c>
      <c r="E796" s="74">
        <v>0</v>
      </c>
      <c r="F796" s="71">
        <v>22</v>
      </c>
      <c r="G796" s="27" t="s">
        <v>3106</v>
      </c>
      <c r="H796" s="93" t="s">
        <v>3107</v>
      </c>
      <c r="I796" s="93" t="s">
        <v>3108</v>
      </c>
      <c r="J796" s="27" t="s">
        <v>24</v>
      </c>
      <c r="K796" s="27" t="s">
        <v>116</v>
      </c>
      <c r="L796" s="56" t="s">
        <v>3108</v>
      </c>
      <c r="M796" s="27" t="s">
        <v>24</v>
      </c>
      <c r="N796" s="27" t="s">
        <v>116</v>
      </c>
      <c r="O796" s="56" t="s">
        <v>3108</v>
      </c>
      <c r="P796" s="26">
        <v>0</v>
      </c>
      <c r="Q796" s="99" t="s">
        <v>3109</v>
      </c>
    </row>
    <row r="797" spans="1:17" ht="15" customHeight="1">
      <c r="A797" s="71">
        <v>14</v>
      </c>
      <c r="B797" s="2" t="s">
        <v>2885</v>
      </c>
      <c r="C797" s="71">
        <v>1</v>
      </c>
      <c r="D797" s="2" t="s">
        <v>3022</v>
      </c>
      <c r="E797" s="74">
        <v>0</v>
      </c>
      <c r="F797" s="71">
        <v>23</v>
      </c>
      <c r="G797" s="27" t="s">
        <v>3110</v>
      </c>
      <c r="H797" s="93" t="s">
        <v>3111</v>
      </c>
      <c r="I797" s="93" t="s">
        <v>3112</v>
      </c>
      <c r="J797" s="27" t="s">
        <v>24</v>
      </c>
      <c r="K797" s="27" t="s">
        <v>116</v>
      </c>
      <c r="L797" s="56" t="s">
        <v>3112</v>
      </c>
      <c r="M797" s="27" t="s">
        <v>24</v>
      </c>
      <c r="N797" s="27" t="s">
        <v>116</v>
      </c>
      <c r="O797" s="56" t="s">
        <v>3112</v>
      </c>
      <c r="P797" s="26">
        <v>0</v>
      </c>
      <c r="Q797" s="99" t="s">
        <v>3113</v>
      </c>
    </row>
    <row r="798" spans="1:17" ht="15" customHeight="1">
      <c r="A798" s="71">
        <v>14</v>
      </c>
      <c r="B798" s="2" t="s">
        <v>2885</v>
      </c>
      <c r="C798" s="71">
        <v>1</v>
      </c>
      <c r="D798" s="2" t="s">
        <v>3022</v>
      </c>
      <c r="E798" s="74">
        <v>0</v>
      </c>
      <c r="F798" s="71">
        <v>24</v>
      </c>
      <c r="G798" s="27" t="s">
        <v>3114</v>
      </c>
      <c r="H798" s="93" t="s">
        <v>3115</v>
      </c>
      <c r="I798" s="93" t="s">
        <v>3116</v>
      </c>
      <c r="J798" s="27" t="s">
        <v>24</v>
      </c>
      <c r="K798" s="27" t="s">
        <v>116</v>
      </c>
      <c r="L798" s="56" t="s">
        <v>3116</v>
      </c>
      <c r="M798" s="27" t="s">
        <v>24</v>
      </c>
      <c r="N798" s="27" t="s">
        <v>116</v>
      </c>
      <c r="O798" s="56" t="s">
        <v>3116</v>
      </c>
      <c r="P798" s="26">
        <v>0</v>
      </c>
      <c r="Q798" s="99" t="s">
        <v>3117</v>
      </c>
    </row>
    <row r="799" spans="1:17" ht="15" customHeight="1">
      <c r="A799" s="71">
        <v>14</v>
      </c>
      <c r="B799" s="2" t="s">
        <v>2885</v>
      </c>
      <c r="C799" s="71">
        <v>1</v>
      </c>
      <c r="D799" s="2" t="s">
        <v>3022</v>
      </c>
      <c r="E799" s="74">
        <v>0</v>
      </c>
      <c r="F799" s="71">
        <v>25</v>
      </c>
      <c r="G799" s="27" t="s">
        <v>3118</v>
      </c>
      <c r="H799" s="93" t="s">
        <v>3119</v>
      </c>
      <c r="I799" s="93" t="s">
        <v>3120</v>
      </c>
      <c r="J799" s="27" t="s">
        <v>24</v>
      </c>
      <c r="K799" s="27" t="s">
        <v>116</v>
      </c>
      <c r="L799" s="56" t="s">
        <v>3120</v>
      </c>
      <c r="M799" s="27" t="s">
        <v>24</v>
      </c>
      <c r="N799" s="27" t="s">
        <v>116</v>
      </c>
      <c r="O799" s="56" t="s">
        <v>3120</v>
      </c>
      <c r="P799" s="26">
        <v>0</v>
      </c>
      <c r="Q799" s="99" t="s">
        <v>3121</v>
      </c>
    </row>
    <row r="800" spans="1:17" ht="15" customHeight="1">
      <c r="A800" s="71">
        <v>14</v>
      </c>
      <c r="B800" s="2" t="s">
        <v>2885</v>
      </c>
      <c r="C800" s="71">
        <v>1</v>
      </c>
      <c r="D800" s="2" t="s">
        <v>3022</v>
      </c>
      <c r="E800" s="74">
        <v>0</v>
      </c>
      <c r="F800" s="71">
        <v>26</v>
      </c>
      <c r="G800" s="27" t="s">
        <v>3122</v>
      </c>
      <c r="H800" s="93" t="s">
        <v>3123</v>
      </c>
      <c r="I800" s="93" t="s">
        <v>3124</v>
      </c>
      <c r="J800" s="27" t="s">
        <v>24</v>
      </c>
      <c r="K800" s="27" t="s">
        <v>116</v>
      </c>
      <c r="L800" s="56" t="s">
        <v>3124</v>
      </c>
      <c r="M800" s="27" t="s">
        <v>24</v>
      </c>
      <c r="N800" s="27" t="s">
        <v>116</v>
      </c>
      <c r="O800" s="56" t="s">
        <v>3124</v>
      </c>
      <c r="P800" s="26">
        <v>0</v>
      </c>
      <c r="Q800" s="99" t="s">
        <v>3125</v>
      </c>
    </row>
    <row r="801" spans="1:17" ht="15" customHeight="1">
      <c r="A801" s="71">
        <v>14</v>
      </c>
      <c r="B801" s="2" t="s">
        <v>2885</v>
      </c>
      <c r="C801" s="71">
        <v>1</v>
      </c>
      <c r="D801" s="2" t="s">
        <v>3022</v>
      </c>
      <c r="E801" s="74">
        <v>0</v>
      </c>
      <c r="F801" s="71">
        <v>27</v>
      </c>
      <c r="G801" s="27" t="s">
        <v>3126</v>
      </c>
      <c r="H801" s="93" t="s">
        <v>3127</v>
      </c>
      <c r="I801" s="93" t="s">
        <v>3128</v>
      </c>
      <c r="J801" s="27" t="s">
        <v>24</v>
      </c>
      <c r="K801" s="27" t="s">
        <v>116</v>
      </c>
      <c r="L801" s="56" t="s">
        <v>3128</v>
      </c>
      <c r="M801" s="27" t="s">
        <v>24</v>
      </c>
      <c r="N801" s="27" t="s">
        <v>116</v>
      </c>
      <c r="O801" s="56" t="s">
        <v>3128</v>
      </c>
      <c r="P801" s="26">
        <v>0</v>
      </c>
      <c r="Q801" s="99" t="s">
        <v>3129</v>
      </c>
    </row>
    <row r="802" spans="1:17" ht="15" customHeight="1">
      <c r="A802" s="71">
        <v>14</v>
      </c>
      <c r="B802" s="2" t="s">
        <v>2885</v>
      </c>
      <c r="C802" s="71">
        <v>1</v>
      </c>
      <c r="D802" s="2" t="s">
        <v>3022</v>
      </c>
      <c r="E802" s="74">
        <v>0</v>
      </c>
      <c r="F802" s="71">
        <v>28</v>
      </c>
      <c r="G802" s="27" t="s">
        <v>3130</v>
      </c>
      <c r="H802" s="93" t="s">
        <v>3131</v>
      </c>
      <c r="I802" s="93" t="s">
        <v>3132</v>
      </c>
      <c r="J802" s="27" t="s">
        <v>24</v>
      </c>
      <c r="K802" s="27" t="s">
        <v>23</v>
      </c>
      <c r="L802"/>
      <c r="M802" s="27" t="s">
        <v>24</v>
      </c>
      <c r="N802" s="27" t="s">
        <v>23</v>
      </c>
      <c r="O802" s="27"/>
      <c r="P802" s="26">
        <v>0</v>
      </c>
      <c r="Q802" s="99" t="s">
        <v>3133</v>
      </c>
    </row>
    <row r="803" spans="1:17" ht="15" customHeight="1">
      <c r="A803" s="71">
        <v>14</v>
      </c>
      <c r="B803" s="2" t="s">
        <v>2885</v>
      </c>
      <c r="C803" s="71">
        <v>1</v>
      </c>
      <c r="D803" s="2" t="s">
        <v>3022</v>
      </c>
      <c r="E803" s="74">
        <v>0</v>
      </c>
      <c r="F803" s="71">
        <v>29</v>
      </c>
      <c r="G803" s="27" t="s">
        <v>3134</v>
      </c>
      <c r="H803" s="93" t="s">
        <v>3135</v>
      </c>
      <c r="I803" s="93" t="s">
        <v>3136</v>
      </c>
      <c r="J803" s="27" t="s">
        <v>24</v>
      </c>
      <c r="K803" s="27" t="s">
        <v>23</v>
      </c>
      <c r="L803"/>
      <c r="M803" s="27" t="s">
        <v>24</v>
      </c>
      <c r="N803" s="27" t="s">
        <v>23</v>
      </c>
      <c r="O803" s="27"/>
      <c r="P803" s="26">
        <v>0</v>
      </c>
      <c r="Q803" s="99" t="s">
        <v>3137</v>
      </c>
    </row>
    <row r="804" spans="1:17" ht="15" customHeight="1">
      <c r="A804" s="71">
        <v>14</v>
      </c>
      <c r="B804" s="2" t="s">
        <v>2885</v>
      </c>
      <c r="C804" s="71">
        <v>1</v>
      </c>
      <c r="D804" s="2" t="s">
        <v>3022</v>
      </c>
      <c r="E804" s="74">
        <v>0</v>
      </c>
      <c r="F804" s="71">
        <v>30</v>
      </c>
      <c r="G804" s="27" t="s">
        <v>3138</v>
      </c>
      <c r="H804" s="93" t="s">
        <v>3139</v>
      </c>
      <c r="I804" s="93" t="s">
        <v>3140</v>
      </c>
      <c r="J804" s="27" t="s">
        <v>24</v>
      </c>
      <c r="K804" s="27" t="s">
        <v>23</v>
      </c>
      <c r="L804"/>
      <c r="M804" s="27" t="s">
        <v>24</v>
      </c>
      <c r="N804" s="27" t="s">
        <v>23</v>
      </c>
      <c r="O804" s="27"/>
      <c r="P804" s="26">
        <v>0</v>
      </c>
      <c r="Q804" s="99" t="s">
        <v>3141</v>
      </c>
    </row>
    <row r="805" spans="1:17" ht="15" customHeight="1">
      <c r="A805" s="71">
        <v>14</v>
      </c>
      <c r="B805" s="2" t="s">
        <v>2885</v>
      </c>
      <c r="C805" s="71">
        <v>1</v>
      </c>
      <c r="D805" s="2" t="s">
        <v>3022</v>
      </c>
      <c r="E805" s="74">
        <v>0</v>
      </c>
      <c r="F805" s="71">
        <v>31</v>
      </c>
      <c r="G805" s="27" t="s">
        <v>3142</v>
      </c>
      <c r="H805" s="93" t="s">
        <v>3143</v>
      </c>
      <c r="I805" s="93" t="s">
        <v>3144</v>
      </c>
      <c r="J805" s="27" t="s">
        <v>24</v>
      </c>
      <c r="K805" s="27" t="s">
        <v>116</v>
      </c>
      <c r="L805" s="56" t="s">
        <v>3144</v>
      </c>
      <c r="M805" s="27" t="s">
        <v>24</v>
      </c>
      <c r="N805" s="27" t="s">
        <v>116</v>
      </c>
      <c r="O805" s="56" t="s">
        <v>3144</v>
      </c>
      <c r="P805" s="26">
        <v>0</v>
      </c>
      <c r="Q805" s="99" t="s">
        <v>3145</v>
      </c>
    </row>
    <row r="806" spans="1:17" ht="15" customHeight="1">
      <c r="A806" s="71">
        <v>14</v>
      </c>
      <c r="B806" s="2" t="s">
        <v>2885</v>
      </c>
      <c r="C806" s="71">
        <v>1</v>
      </c>
      <c r="D806" s="2" t="s">
        <v>3022</v>
      </c>
      <c r="E806" s="74">
        <v>0</v>
      </c>
      <c r="F806" s="71">
        <v>32</v>
      </c>
      <c r="G806" s="27" t="s">
        <v>3146</v>
      </c>
      <c r="H806" s="93" t="s">
        <v>3147</v>
      </c>
      <c r="I806" s="93" t="s">
        <v>3148</v>
      </c>
      <c r="J806" s="27" t="s">
        <v>24</v>
      </c>
      <c r="K806" s="27" t="s">
        <v>116</v>
      </c>
      <c r="L806" s="56" t="s">
        <v>3148</v>
      </c>
      <c r="M806" s="27" t="s">
        <v>24</v>
      </c>
      <c r="N806" s="27" t="s">
        <v>116</v>
      </c>
      <c r="O806" s="56" t="s">
        <v>3148</v>
      </c>
      <c r="P806" s="26">
        <v>0</v>
      </c>
      <c r="Q806" s="99" t="s">
        <v>3149</v>
      </c>
    </row>
    <row r="807" spans="1:17" ht="15" customHeight="1">
      <c r="A807" s="71">
        <v>14</v>
      </c>
      <c r="B807" s="2" t="s">
        <v>2885</v>
      </c>
      <c r="C807" s="71">
        <v>1</v>
      </c>
      <c r="D807" s="2" t="s">
        <v>3022</v>
      </c>
      <c r="E807" s="74">
        <v>0</v>
      </c>
      <c r="F807" s="71">
        <v>33</v>
      </c>
      <c r="G807" s="27" t="s">
        <v>3150</v>
      </c>
      <c r="H807" s="93" t="s">
        <v>3151</v>
      </c>
      <c r="I807" s="93" t="s">
        <v>3152</v>
      </c>
      <c r="J807" s="27" t="s">
        <v>24</v>
      </c>
      <c r="K807" s="27" t="s">
        <v>116</v>
      </c>
      <c r="L807" s="56" t="s">
        <v>3152</v>
      </c>
      <c r="M807" s="27" t="s">
        <v>24</v>
      </c>
      <c r="N807" s="27" t="s">
        <v>116</v>
      </c>
      <c r="O807" s="56" t="s">
        <v>3152</v>
      </c>
      <c r="P807" s="26">
        <v>0</v>
      </c>
      <c r="Q807" s="99" t="s">
        <v>3153</v>
      </c>
    </row>
    <row r="808" spans="1:17" ht="15" customHeight="1">
      <c r="A808" s="71">
        <v>14</v>
      </c>
      <c r="B808" s="2" t="s">
        <v>2885</v>
      </c>
      <c r="C808" s="71">
        <v>1</v>
      </c>
      <c r="D808" s="2" t="s">
        <v>3022</v>
      </c>
      <c r="E808" s="74">
        <v>0</v>
      </c>
      <c r="F808" s="71">
        <v>34</v>
      </c>
      <c r="G808" s="27" t="s">
        <v>3154</v>
      </c>
      <c r="H808" s="93" t="s">
        <v>3155</v>
      </c>
      <c r="I808" s="93" t="s">
        <v>3156</v>
      </c>
      <c r="J808" s="27" t="s">
        <v>24</v>
      </c>
      <c r="K808" s="27" t="s">
        <v>23</v>
      </c>
      <c r="L808"/>
      <c r="M808" s="27" t="s">
        <v>24</v>
      </c>
      <c r="N808" s="27" t="s">
        <v>23</v>
      </c>
      <c r="O808" s="27"/>
      <c r="P808" s="26">
        <v>0</v>
      </c>
      <c r="Q808" s="99" t="s">
        <v>3157</v>
      </c>
    </row>
    <row r="809" spans="1:17" ht="15" customHeight="1">
      <c r="A809" s="71">
        <v>14</v>
      </c>
      <c r="B809" s="2" t="s">
        <v>2885</v>
      </c>
      <c r="C809" s="71">
        <v>1</v>
      </c>
      <c r="D809" s="2" t="s">
        <v>3022</v>
      </c>
      <c r="E809" s="74">
        <v>0</v>
      </c>
      <c r="F809" s="71">
        <v>35</v>
      </c>
      <c r="G809" s="27" t="s">
        <v>3158</v>
      </c>
      <c r="H809" s="93" t="s">
        <v>3159</v>
      </c>
      <c r="I809" s="93" t="s">
        <v>3160</v>
      </c>
      <c r="J809" s="27" t="s">
        <v>24</v>
      </c>
      <c r="K809" s="27" t="s">
        <v>23</v>
      </c>
      <c r="L809"/>
      <c r="M809" s="27" t="s">
        <v>24</v>
      </c>
      <c r="N809" s="27" t="s">
        <v>23</v>
      </c>
      <c r="O809" s="27"/>
      <c r="P809" s="26">
        <v>0</v>
      </c>
      <c r="Q809" s="99" t="s">
        <v>3161</v>
      </c>
    </row>
    <row r="810" spans="1:17" ht="15" customHeight="1">
      <c r="A810" s="71">
        <v>14</v>
      </c>
      <c r="B810" s="2" t="s">
        <v>2885</v>
      </c>
      <c r="C810" s="71">
        <v>1</v>
      </c>
      <c r="D810" s="2" t="s">
        <v>3022</v>
      </c>
      <c r="E810" s="74">
        <v>0</v>
      </c>
      <c r="F810" s="71">
        <v>36</v>
      </c>
      <c r="G810" s="27" t="s">
        <v>3162</v>
      </c>
      <c r="H810" s="93" t="s">
        <v>3163</v>
      </c>
      <c r="I810" s="93" t="s">
        <v>3164</v>
      </c>
      <c r="J810" s="27" t="s">
        <v>24</v>
      </c>
      <c r="K810" s="27" t="s">
        <v>23</v>
      </c>
      <c r="L810"/>
      <c r="M810" s="27" t="s">
        <v>24</v>
      </c>
      <c r="N810" s="27" t="s">
        <v>23</v>
      </c>
      <c r="O810" s="27"/>
      <c r="P810" s="26">
        <v>0</v>
      </c>
      <c r="Q810" s="99" t="s">
        <v>3165</v>
      </c>
    </row>
    <row r="811" spans="1:17" ht="15" customHeight="1">
      <c r="A811" s="71">
        <v>14</v>
      </c>
      <c r="B811" s="2" t="s">
        <v>2885</v>
      </c>
      <c r="C811" s="71">
        <v>1</v>
      </c>
      <c r="D811" s="2" t="s">
        <v>3022</v>
      </c>
      <c r="E811" s="74">
        <v>0</v>
      </c>
      <c r="F811" s="71">
        <v>37</v>
      </c>
      <c r="G811" s="27" t="s">
        <v>3166</v>
      </c>
      <c r="H811" s="93" t="s">
        <v>3167</v>
      </c>
      <c r="I811" s="93" t="s">
        <v>3168</v>
      </c>
      <c r="J811" s="27" t="s">
        <v>24</v>
      </c>
      <c r="K811" s="27" t="s">
        <v>23</v>
      </c>
      <c r="L811"/>
      <c r="M811" s="27" t="s">
        <v>24</v>
      </c>
      <c r="N811" s="27" t="s">
        <v>23</v>
      </c>
      <c r="O811" s="27"/>
      <c r="P811" s="26">
        <v>0</v>
      </c>
      <c r="Q811" s="99" t="s">
        <v>3169</v>
      </c>
    </row>
    <row r="812" spans="1:17" ht="15" customHeight="1">
      <c r="A812" s="71">
        <v>14</v>
      </c>
      <c r="B812" s="2" t="s">
        <v>2885</v>
      </c>
      <c r="C812" s="71">
        <v>1</v>
      </c>
      <c r="D812" s="2" t="s">
        <v>3022</v>
      </c>
      <c r="E812" s="74">
        <v>0</v>
      </c>
      <c r="F812" s="71">
        <v>38</v>
      </c>
      <c r="G812" s="27" t="s">
        <v>2423</v>
      </c>
      <c r="H812" s="93" t="s">
        <v>3170</v>
      </c>
      <c r="I812" s="93" t="s">
        <v>3171</v>
      </c>
      <c r="J812" s="27" t="s">
        <v>24</v>
      </c>
      <c r="K812" s="27" t="s">
        <v>23</v>
      </c>
      <c r="L812"/>
      <c r="M812" s="27" t="s">
        <v>24</v>
      </c>
      <c r="N812" s="27" t="s">
        <v>23</v>
      </c>
      <c r="O812" s="27"/>
      <c r="P812" s="26">
        <v>0</v>
      </c>
      <c r="Q812" s="99" t="s">
        <v>3172</v>
      </c>
    </row>
    <row r="813" spans="1:17" ht="15" customHeight="1">
      <c r="A813" s="71">
        <v>14</v>
      </c>
      <c r="B813" s="2" t="s">
        <v>2885</v>
      </c>
      <c r="C813" s="71">
        <v>1</v>
      </c>
      <c r="D813" s="2" t="s">
        <v>3022</v>
      </c>
      <c r="E813" s="74">
        <v>0</v>
      </c>
      <c r="F813" s="71">
        <v>39</v>
      </c>
      <c r="G813" s="27" t="s">
        <v>3173</v>
      </c>
      <c r="H813" s="93" t="s">
        <v>3174</v>
      </c>
      <c r="I813" s="93" t="s">
        <v>3175</v>
      </c>
      <c r="J813" s="27" t="s">
        <v>24</v>
      </c>
      <c r="K813" s="27" t="s">
        <v>23</v>
      </c>
      <c r="L813"/>
      <c r="M813" s="27" t="s">
        <v>24</v>
      </c>
      <c r="N813" s="27" t="s">
        <v>23</v>
      </c>
      <c r="O813" s="27"/>
      <c r="P813" s="26">
        <v>0</v>
      </c>
      <c r="Q813" s="99" t="s">
        <v>3176</v>
      </c>
    </row>
    <row r="814" spans="1:17" ht="15" customHeight="1">
      <c r="A814" s="71">
        <v>14</v>
      </c>
      <c r="B814" s="2" t="s">
        <v>2885</v>
      </c>
      <c r="C814" s="71">
        <v>1</v>
      </c>
      <c r="D814" s="2" t="s">
        <v>3022</v>
      </c>
      <c r="E814" s="74">
        <v>0</v>
      </c>
      <c r="F814" s="71">
        <v>40</v>
      </c>
      <c r="G814" s="27" t="s">
        <v>3177</v>
      </c>
      <c r="H814" s="93" t="s">
        <v>3178</v>
      </c>
      <c r="I814" s="93" t="s">
        <v>3179</v>
      </c>
      <c r="J814" s="27" t="s">
        <v>24</v>
      </c>
      <c r="K814" s="27" t="s">
        <v>116</v>
      </c>
      <c r="L814" s="56" t="s">
        <v>3179</v>
      </c>
      <c r="M814" s="27" t="s">
        <v>24</v>
      </c>
      <c r="N814" s="27" t="s">
        <v>116</v>
      </c>
      <c r="O814" s="56" t="s">
        <v>3179</v>
      </c>
      <c r="P814" s="26">
        <v>0</v>
      </c>
      <c r="Q814" s="99" t="s">
        <v>3180</v>
      </c>
    </row>
    <row r="815" spans="1:17" ht="15" customHeight="1">
      <c r="A815" s="71">
        <v>14</v>
      </c>
      <c r="B815" s="2" t="s">
        <v>2885</v>
      </c>
      <c r="C815" s="71">
        <v>1</v>
      </c>
      <c r="D815" s="2" t="s">
        <v>3022</v>
      </c>
      <c r="E815" s="74">
        <v>0</v>
      </c>
      <c r="F815" s="71">
        <v>41</v>
      </c>
      <c r="G815" s="27" t="s">
        <v>3181</v>
      </c>
      <c r="H815" s="93" t="s">
        <v>3182</v>
      </c>
      <c r="I815" s="93" t="s">
        <v>3183</v>
      </c>
      <c r="J815" s="27" t="s">
        <v>23</v>
      </c>
      <c r="K815" s="27" t="s">
        <v>23</v>
      </c>
      <c r="L815" s="8" t="s">
        <v>3183</v>
      </c>
      <c r="M815" s="27" t="s">
        <v>24</v>
      </c>
      <c r="N815" s="27" t="s">
        <v>116</v>
      </c>
      <c r="O815" s="8" t="s">
        <v>3183</v>
      </c>
      <c r="P815" s="26">
        <v>0</v>
      </c>
      <c r="Q815" s="99" t="s">
        <v>3184</v>
      </c>
    </row>
    <row r="816" spans="1:17" ht="15" customHeight="1">
      <c r="A816" s="71">
        <v>14</v>
      </c>
      <c r="B816" s="2" t="s">
        <v>2885</v>
      </c>
      <c r="C816" s="71">
        <v>1</v>
      </c>
      <c r="D816" s="2" t="s">
        <v>3022</v>
      </c>
      <c r="E816" s="74">
        <v>0</v>
      </c>
      <c r="F816" s="71">
        <v>42</v>
      </c>
      <c r="G816" s="27" t="s">
        <v>3185</v>
      </c>
      <c r="H816" s="93" t="s">
        <v>3186</v>
      </c>
      <c r="I816" s="93" t="s">
        <v>3187</v>
      </c>
      <c r="J816" s="27" t="s">
        <v>23</v>
      </c>
      <c r="K816" s="27" t="s">
        <v>23</v>
      </c>
      <c r="L816" s="8" t="s">
        <v>3183</v>
      </c>
      <c r="M816" s="27" t="s">
        <v>24</v>
      </c>
      <c r="N816" s="27" t="s">
        <v>116</v>
      </c>
      <c r="O816" s="8" t="s">
        <v>3183</v>
      </c>
      <c r="P816" s="26">
        <v>0</v>
      </c>
      <c r="Q816" s="99" t="s">
        <v>3188</v>
      </c>
    </row>
    <row r="817" spans="1:17" ht="15" customHeight="1">
      <c r="A817" s="71">
        <v>14</v>
      </c>
      <c r="B817" s="2" t="s">
        <v>2885</v>
      </c>
      <c r="C817" s="71">
        <v>1</v>
      </c>
      <c r="D817" s="2" t="s">
        <v>3022</v>
      </c>
      <c r="E817" s="74">
        <v>0</v>
      </c>
      <c r="F817" s="71">
        <v>43</v>
      </c>
      <c r="G817" s="27" t="s">
        <v>3189</v>
      </c>
      <c r="H817" s="93" t="s">
        <v>3190</v>
      </c>
      <c r="I817" s="93" t="s">
        <v>3191</v>
      </c>
      <c r="J817" s="27" t="s">
        <v>23</v>
      </c>
      <c r="K817" s="27" t="s">
        <v>23</v>
      </c>
      <c r="L817" s="8" t="s">
        <v>3183</v>
      </c>
      <c r="M817" s="27" t="s">
        <v>24</v>
      </c>
      <c r="N817" s="27" t="s">
        <v>116</v>
      </c>
      <c r="O817" s="8" t="s">
        <v>3183</v>
      </c>
      <c r="P817" s="26">
        <v>0</v>
      </c>
      <c r="Q817" s="99" t="s">
        <v>3192</v>
      </c>
    </row>
    <row r="818" spans="1:17" ht="15" customHeight="1">
      <c r="A818" s="71">
        <v>14</v>
      </c>
      <c r="B818" s="2" t="s">
        <v>2885</v>
      </c>
      <c r="C818" s="71">
        <v>1</v>
      </c>
      <c r="D818" s="2" t="s">
        <v>3022</v>
      </c>
      <c r="E818" s="74">
        <v>0</v>
      </c>
      <c r="F818" s="71">
        <v>44</v>
      </c>
      <c r="G818" s="27" t="s">
        <v>3193</v>
      </c>
      <c r="H818" s="93" t="s">
        <v>3194</v>
      </c>
      <c r="I818" s="93" t="s">
        <v>3195</v>
      </c>
      <c r="J818" s="27" t="s">
        <v>24</v>
      </c>
      <c r="K818" s="27" t="s">
        <v>25</v>
      </c>
      <c r="L818"/>
      <c r="M818" s="27" t="s">
        <v>24</v>
      </c>
      <c r="N818" s="27" t="s">
        <v>25</v>
      </c>
      <c r="O818" s="27"/>
      <c r="P818" s="26">
        <v>0</v>
      </c>
      <c r="Q818" s="99" t="s">
        <v>3196</v>
      </c>
    </row>
    <row r="819" spans="1:17" ht="15" customHeight="1">
      <c r="A819" s="71">
        <v>14</v>
      </c>
      <c r="B819" s="2" t="s">
        <v>2885</v>
      </c>
      <c r="C819" s="71">
        <v>1</v>
      </c>
      <c r="D819" s="2" t="s">
        <v>3022</v>
      </c>
      <c r="E819" s="74">
        <v>0</v>
      </c>
      <c r="F819" s="71">
        <v>45</v>
      </c>
      <c r="G819" s="27" t="s">
        <v>3197</v>
      </c>
      <c r="H819" s="93" t="s">
        <v>3198</v>
      </c>
      <c r="I819" s="93" t="s">
        <v>3199</v>
      </c>
      <c r="J819" s="27" t="s">
        <v>24</v>
      </c>
      <c r="K819" s="27" t="s">
        <v>25</v>
      </c>
      <c r="L819"/>
      <c r="M819" s="27" t="s">
        <v>24</v>
      </c>
      <c r="N819" s="27" t="s">
        <v>25</v>
      </c>
      <c r="O819" s="27"/>
      <c r="P819" s="26">
        <v>0</v>
      </c>
      <c r="Q819" s="99" t="s">
        <v>3200</v>
      </c>
    </row>
    <row r="820" spans="1:17" ht="15" customHeight="1">
      <c r="A820" s="71">
        <v>14</v>
      </c>
      <c r="B820" s="2" t="s">
        <v>2885</v>
      </c>
      <c r="C820" s="71">
        <v>1</v>
      </c>
      <c r="D820" s="2" t="s">
        <v>3022</v>
      </c>
      <c r="E820" s="74">
        <v>0</v>
      </c>
      <c r="F820" s="71">
        <v>46</v>
      </c>
      <c r="G820" s="27" t="s">
        <v>3201</v>
      </c>
      <c r="H820" s="93" t="s">
        <v>3202</v>
      </c>
      <c r="I820" s="93" t="s">
        <v>3203</v>
      </c>
      <c r="J820" s="27" t="s">
        <v>24</v>
      </c>
      <c r="K820" s="27" t="s">
        <v>25</v>
      </c>
      <c r="L820"/>
      <c r="M820" s="27" t="s">
        <v>24</v>
      </c>
      <c r="N820" s="27" t="s">
        <v>25</v>
      </c>
      <c r="O820" s="27"/>
      <c r="P820" s="26">
        <v>0</v>
      </c>
      <c r="Q820" s="99" t="s">
        <v>3204</v>
      </c>
    </row>
    <row r="821" spans="1:17" ht="15" customHeight="1">
      <c r="A821" s="71">
        <v>14</v>
      </c>
      <c r="B821" s="2" t="s">
        <v>2885</v>
      </c>
      <c r="C821" s="71">
        <v>1</v>
      </c>
      <c r="D821" s="2" t="s">
        <v>3022</v>
      </c>
      <c r="E821" s="74">
        <v>0</v>
      </c>
      <c r="F821" s="71">
        <v>47</v>
      </c>
      <c r="G821" s="27" t="s">
        <v>3205</v>
      </c>
      <c r="H821" s="93" t="s">
        <v>3206</v>
      </c>
      <c r="I821" s="93" t="s">
        <v>3207</v>
      </c>
      <c r="J821" s="27" t="s">
        <v>24</v>
      </c>
      <c r="K821" s="27" t="s">
        <v>25</v>
      </c>
      <c r="L821"/>
      <c r="M821" s="27" t="s">
        <v>24</v>
      </c>
      <c r="N821" s="27" t="s">
        <v>25</v>
      </c>
      <c r="O821" s="27"/>
      <c r="P821" s="26">
        <v>0</v>
      </c>
      <c r="Q821" s="99" t="s">
        <v>3208</v>
      </c>
    </row>
    <row r="822" spans="1:17" ht="15" customHeight="1">
      <c r="A822" s="71">
        <v>14</v>
      </c>
      <c r="B822" s="2" t="s">
        <v>2885</v>
      </c>
      <c r="C822" s="71">
        <v>1</v>
      </c>
      <c r="D822" s="2" t="s">
        <v>3022</v>
      </c>
      <c r="E822" s="74">
        <v>0</v>
      </c>
      <c r="F822" s="71">
        <v>48</v>
      </c>
      <c r="G822" s="27" t="s">
        <v>3209</v>
      </c>
      <c r="H822" s="93" t="s">
        <v>3210</v>
      </c>
      <c r="I822" s="93" t="s">
        <v>3211</v>
      </c>
      <c r="J822" s="27" t="s">
        <v>24</v>
      </c>
      <c r="K822" s="27" t="s">
        <v>25</v>
      </c>
      <c r="L822"/>
      <c r="M822" s="27" t="s">
        <v>24</v>
      </c>
      <c r="N822" s="27" t="s">
        <v>25</v>
      </c>
      <c r="O822" s="27"/>
      <c r="P822" s="26">
        <v>0</v>
      </c>
      <c r="Q822" s="99" t="s">
        <v>3212</v>
      </c>
    </row>
    <row r="823" spans="1:17" ht="15" customHeight="1">
      <c r="A823" s="21">
        <v>14</v>
      </c>
      <c r="B823" s="2" t="s">
        <v>2885</v>
      </c>
      <c r="C823" s="21">
        <v>2</v>
      </c>
      <c r="D823" s="2" t="s">
        <v>3213</v>
      </c>
      <c r="E823" s="14">
        <v>0</v>
      </c>
      <c r="F823" s="21">
        <v>0</v>
      </c>
      <c r="G823" s="2" t="s">
        <v>20</v>
      </c>
      <c r="H823" s="23" t="s">
        <v>3214</v>
      </c>
      <c r="I823" s="34" t="s">
        <v>3215</v>
      </c>
      <c r="J823" s="2" t="s">
        <v>23</v>
      </c>
      <c r="K823" s="2" t="s">
        <v>23</v>
      </c>
      <c r="L823"/>
      <c r="M823" s="2" t="s">
        <v>24</v>
      </c>
      <c r="N823" s="2" t="s">
        <v>25</v>
      </c>
      <c r="O823" s="27" t="s">
        <v>26</v>
      </c>
      <c r="P823" s="26">
        <v>1</v>
      </c>
      <c r="Q823" s="1" t="s">
        <v>3216</v>
      </c>
    </row>
    <row r="824" spans="1:17" ht="15" customHeight="1">
      <c r="A824" s="71">
        <v>14</v>
      </c>
      <c r="B824" s="2" t="s">
        <v>2885</v>
      </c>
      <c r="C824" s="71">
        <v>2</v>
      </c>
      <c r="D824" s="2" t="s">
        <v>3213</v>
      </c>
      <c r="E824" s="74">
        <v>0</v>
      </c>
      <c r="F824" s="71">
        <v>1</v>
      </c>
      <c r="G824" s="2" t="s">
        <v>412</v>
      </c>
      <c r="H824" s="93" t="s">
        <v>3217</v>
      </c>
      <c r="I824" s="93" t="s">
        <v>3218</v>
      </c>
      <c r="J824" s="2" t="s">
        <v>23</v>
      </c>
      <c r="K824" s="2" t="s">
        <v>23</v>
      </c>
      <c r="L824"/>
      <c r="M824" s="27" t="s">
        <v>24</v>
      </c>
      <c r="N824" s="2" t="s">
        <v>23</v>
      </c>
      <c r="O824"/>
      <c r="P824" s="26">
        <v>0</v>
      </c>
      <c r="Q824" s="99" t="s">
        <v>852</v>
      </c>
    </row>
    <row r="825" spans="1:17" ht="15" customHeight="1">
      <c r="A825" s="71">
        <v>14</v>
      </c>
      <c r="B825" s="2" t="s">
        <v>2885</v>
      </c>
      <c r="C825" s="71">
        <v>2</v>
      </c>
      <c r="D825" s="2" t="s">
        <v>3213</v>
      </c>
      <c r="E825" s="74">
        <v>0</v>
      </c>
      <c r="F825" s="71">
        <v>2</v>
      </c>
      <c r="G825" s="2" t="s">
        <v>1810</v>
      </c>
      <c r="H825" s="93" t="s">
        <v>3219</v>
      </c>
      <c r="I825" s="93" t="s">
        <v>3220</v>
      </c>
      <c r="J825" s="2" t="s">
        <v>163</v>
      </c>
      <c r="K825" s="2" t="s">
        <v>23</v>
      </c>
      <c r="L825"/>
      <c r="M825" s="2" t="s">
        <v>23</v>
      </c>
      <c r="N825" s="2" t="s">
        <v>23</v>
      </c>
      <c r="O825"/>
      <c r="P825" s="26">
        <v>0</v>
      </c>
      <c r="Q825" s="99" t="s">
        <v>2910</v>
      </c>
    </row>
    <row r="826" spans="1:17" ht="15" customHeight="1">
      <c r="A826" s="71">
        <v>14</v>
      </c>
      <c r="B826" s="2" t="s">
        <v>2885</v>
      </c>
      <c r="C826" s="71">
        <v>2</v>
      </c>
      <c r="D826" s="2" t="s">
        <v>3213</v>
      </c>
      <c r="E826" s="74">
        <v>0</v>
      </c>
      <c r="F826" s="71">
        <v>3</v>
      </c>
      <c r="G826" s="2" t="s">
        <v>3221</v>
      </c>
      <c r="H826" s="73" t="s">
        <v>3222</v>
      </c>
      <c r="I826" s="100" t="s">
        <v>3223</v>
      </c>
      <c r="J826" s="2" t="s">
        <v>23</v>
      </c>
      <c r="K826" s="2" t="s">
        <v>23</v>
      </c>
      <c r="L826"/>
      <c r="M826" s="2" t="s">
        <v>24</v>
      </c>
      <c r="N826" s="2" t="s">
        <v>25</v>
      </c>
      <c r="O826" s="27" t="s">
        <v>3224</v>
      </c>
      <c r="P826" s="26">
        <v>0</v>
      </c>
      <c r="Q826" s="99" t="s">
        <v>3225</v>
      </c>
    </row>
    <row r="827" spans="1:17" ht="15" customHeight="1">
      <c r="A827" s="71">
        <v>14</v>
      </c>
      <c r="B827" s="2" t="s">
        <v>2885</v>
      </c>
      <c r="C827" s="71">
        <v>2</v>
      </c>
      <c r="D827" s="2" t="s">
        <v>3213</v>
      </c>
      <c r="E827" s="74">
        <v>0</v>
      </c>
      <c r="F827" s="71">
        <v>4</v>
      </c>
      <c r="G827" s="2" t="s">
        <v>3226</v>
      </c>
      <c r="H827" s="73" t="s">
        <v>3227</v>
      </c>
      <c r="I827" s="100" t="s">
        <v>3228</v>
      </c>
      <c r="J827" s="2" t="s">
        <v>24</v>
      </c>
      <c r="K827" s="2" t="s">
        <v>25</v>
      </c>
      <c r="L827"/>
      <c r="M827" s="2" t="s">
        <v>24</v>
      </c>
      <c r="N827" s="2" t="s">
        <v>25</v>
      </c>
      <c r="O827" s="27"/>
      <c r="P827" s="26">
        <v>0</v>
      </c>
      <c r="Q827" s="99" t="s">
        <v>3229</v>
      </c>
    </row>
    <row r="828" spans="1:17" ht="15" customHeight="1">
      <c r="A828" s="21">
        <v>14</v>
      </c>
      <c r="B828" s="2" t="s">
        <v>2885</v>
      </c>
      <c r="C828" s="21">
        <v>3</v>
      </c>
      <c r="D828" s="2" t="s">
        <v>3230</v>
      </c>
      <c r="E828" s="14">
        <v>0</v>
      </c>
      <c r="F828" s="21">
        <v>0</v>
      </c>
      <c r="G828" s="2" t="s">
        <v>20</v>
      </c>
      <c r="H828" s="23" t="s">
        <v>3231</v>
      </c>
      <c r="I828" s="34" t="s">
        <v>3232</v>
      </c>
      <c r="J828" s="2" t="s">
        <v>23</v>
      </c>
      <c r="K828" s="2" t="s">
        <v>23</v>
      </c>
      <c r="L828"/>
      <c r="M828" s="2" t="s">
        <v>24</v>
      </c>
      <c r="N828" s="2" t="s">
        <v>25</v>
      </c>
      <c r="O828" s="27" t="s">
        <v>26</v>
      </c>
      <c r="P828" s="26">
        <v>1</v>
      </c>
      <c r="Q828" s="1" t="s">
        <v>3233</v>
      </c>
    </row>
    <row r="829" spans="1:17" ht="15" customHeight="1">
      <c r="A829" s="71">
        <v>14</v>
      </c>
      <c r="B829" s="2" t="s">
        <v>2885</v>
      </c>
      <c r="C829" s="71">
        <v>3</v>
      </c>
      <c r="D829" s="2" t="s">
        <v>3230</v>
      </c>
      <c r="E829" s="74">
        <v>0</v>
      </c>
      <c r="F829" s="71">
        <v>1</v>
      </c>
      <c r="G829" s="2" t="s">
        <v>412</v>
      </c>
      <c r="H829" s="93" t="s">
        <v>3234</v>
      </c>
      <c r="I829" s="93" t="s">
        <v>3235</v>
      </c>
      <c r="J829" s="2" t="s">
        <v>23</v>
      </c>
      <c r="K829" s="2" t="s">
        <v>23</v>
      </c>
      <c r="L829"/>
      <c r="M829" s="27" t="s">
        <v>24</v>
      </c>
      <c r="N829" s="2" t="s">
        <v>23</v>
      </c>
      <c r="O829"/>
      <c r="P829" s="26">
        <v>0</v>
      </c>
      <c r="Q829" s="99" t="s">
        <v>852</v>
      </c>
    </row>
    <row r="830" spans="1:17" ht="15" customHeight="1">
      <c r="A830" s="71">
        <v>14</v>
      </c>
      <c r="B830" s="2" t="s">
        <v>2885</v>
      </c>
      <c r="C830" s="71">
        <v>3</v>
      </c>
      <c r="D830" s="2" t="s">
        <v>3230</v>
      </c>
      <c r="E830" s="74">
        <v>0</v>
      </c>
      <c r="F830" s="71">
        <v>2</v>
      </c>
      <c r="G830" s="2" t="s">
        <v>1810</v>
      </c>
      <c r="H830" s="93" t="s">
        <v>3236</v>
      </c>
      <c r="I830" s="93" t="s">
        <v>3237</v>
      </c>
      <c r="J830" s="2" t="s">
        <v>163</v>
      </c>
      <c r="K830" s="2" t="s">
        <v>23</v>
      </c>
      <c r="L830"/>
      <c r="M830" s="2" t="s">
        <v>23</v>
      </c>
      <c r="N830" s="2" t="s">
        <v>23</v>
      </c>
      <c r="O830"/>
      <c r="P830" s="26">
        <v>0</v>
      </c>
      <c r="Q830" s="99" t="s">
        <v>2910</v>
      </c>
    </row>
    <row r="831" spans="1:17" ht="15" customHeight="1">
      <c r="A831" s="71">
        <v>14</v>
      </c>
      <c r="B831" s="2" t="s">
        <v>2885</v>
      </c>
      <c r="C831" s="71">
        <v>3</v>
      </c>
      <c r="D831" s="2" t="s">
        <v>3230</v>
      </c>
      <c r="E831" s="74">
        <v>0</v>
      </c>
      <c r="F831" s="71">
        <v>3</v>
      </c>
      <c r="G831" s="2" t="s">
        <v>273</v>
      </c>
      <c r="H831" s="73" t="s">
        <v>3238</v>
      </c>
      <c r="I831" s="100" t="s">
        <v>3239</v>
      </c>
      <c r="J831" s="2" t="s">
        <v>23</v>
      </c>
      <c r="K831" s="2" t="s">
        <v>23</v>
      </c>
      <c r="L831"/>
      <c r="M831" s="2" t="s">
        <v>24</v>
      </c>
      <c r="N831" s="2" t="s">
        <v>139</v>
      </c>
      <c r="O831" s="27"/>
      <c r="P831" s="26">
        <v>0</v>
      </c>
      <c r="Q831" s="99" t="s">
        <v>3053</v>
      </c>
    </row>
    <row r="832" spans="1:17" ht="15" customHeight="1">
      <c r="A832" s="71">
        <v>14</v>
      </c>
      <c r="B832" s="2" t="s">
        <v>2885</v>
      </c>
      <c r="C832" s="71">
        <v>3</v>
      </c>
      <c r="D832" s="2" t="s">
        <v>3230</v>
      </c>
      <c r="E832" s="74">
        <v>0</v>
      </c>
      <c r="F832" s="71">
        <v>4</v>
      </c>
      <c r="G832" s="2" t="s">
        <v>3240</v>
      </c>
      <c r="H832" s="73" t="s">
        <v>3241</v>
      </c>
      <c r="I832" s="100" t="s">
        <v>3242</v>
      </c>
      <c r="J832" s="2" t="s">
        <v>23</v>
      </c>
      <c r="K832" s="2" t="s">
        <v>23</v>
      </c>
      <c r="L832"/>
      <c r="M832" s="2" t="s">
        <v>24</v>
      </c>
      <c r="N832" s="2" t="s">
        <v>206</v>
      </c>
      <c r="O832" s="27"/>
      <c r="P832" s="26">
        <v>0</v>
      </c>
      <c r="Q832" s="99" t="s">
        <v>3243</v>
      </c>
    </row>
    <row r="833" spans="1:18" ht="15" customHeight="1">
      <c r="A833" s="71">
        <v>14</v>
      </c>
      <c r="B833" s="2" t="s">
        <v>2885</v>
      </c>
      <c r="C833" s="71">
        <v>3</v>
      </c>
      <c r="D833" s="2" t="s">
        <v>3230</v>
      </c>
      <c r="E833" s="74">
        <v>0</v>
      </c>
      <c r="F833" s="71">
        <v>5</v>
      </c>
      <c r="G833" s="2" t="s">
        <v>3244</v>
      </c>
      <c r="H833" s="73" t="s">
        <v>3245</v>
      </c>
      <c r="I833" s="100" t="s">
        <v>3246</v>
      </c>
      <c r="J833" s="2" t="s">
        <v>23</v>
      </c>
      <c r="K833" s="2" t="s">
        <v>23</v>
      </c>
      <c r="L833"/>
      <c r="M833" s="2" t="s">
        <v>24</v>
      </c>
      <c r="N833" s="2" t="s">
        <v>1900</v>
      </c>
      <c r="O833" s="27"/>
      <c r="P833" s="26">
        <v>0</v>
      </c>
      <c r="Q833" s="99" t="s">
        <v>3247</v>
      </c>
    </row>
    <row r="834" spans="1:18" ht="15" customHeight="1">
      <c r="A834" s="71">
        <v>14</v>
      </c>
      <c r="B834" s="2" t="s">
        <v>2885</v>
      </c>
      <c r="C834" s="71">
        <v>3</v>
      </c>
      <c r="D834" s="2" t="s">
        <v>3230</v>
      </c>
      <c r="E834" s="74">
        <v>0</v>
      </c>
      <c r="F834" s="71">
        <v>6</v>
      </c>
      <c r="G834" s="2" t="s">
        <v>3078</v>
      </c>
      <c r="H834" s="73" t="s">
        <v>3248</v>
      </c>
      <c r="I834" s="100" t="s">
        <v>3249</v>
      </c>
      <c r="J834" s="2" t="s">
        <v>24</v>
      </c>
      <c r="K834" s="2" t="s">
        <v>25</v>
      </c>
      <c r="L834"/>
      <c r="M834" s="2" t="s">
        <v>24</v>
      </c>
      <c r="N834" s="2" t="s">
        <v>25</v>
      </c>
      <c r="O834" s="27"/>
      <c r="P834" s="26">
        <v>0</v>
      </c>
      <c r="Q834" s="99" t="s">
        <v>3081</v>
      </c>
    </row>
    <row r="835" spans="1:18" ht="15" customHeight="1">
      <c r="A835" s="71">
        <v>14</v>
      </c>
      <c r="B835" s="2" t="s">
        <v>2885</v>
      </c>
      <c r="C835" s="71">
        <v>3</v>
      </c>
      <c r="D835" s="2" t="s">
        <v>3230</v>
      </c>
      <c r="E835" s="74">
        <v>0</v>
      </c>
      <c r="F835" s="71">
        <v>7</v>
      </c>
      <c r="G835" s="2" t="s">
        <v>3250</v>
      </c>
      <c r="H835" s="73" t="s">
        <v>3251</v>
      </c>
      <c r="I835" s="100" t="s">
        <v>3252</v>
      </c>
      <c r="J835" s="2" t="s">
        <v>24</v>
      </c>
      <c r="K835" s="2" t="s">
        <v>25</v>
      </c>
      <c r="L835"/>
      <c r="M835" s="2" t="s">
        <v>24</v>
      </c>
      <c r="N835" s="2" t="s">
        <v>25</v>
      </c>
      <c r="O835" s="27"/>
      <c r="P835" s="26">
        <v>0</v>
      </c>
      <c r="Q835" s="103" t="s">
        <v>3253</v>
      </c>
    </row>
    <row r="836" spans="1:18" ht="15" customHeight="1">
      <c r="A836" s="71">
        <v>14</v>
      </c>
      <c r="B836" s="2" t="s">
        <v>2885</v>
      </c>
      <c r="C836" s="71">
        <v>3</v>
      </c>
      <c r="D836" s="2" t="s">
        <v>3230</v>
      </c>
      <c r="E836" s="74">
        <v>0</v>
      </c>
      <c r="F836" s="71">
        <v>8</v>
      </c>
      <c r="G836" s="2" t="s">
        <v>3254</v>
      </c>
      <c r="H836" s="73" t="s">
        <v>3255</v>
      </c>
      <c r="I836" s="100" t="s">
        <v>3256</v>
      </c>
      <c r="J836" s="2" t="s">
        <v>24</v>
      </c>
      <c r="K836" s="2" t="s">
        <v>25</v>
      </c>
      <c r="L836"/>
      <c r="M836" s="2" t="s">
        <v>24</v>
      </c>
      <c r="N836" s="2" t="s">
        <v>25</v>
      </c>
      <c r="O836" s="27"/>
      <c r="P836" s="26">
        <v>0</v>
      </c>
      <c r="Q836" s="103" t="s">
        <v>3257</v>
      </c>
    </row>
    <row r="837" spans="1:18" ht="15" customHeight="1">
      <c r="A837" s="71">
        <v>14</v>
      </c>
      <c r="B837" s="2" t="s">
        <v>2885</v>
      </c>
      <c r="C837" s="71">
        <v>3</v>
      </c>
      <c r="D837" s="2" t="s">
        <v>3230</v>
      </c>
      <c r="E837" s="74">
        <v>0</v>
      </c>
      <c r="F837" s="71">
        <v>9</v>
      </c>
      <c r="G837" s="2" t="s">
        <v>3258</v>
      </c>
      <c r="H837" s="73" t="s">
        <v>3259</v>
      </c>
      <c r="I837" s="100" t="s">
        <v>3260</v>
      </c>
      <c r="J837" s="2" t="s">
        <v>24</v>
      </c>
      <c r="K837" s="2" t="s">
        <v>23</v>
      </c>
      <c r="L837"/>
      <c r="M837" s="2" t="s">
        <v>24</v>
      </c>
      <c r="N837" s="2" t="s">
        <v>23</v>
      </c>
      <c r="O837" s="27" t="s">
        <v>3261</v>
      </c>
      <c r="P837" s="26">
        <v>0</v>
      </c>
      <c r="Q837" s="103" t="s">
        <v>3262</v>
      </c>
    </row>
    <row r="838" spans="1:18" ht="15" customHeight="1">
      <c r="A838" s="71">
        <v>14</v>
      </c>
      <c r="B838" s="2" t="s">
        <v>2885</v>
      </c>
      <c r="C838" s="71">
        <v>3</v>
      </c>
      <c r="D838" s="2" t="s">
        <v>3230</v>
      </c>
      <c r="E838" s="74">
        <v>0</v>
      </c>
      <c r="F838" s="71">
        <v>10</v>
      </c>
      <c r="G838" s="2" t="s">
        <v>3263</v>
      </c>
      <c r="H838" s="73" t="s">
        <v>3264</v>
      </c>
      <c r="I838" s="100" t="s">
        <v>3265</v>
      </c>
      <c r="J838" s="2" t="s">
        <v>24</v>
      </c>
      <c r="K838" s="2" t="s">
        <v>23</v>
      </c>
      <c r="L838"/>
      <c r="M838" s="2" t="s">
        <v>24</v>
      </c>
      <c r="N838" s="2" t="s">
        <v>23</v>
      </c>
      <c r="O838" s="27" t="s">
        <v>3261</v>
      </c>
      <c r="P838" s="26">
        <v>0</v>
      </c>
      <c r="Q838" s="103" t="s">
        <v>3266</v>
      </c>
    </row>
    <row r="839" spans="1:18" ht="15" customHeight="1">
      <c r="A839" s="71">
        <v>14</v>
      </c>
      <c r="B839" s="2" t="s">
        <v>2885</v>
      </c>
      <c r="C839" s="71">
        <v>3</v>
      </c>
      <c r="D839" s="2" t="s">
        <v>3230</v>
      </c>
      <c r="E839" s="74">
        <v>0</v>
      </c>
      <c r="F839" s="71">
        <v>11</v>
      </c>
      <c r="G839" s="2" t="s">
        <v>3267</v>
      </c>
      <c r="H839" s="73" t="s">
        <v>3268</v>
      </c>
      <c r="I839" s="100" t="s">
        <v>3269</v>
      </c>
      <c r="J839" s="2" t="s">
        <v>24</v>
      </c>
      <c r="K839" s="2" t="s">
        <v>23</v>
      </c>
      <c r="L839"/>
      <c r="M839" s="2" t="s">
        <v>24</v>
      </c>
      <c r="N839" s="2" t="s">
        <v>23</v>
      </c>
      <c r="O839" s="27" t="s">
        <v>3261</v>
      </c>
      <c r="P839" s="26">
        <v>0</v>
      </c>
      <c r="Q839" s="99" t="s">
        <v>3270</v>
      </c>
    </row>
    <row r="840" spans="1:18" ht="15" customHeight="1">
      <c r="A840" s="71">
        <v>14</v>
      </c>
      <c r="B840" s="2" t="s">
        <v>2885</v>
      </c>
      <c r="C840" s="71">
        <v>3</v>
      </c>
      <c r="D840" s="2" t="s">
        <v>3230</v>
      </c>
      <c r="E840" s="74">
        <v>0</v>
      </c>
      <c r="F840" s="71">
        <v>12</v>
      </c>
      <c r="G840" s="2" t="s">
        <v>3082</v>
      </c>
      <c r="H840" s="73" t="s">
        <v>3271</v>
      </c>
      <c r="I840" s="100" t="s">
        <v>3272</v>
      </c>
      <c r="J840" s="2" t="s">
        <v>24</v>
      </c>
      <c r="K840" s="2" t="s">
        <v>121</v>
      </c>
      <c r="L840"/>
      <c r="M840" s="2" t="s">
        <v>24</v>
      </c>
      <c r="N840" s="2" t="s">
        <v>121</v>
      </c>
      <c r="O840" s="27"/>
      <c r="P840" s="26">
        <v>0</v>
      </c>
      <c r="Q840" s="103" t="s">
        <v>3085</v>
      </c>
    </row>
    <row r="841" spans="1:18" ht="15" customHeight="1">
      <c r="A841" s="21">
        <v>14</v>
      </c>
      <c r="B841" s="2" t="s">
        <v>2885</v>
      </c>
      <c r="C841" s="21">
        <v>4</v>
      </c>
      <c r="D841" s="2" t="s">
        <v>3273</v>
      </c>
      <c r="E841" s="14">
        <v>0</v>
      </c>
      <c r="F841" s="21">
        <v>0</v>
      </c>
      <c r="G841" s="2" t="s">
        <v>20</v>
      </c>
      <c r="H841" s="23" t="s">
        <v>3274</v>
      </c>
      <c r="I841" s="34" t="s">
        <v>3275</v>
      </c>
      <c r="J841" s="2" t="s">
        <v>23</v>
      </c>
      <c r="K841" s="2" t="s">
        <v>23</v>
      </c>
      <c r="L841"/>
      <c r="M841" s="2" t="s">
        <v>24</v>
      </c>
      <c r="N841" s="2" t="s">
        <v>25</v>
      </c>
      <c r="O841" s="27" t="s">
        <v>26</v>
      </c>
      <c r="P841" s="26">
        <v>1</v>
      </c>
      <c r="Q841" s="1" t="s">
        <v>3276</v>
      </c>
    </row>
    <row r="842" spans="1:18" ht="15" customHeight="1">
      <c r="A842" s="71">
        <v>14</v>
      </c>
      <c r="B842" s="2" t="s">
        <v>2885</v>
      </c>
      <c r="C842" s="71">
        <v>4</v>
      </c>
      <c r="D842" s="2" t="s">
        <v>3273</v>
      </c>
      <c r="E842" s="74">
        <v>0</v>
      </c>
      <c r="F842" s="71">
        <v>1</v>
      </c>
      <c r="G842" s="2" t="s">
        <v>412</v>
      </c>
      <c r="H842" s="93" t="s">
        <v>3277</v>
      </c>
      <c r="I842" s="93" t="s">
        <v>3278</v>
      </c>
      <c r="J842" s="2" t="s">
        <v>23</v>
      </c>
      <c r="K842" s="2" t="s">
        <v>23</v>
      </c>
      <c r="L842"/>
      <c r="M842" s="27" t="s">
        <v>24</v>
      </c>
      <c r="N842" s="2" t="s">
        <v>23</v>
      </c>
      <c r="O842"/>
      <c r="P842" s="26">
        <v>0</v>
      </c>
      <c r="Q842" s="99" t="s">
        <v>852</v>
      </c>
    </row>
    <row r="843" spans="1:18" ht="15" customHeight="1">
      <c r="A843" s="71">
        <v>14</v>
      </c>
      <c r="B843" s="2" t="s">
        <v>2885</v>
      </c>
      <c r="C843" s="71">
        <v>4</v>
      </c>
      <c r="D843" s="2" t="s">
        <v>3273</v>
      </c>
      <c r="E843" s="74">
        <v>0</v>
      </c>
      <c r="F843" s="71">
        <v>2</v>
      </c>
      <c r="G843" s="2" t="s">
        <v>1810</v>
      </c>
      <c r="H843" s="93" t="s">
        <v>3279</v>
      </c>
      <c r="I843" s="93" t="s">
        <v>3280</v>
      </c>
      <c r="J843" s="2" t="s">
        <v>163</v>
      </c>
      <c r="K843" s="2" t="s">
        <v>23</v>
      </c>
      <c r="L843"/>
      <c r="M843" s="2" t="s">
        <v>23</v>
      </c>
      <c r="N843" s="2" t="s">
        <v>23</v>
      </c>
      <c r="O843"/>
      <c r="P843" s="26">
        <v>0</v>
      </c>
      <c r="Q843" s="99" t="s">
        <v>2910</v>
      </c>
    </row>
    <row r="844" spans="1:18" ht="15" customHeight="1">
      <c r="A844" s="71">
        <v>14</v>
      </c>
      <c r="B844" s="2" t="s">
        <v>2885</v>
      </c>
      <c r="C844" s="71">
        <v>4</v>
      </c>
      <c r="D844" s="2" t="s">
        <v>3273</v>
      </c>
      <c r="E844" s="74">
        <v>0</v>
      </c>
      <c r="F844" s="71">
        <v>3</v>
      </c>
      <c r="G844" s="2" t="s">
        <v>273</v>
      </c>
      <c r="H844" s="85" t="s">
        <v>3281</v>
      </c>
      <c r="I844" s="100" t="s">
        <v>3282</v>
      </c>
      <c r="J844" s="2" t="s">
        <v>23</v>
      </c>
      <c r="K844" s="2" t="s">
        <v>23</v>
      </c>
      <c r="L844"/>
      <c r="M844" s="2" t="s">
        <v>24</v>
      </c>
      <c r="N844" s="2" t="s">
        <v>139</v>
      </c>
      <c r="O844"/>
      <c r="P844" s="26">
        <v>0</v>
      </c>
      <c r="Q844" s="99" t="s">
        <v>3053</v>
      </c>
      <c r="R844"/>
    </row>
    <row r="845" spans="1:18" ht="15" customHeight="1">
      <c r="A845" s="71">
        <v>14</v>
      </c>
      <c r="B845" s="2" t="s">
        <v>2885</v>
      </c>
      <c r="C845" s="71">
        <v>4</v>
      </c>
      <c r="D845" s="2" t="s">
        <v>3273</v>
      </c>
      <c r="E845" s="74">
        <v>0</v>
      </c>
      <c r="F845" s="71">
        <v>4</v>
      </c>
      <c r="G845" s="2" t="s">
        <v>3240</v>
      </c>
      <c r="H845" s="85" t="s">
        <v>3283</v>
      </c>
      <c r="I845" s="100" t="s">
        <v>3284</v>
      </c>
      <c r="J845" s="2" t="s">
        <v>23</v>
      </c>
      <c r="K845" s="2" t="s">
        <v>23</v>
      </c>
      <c r="L845"/>
      <c r="M845" s="2" t="s">
        <v>24</v>
      </c>
      <c r="N845" s="2" t="s">
        <v>206</v>
      </c>
      <c r="O845"/>
      <c r="P845" s="26">
        <v>0</v>
      </c>
      <c r="Q845" s="99" t="s">
        <v>3243</v>
      </c>
      <c r="R845"/>
    </row>
    <row r="846" spans="1:18" ht="15" customHeight="1">
      <c r="A846" s="71">
        <v>14</v>
      </c>
      <c r="B846" s="2" t="s">
        <v>2885</v>
      </c>
      <c r="C846" s="71">
        <v>4</v>
      </c>
      <c r="D846" s="2" t="s">
        <v>3273</v>
      </c>
      <c r="E846" s="74">
        <v>0</v>
      </c>
      <c r="F846" s="71">
        <v>5</v>
      </c>
      <c r="G846" s="2" t="s">
        <v>3244</v>
      </c>
      <c r="H846" s="85" t="s">
        <v>3285</v>
      </c>
      <c r="I846" s="100" t="s">
        <v>3286</v>
      </c>
      <c r="J846" s="2" t="s">
        <v>23</v>
      </c>
      <c r="K846" s="2" t="s">
        <v>23</v>
      </c>
      <c r="L846"/>
      <c r="M846" s="2" t="s">
        <v>24</v>
      </c>
      <c r="N846" s="2" t="s">
        <v>1900</v>
      </c>
      <c r="O846"/>
      <c r="P846" s="26">
        <v>0</v>
      </c>
      <c r="Q846" s="99" t="s">
        <v>3247</v>
      </c>
      <c r="R846"/>
    </row>
    <row r="847" spans="1:18" ht="15" customHeight="1">
      <c r="A847" s="71">
        <v>14</v>
      </c>
      <c r="B847" s="2" t="s">
        <v>2885</v>
      </c>
      <c r="C847" s="71">
        <v>4</v>
      </c>
      <c r="D847" s="2" t="s">
        <v>3273</v>
      </c>
      <c r="E847" s="74">
        <v>0</v>
      </c>
      <c r="F847" s="71">
        <v>6</v>
      </c>
      <c r="G847" s="2" t="s">
        <v>666</v>
      </c>
      <c r="H847" s="85" t="s">
        <v>3287</v>
      </c>
      <c r="I847" s="100" t="s">
        <v>3288</v>
      </c>
      <c r="J847" s="2" t="s">
        <v>23</v>
      </c>
      <c r="K847" s="2" t="s">
        <v>23</v>
      </c>
      <c r="L847"/>
      <c r="M847" s="2" t="s">
        <v>24</v>
      </c>
      <c r="N847" s="2" t="s">
        <v>3289</v>
      </c>
      <c r="O847"/>
      <c r="P847" s="26">
        <v>0</v>
      </c>
      <c r="Q847" s="99" t="s">
        <v>3290</v>
      </c>
      <c r="R847"/>
    </row>
    <row r="848" spans="1:18" ht="15" customHeight="1">
      <c r="A848" s="71">
        <v>14</v>
      </c>
      <c r="B848" s="2" t="s">
        <v>2885</v>
      </c>
      <c r="C848" s="71">
        <v>4</v>
      </c>
      <c r="D848" s="2" t="s">
        <v>3273</v>
      </c>
      <c r="E848" s="74">
        <v>0</v>
      </c>
      <c r="F848" s="71">
        <v>7</v>
      </c>
      <c r="G848" s="2" t="s">
        <v>3291</v>
      </c>
      <c r="H848" s="85" t="s">
        <v>3292</v>
      </c>
      <c r="I848" s="100" t="s">
        <v>3293</v>
      </c>
      <c r="J848" s="2" t="s">
        <v>23</v>
      </c>
      <c r="K848" s="2" t="s">
        <v>23</v>
      </c>
      <c r="L848"/>
      <c r="M848" s="2" t="s">
        <v>24</v>
      </c>
      <c r="N848" s="2" t="s">
        <v>23</v>
      </c>
      <c r="O848"/>
      <c r="P848" s="26">
        <v>0</v>
      </c>
      <c r="Q848" s="99" t="s">
        <v>3294</v>
      </c>
      <c r="R848"/>
    </row>
    <row r="849" spans="1:18" ht="15" customHeight="1">
      <c r="A849" s="71">
        <v>14</v>
      </c>
      <c r="B849" s="2" t="s">
        <v>2885</v>
      </c>
      <c r="C849" s="71">
        <v>4</v>
      </c>
      <c r="D849" s="2" t="s">
        <v>3273</v>
      </c>
      <c r="E849" s="74">
        <v>0</v>
      </c>
      <c r="F849" s="71">
        <v>8</v>
      </c>
      <c r="G849" s="2" t="s">
        <v>3295</v>
      </c>
      <c r="H849" s="85" t="s">
        <v>3296</v>
      </c>
      <c r="I849" s="100" t="s">
        <v>3297</v>
      </c>
      <c r="J849" s="2" t="s">
        <v>23</v>
      </c>
      <c r="K849" s="2" t="s">
        <v>23</v>
      </c>
      <c r="L849"/>
      <c r="M849" s="2" t="s">
        <v>24</v>
      </c>
      <c r="N849" s="2" t="s">
        <v>23</v>
      </c>
      <c r="O849"/>
      <c r="P849" s="26">
        <v>0</v>
      </c>
      <c r="Q849" s="99" t="s">
        <v>3298</v>
      </c>
      <c r="R849"/>
    </row>
    <row r="850" spans="1:18" ht="15" customHeight="1">
      <c r="A850" s="71">
        <v>14</v>
      </c>
      <c r="B850" s="2" t="s">
        <v>2885</v>
      </c>
      <c r="C850" s="71">
        <v>4</v>
      </c>
      <c r="D850" s="2" t="s">
        <v>3273</v>
      </c>
      <c r="E850" s="74">
        <v>0</v>
      </c>
      <c r="F850" s="71">
        <v>9</v>
      </c>
      <c r="G850" s="2" t="s">
        <v>3299</v>
      </c>
      <c r="H850" s="85" t="s">
        <v>3300</v>
      </c>
      <c r="I850" s="100" t="s">
        <v>3301</v>
      </c>
      <c r="J850" s="2" t="s">
        <v>23</v>
      </c>
      <c r="K850" s="2" t="s">
        <v>23</v>
      </c>
      <c r="L850"/>
      <c r="M850" s="2" t="s">
        <v>24</v>
      </c>
      <c r="N850" s="2" t="s">
        <v>1891</v>
      </c>
      <c r="O850"/>
      <c r="P850" s="26">
        <v>0</v>
      </c>
      <c r="Q850" s="99" t="s">
        <v>3302</v>
      </c>
      <c r="R850"/>
    </row>
    <row r="851" spans="1:18" ht="15" customHeight="1">
      <c r="A851" s="71">
        <v>14</v>
      </c>
      <c r="B851" s="2" t="s">
        <v>2885</v>
      </c>
      <c r="C851" s="71">
        <v>4</v>
      </c>
      <c r="D851" s="2" t="s">
        <v>3273</v>
      </c>
      <c r="E851" s="74">
        <v>0</v>
      </c>
      <c r="F851" s="71">
        <v>10</v>
      </c>
      <c r="G851" s="2" t="s">
        <v>1888</v>
      </c>
      <c r="H851" s="85" t="s">
        <v>3303</v>
      </c>
      <c r="I851" s="100" t="s">
        <v>3304</v>
      </c>
      <c r="J851" s="2" t="s">
        <v>23</v>
      </c>
      <c r="K851" s="2" t="s">
        <v>23</v>
      </c>
      <c r="L851"/>
      <c r="M851" s="2" t="s">
        <v>24</v>
      </c>
      <c r="N851" s="2" t="s">
        <v>1891</v>
      </c>
      <c r="O851"/>
      <c r="P851" s="26">
        <v>0</v>
      </c>
      <c r="Q851" s="99" t="s">
        <v>3305</v>
      </c>
      <c r="R851"/>
    </row>
    <row r="852" spans="1:18" ht="15" customHeight="1">
      <c r="A852" s="71">
        <v>14</v>
      </c>
      <c r="B852" s="2" t="s">
        <v>2885</v>
      </c>
      <c r="C852" s="71">
        <v>4</v>
      </c>
      <c r="D852" s="2" t="s">
        <v>3273</v>
      </c>
      <c r="E852" s="74">
        <v>0</v>
      </c>
      <c r="F852" s="71">
        <v>11</v>
      </c>
      <c r="G852" s="2" t="s">
        <v>3306</v>
      </c>
      <c r="H852" s="85" t="s">
        <v>3307</v>
      </c>
      <c r="I852" s="100" t="s">
        <v>3308</v>
      </c>
      <c r="J852" s="2" t="s">
        <v>23</v>
      </c>
      <c r="K852" s="2" t="s">
        <v>23</v>
      </c>
      <c r="L852"/>
      <c r="M852" s="2" t="s">
        <v>24</v>
      </c>
      <c r="N852" s="2" t="s">
        <v>23</v>
      </c>
      <c r="O852"/>
      <c r="P852" s="26">
        <v>0</v>
      </c>
      <c r="Q852" s="99" t="s">
        <v>3309</v>
      </c>
      <c r="R852"/>
    </row>
    <row r="853" spans="1:18" ht="15" customHeight="1">
      <c r="A853" s="71">
        <v>14</v>
      </c>
      <c r="B853" s="2" t="s">
        <v>2885</v>
      </c>
      <c r="C853" s="71">
        <v>4</v>
      </c>
      <c r="D853" s="2" t="s">
        <v>3273</v>
      </c>
      <c r="E853" s="74">
        <v>0</v>
      </c>
      <c r="F853" s="71">
        <v>12</v>
      </c>
      <c r="G853" s="2" t="s">
        <v>3310</v>
      </c>
      <c r="H853" s="85" t="s">
        <v>3311</v>
      </c>
      <c r="I853" s="100" t="s">
        <v>3312</v>
      </c>
      <c r="J853" s="2" t="s">
        <v>23</v>
      </c>
      <c r="K853" s="2" t="s">
        <v>23</v>
      </c>
      <c r="L853"/>
      <c r="M853" s="2" t="s">
        <v>24</v>
      </c>
      <c r="N853" s="2" t="s">
        <v>23</v>
      </c>
      <c r="O853"/>
      <c r="P853" s="26">
        <v>0</v>
      </c>
      <c r="Q853" s="99" t="s">
        <v>3313</v>
      </c>
      <c r="R853"/>
    </row>
    <row r="854" spans="1:18" ht="15" customHeight="1">
      <c r="A854" s="71">
        <v>14</v>
      </c>
      <c r="B854" s="2" t="s">
        <v>2885</v>
      </c>
      <c r="C854" s="71">
        <v>4</v>
      </c>
      <c r="D854" s="2" t="s">
        <v>3273</v>
      </c>
      <c r="E854" s="74">
        <v>0</v>
      </c>
      <c r="F854" s="71">
        <v>13</v>
      </c>
      <c r="G854" s="2" t="s">
        <v>3078</v>
      </c>
      <c r="H854" s="85" t="s">
        <v>3314</v>
      </c>
      <c r="I854" s="100" t="s">
        <v>3315</v>
      </c>
      <c r="J854" s="2" t="s">
        <v>24</v>
      </c>
      <c r="K854" s="2" t="s">
        <v>25</v>
      </c>
      <c r="L854"/>
      <c r="M854" s="2" t="s">
        <v>24</v>
      </c>
      <c r="N854" s="2" t="s">
        <v>25</v>
      </c>
      <c r="O854"/>
      <c r="P854" s="26">
        <v>0</v>
      </c>
      <c r="Q854" s="99" t="s">
        <v>3081</v>
      </c>
      <c r="R854"/>
    </row>
    <row r="855" spans="1:18" ht="15" customHeight="1">
      <c r="A855" s="71">
        <v>14</v>
      </c>
      <c r="B855" s="2" t="s">
        <v>2885</v>
      </c>
      <c r="C855" s="71">
        <v>4</v>
      </c>
      <c r="D855" s="2" t="s">
        <v>3273</v>
      </c>
      <c r="E855" s="74">
        <v>0</v>
      </c>
      <c r="F855" s="71">
        <v>14</v>
      </c>
      <c r="G855" s="2" t="s">
        <v>3250</v>
      </c>
      <c r="H855" s="85" t="s">
        <v>3316</v>
      </c>
      <c r="I855" s="100" t="s">
        <v>3317</v>
      </c>
      <c r="J855" s="2" t="s">
        <v>24</v>
      </c>
      <c r="K855" s="2" t="s">
        <v>25</v>
      </c>
      <c r="L855"/>
      <c r="M855" s="2" t="s">
        <v>24</v>
      </c>
      <c r="N855" s="2" t="s">
        <v>25</v>
      </c>
      <c r="O855"/>
      <c r="P855" s="26">
        <v>0</v>
      </c>
      <c r="Q855" s="99" t="s">
        <v>3253</v>
      </c>
      <c r="R855"/>
    </row>
    <row r="856" spans="1:18" ht="15" customHeight="1">
      <c r="A856" s="71">
        <v>14</v>
      </c>
      <c r="B856" s="2" t="s">
        <v>2885</v>
      </c>
      <c r="C856" s="71">
        <v>4</v>
      </c>
      <c r="D856" s="2" t="s">
        <v>3273</v>
      </c>
      <c r="E856" s="74">
        <v>0</v>
      </c>
      <c r="F856" s="71">
        <v>15</v>
      </c>
      <c r="G856" s="2" t="s">
        <v>3254</v>
      </c>
      <c r="H856" s="85" t="s">
        <v>3318</v>
      </c>
      <c r="I856" s="100" t="s">
        <v>3319</v>
      </c>
      <c r="J856" s="2" t="s">
        <v>24</v>
      </c>
      <c r="K856" s="2" t="s">
        <v>25</v>
      </c>
      <c r="L856"/>
      <c r="M856" s="2" t="s">
        <v>24</v>
      </c>
      <c r="N856" s="2" t="s">
        <v>25</v>
      </c>
      <c r="O856"/>
      <c r="P856" s="26">
        <v>0</v>
      </c>
      <c r="Q856" s="99" t="s">
        <v>3257</v>
      </c>
      <c r="R856"/>
    </row>
    <row r="857" spans="1:18" ht="15" customHeight="1">
      <c r="A857" s="71">
        <v>14</v>
      </c>
      <c r="B857" s="2" t="s">
        <v>2885</v>
      </c>
      <c r="C857" s="71">
        <v>4</v>
      </c>
      <c r="D857" s="2" t="s">
        <v>3273</v>
      </c>
      <c r="E857" s="74">
        <v>0</v>
      </c>
      <c r="F857" s="71">
        <v>16</v>
      </c>
      <c r="G857" s="2" t="s">
        <v>3320</v>
      </c>
      <c r="H857" s="85" t="s">
        <v>3321</v>
      </c>
      <c r="I857" s="100" t="s">
        <v>3322</v>
      </c>
      <c r="J857" s="2" t="s">
        <v>24</v>
      </c>
      <c r="K857" s="2" t="s">
        <v>25</v>
      </c>
      <c r="L857"/>
      <c r="M857" s="2" t="s">
        <v>24</v>
      </c>
      <c r="N857" s="2" t="s">
        <v>25</v>
      </c>
      <c r="O857"/>
      <c r="P857" s="26">
        <v>0</v>
      </c>
      <c r="Q857" s="99" t="s">
        <v>3323</v>
      </c>
      <c r="R857"/>
    </row>
    <row r="858" spans="1:18" ht="15" customHeight="1">
      <c r="A858" s="71">
        <v>14</v>
      </c>
      <c r="B858" s="2" t="s">
        <v>2885</v>
      </c>
      <c r="C858" s="71">
        <v>4</v>
      </c>
      <c r="D858" s="2" t="s">
        <v>3273</v>
      </c>
      <c r="E858" s="74">
        <v>0</v>
      </c>
      <c r="F858" s="71">
        <v>17</v>
      </c>
      <c r="G858" s="2" t="s">
        <v>3324</v>
      </c>
      <c r="H858" s="85" t="s">
        <v>3325</v>
      </c>
      <c r="I858" s="100" t="s">
        <v>3326</v>
      </c>
      <c r="J858" s="2" t="s">
        <v>24</v>
      </c>
      <c r="K858" s="2" t="s">
        <v>25</v>
      </c>
      <c r="L858"/>
      <c r="M858" s="2" t="s">
        <v>24</v>
      </c>
      <c r="N858" s="2" t="s">
        <v>25</v>
      </c>
      <c r="O858"/>
      <c r="P858" s="26">
        <v>0</v>
      </c>
      <c r="Q858" s="99" t="s">
        <v>3327</v>
      </c>
      <c r="R858"/>
    </row>
    <row r="859" spans="1:18" ht="15" customHeight="1">
      <c r="A859" s="71">
        <v>14</v>
      </c>
      <c r="B859" s="2" t="s">
        <v>2885</v>
      </c>
      <c r="C859" s="71">
        <v>4</v>
      </c>
      <c r="D859" s="2" t="s">
        <v>3273</v>
      </c>
      <c r="E859" s="74">
        <v>0</v>
      </c>
      <c r="F859" s="71">
        <v>18</v>
      </c>
      <c r="G859" s="2" t="s">
        <v>3328</v>
      </c>
      <c r="H859" s="85" t="s">
        <v>3329</v>
      </c>
      <c r="I859" s="100" t="s">
        <v>3330</v>
      </c>
      <c r="J859" s="2" t="s">
        <v>24</v>
      </c>
      <c r="K859" s="2" t="s">
        <v>25</v>
      </c>
      <c r="L859"/>
      <c r="M859" s="2" t="s">
        <v>24</v>
      </c>
      <c r="N859" s="2" t="s">
        <v>25</v>
      </c>
      <c r="O859"/>
      <c r="P859" s="26">
        <v>0</v>
      </c>
      <c r="Q859" s="99" t="s">
        <v>3331</v>
      </c>
      <c r="R859" s="6"/>
    </row>
    <row r="860" spans="1:18" ht="15" customHeight="1">
      <c r="A860" s="71">
        <v>14</v>
      </c>
      <c r="B860" s="2" t="s">
        <v>2885</v>
      </c>
      <c r="C860" s="71">
        <v>4</v>
      </c>
      <c r="D860" s="2" t="s">
        <v>3273</v>
      </c>
      <c r="E860" s="74">
        <v>0</v>
      </c>
      <c r="F860" s="71">
        <v>19</v>
      </c>
      <c r="G860" s="2" t="s">
        <v>3332</v>
      </c>
      <c r="H860" s="85" t="s">
        <v>3333</v>
      </c>
      <c r="I860" s="100" t="s">
        <v>3334</v>
      </c>
      <c r="J860" s="2" t="s">
        <v>24</v>
      </c>
      <c r="K860" s="2" t="s">
        <v>25</v>
      </c>
      <c r="L860"/>
      <c r="M860" s="2" t="s">
        <v>24</v>
      </c>
      <c r="N860" s="2" t="s">
        <v>25</v>
      </c>
      <c r="O860"/>
      <c r="P860" s="26">
        <v>0</v>
      </c>
      <c r="Q860" s="99" t="s">
        <v>3335</v>
      </c>
    </row>
    <row r="861" spans="1:18" ht="15" customHeight="1">
      <c r="A861" s="71">
        <v>14</v>
      </c>
      <c r="B861" s="2" t="s">
        <v>2885</v>
      </c>
      <c r="C861" s="71">
        <v>4</v>
      </c>
      <c r="D861" s="2" t="s">
        <v>3273</v>
      </c>
      <c r="E861" s="74">
        <v>0</v>
      </c>
      <c r="F861" s="71">
        <v>20</v>
      </c>
      <c r="G861" s="2" t="s">
        <v>3336</v>
      </c>
      <c r="H861" s="85" t="s">
        <v>3337</v>
      </c>
      <c r="I861" s="100" t="s">
        <v>3338</v>
      </c>
      <c r="J861" s="2" t="s">
        <v>24</v>
      </c>
      <c r="K861" s="2" t="s">
        <v>25</v>
      </c>
      <c r="L861"/>
      <c r="M861" s="2" t="s">
        <v>24</v>
      </c>
      <c r="N861" s="2" t="s">
        <v>25</v>
      </c>
      <c r="O861"/>
      <c r="P861" s="26">
        <v>0</v>
      </c>
      <c r="Q861" s="99" t="s">
        <v>3339</v>
      </c>
    </row>
    <row r="862" spans="1:18" ht="15" customHeight="1">
      <c r="A862" s="71">
        <v>14</v>
      </c>
      <c r="B862" s="2" t="s">
        <v>2885</v>
      </c>
      <c r="C862" s="71">
        <v>4</v>
      </c>
      <c r="D862" s="2" t="s">
        <v>3273</v>
      </c>
      <c r="E862" s="74">
        <v>0</v>
      </c>
      <c r="F862" s="71">
        <v>21</v>
      </c>
      <c r="G862" s="2" t="s">
        <v>3340</v>
      </c>
      <c r="H862" s="85" t="s">
        <v>3341</v>
      </c>
      <c r="I862" s="100" t="s">
        <v>3342</v>
      </c>
      <c r="J862" s="2" t="s">
        <v>24</v>
      </c>
      <c r="K862" s="2" t="s">
        <v>25</v>
      </c>
      <c r="L862"/>
      <c r="M862" s="2" t="s">
        <v>24</v>
      </c>
      <c r="N862" s="2" t="s">
        <v>25</v>
      </c>
      <c r="O862"/>
      <c r="P862" s="26">
        <v>0</v>
      </c>
      <c r="Q862" s="99" t="s">
        <v>3343</v>
      </c>
    </row>
    <row r="863" spans="1:18" ht="15" customHeight="1">
      <c r="A863" s="71">
        <v>14</v>
      </c>
      <c r="B863" s="2" t="s">
        <v>2885</v>
      </c>
      <c r="C863" s="71">
        <v>4</v>
      </c>
      <c r="D863" s="2" t="s">
        <v>3273</v>
      </c>
      <c r="E863" s="74">
        <v>0</v>
      </c>
      <c r="F863" s="71">
        <v>22</v>
      </c>
      <c r="G863" s="2" t="s">
        <v>3344</v>
      </c>
      <c r="H863" s="85" t="s">
        <v>3345</v>
      </c>
      <c r="I863" s="100" t="s">
        <v>3346</v>
      </c>
      <c r="J863" s="2" t="s">
        <v>24</v>
      </c>
      <c r="K863" s="2" t="s">
        <v>25</v>
      </c>
      <c r="L863"/>
      <c r="M863" s="2" t="s">
        <v>24</v>
      </c>
      <c r="N863" s="2" t="s">
        <v>25</v>
      </c>
      <c r="O863"/>
      <c r="P863" s="26">
        <v>0</v>
      </c>
      <c r="Q863" s="99" t="s">
        <v>3347</v>
      </c>
    </row>
    <row r="864" spans="1:18" ht="15" customHeight="1">
      <c r="A864" s="71">
        <v>14</v>
      </c>
      <c r="B864" s="2" t="s">
        <v>2885</v>
      </c>
      <c r="C864" s="71">
        <v>4</v>
      </c>
      <c r="D864" s="2" t="s">
        <v>3273</v>
      </c>
      <c r="E864" s="74">
        <v>0</v>
      </c>
      <c r="F864" s="71">
        <v>23</v>
      </c>
      <c r="G864" s="2" t="s">
        <v>3348</v>
      </c>
      <c r="H864" s="85" t="s">
        <v>3349</v>
      </c>
      <c r="I864" s="100" t="s">
        <v>3350</v>
      </c>
      <c r="J864" s="2" t="s">
        <v>24</v>
      </c>
      <c r="K864" s="2" t="s">
        <v>116</v>
      </c>
      <c r="L864" s="16" t="s">
        <v>3350</v>
      </c>
      <c r="M864" s="2" t="s">
        <v>24</v>
      </c>
      <c r="N864" s="2" t="s">
        <v>116</v>
      </c>
      <c r="O864" s="16" t="s">
        <v>3350</v>
      </c>
      <c r="P864" s="26">
        <v>0</v>
      </c>
      <c r="Q864" s="99" t="s">
        <v>3351</v>
      </c>
    </row>
    <row r="865" spans="1:17" ht="15" customHeight="1">
      <c r="A865" s="71">
        <v>14</v>
      </c>
      <c r="B865" s="2" t="s">
        <v>2885</v>
      </c>
      <c r="C865" s="71">
        <v>4</v>
      </c>
      <c r="D865" s="2" t="s">
        <v>3273</v>
      </c>
      <c r="E865" s="74">
        <v>0</v>
      </c>
      <c r="F865" s="71">
        <v>24</v>
      </c>
      <c r="G865" s="2" t="s">
        <v>3352</v>
      </c>
      <c r="H865" s="85" t="s">
        <v>3353</v>
      </c>
      <c r="I865" s="100" t="s">
        <v>3354</v>
      </c>
      <c r="J865" s="2" t="s">
        <v>24</v>
      </c>
      <c r="K865" s="2" t="s">
        <v>116</v>
      </c>
      <c r="L865" s="16" t="s">
        <v>3350</v>
      </c>
      <c r="M865" s="2" t="s">
        <v>24</v>
      </c>
      <c r="N865" s="2" t="s">
        <v>116</v>
      </c>
      <c r="O865" s="16" t="s">
        <v>3350</v>
      </c>
      <c r="P865" s="26">
        <v>0</v>
      </c>
      <c r="Q865" s="99" t="s">
        <v>3355</v>
      </c>
    </row>
    <row r="866" spans="1:17" ht="15" customHeight="1">
      <c r="A866" s="21">
        <v>14</v>
      </c>
      <c r="B866" s="2" t="s">
        <v>2885</v>
      </c>
      <c r="C866" s="21">
        <v>5</v>
      </c>
      <c r="D866" s="2" t="s">
        <v>3356</v>
      </c>
      <c r="E866" s="14">
        <v>0</v>
      </c>
      <c r="F866" s="21">
        <v>0</v>
      </c>
      <c r="G866" s="2" t="s">
        <v>20</v>
      </c>
      <c r="H866" s="23" t="s">
        <v>3357</v>
      </c>
      <c r="I866" s="34" t="s">
        <v>3358</v>
      </c>
      <c r="J866" s="2" t="s">
        <v>23</v>
      </c>
      <c r="K866" s="2" t="s">
        <v>23</v>
      </c>
      <c r="L866"/>
      <c r="M866" s="2" t="s">
        <v>24</v>
      </c>
      <c r="N866" s="2" t="s">
        <v>25</v>
      </c>
      <c r="O866" s="27" t="s">
        <v>26</v>
      </c>
      <c r="P866" s="26">
        <v>1</v>
      </c>
      <c r="Q866" s="1" t="s">
        <v>3359</v>
      </c>
    </row>
    <row r="867" spans="1:17" ht="15" customHeight="1">
      <c r="A867" s="71">
        <v>14</v>
      </c>
      <c r="B867" s="2" t="s">
        <v>2885</v>
      </c>
      <c r="C867" s="71">
        <v>5</v>
      </c>
      <c r="D867" s="2" t="s">
        <v>3356</v>
      </c>
      <c r="E867" s="74">
        <v>0</v>
      </c>
      <c r="F867" s="71">
        <v>1</v>
      </c>
      <c r="G867" s="2" t="s">
        <v>412</v>
      </c>
      <c r="H867" s="93" t="s">
        <v>3360</v>
      </c>
      <c r="I867" s="93" t="s">
        <v>3361</v>
      </c>
      <c r="J867" s="2" t="s">
        <v>23</v>
      </c>
      <c r="K867" s="2" t="s">
        <v>23</v>
      </c>
      <c r="L867"/>
      <c r="M867" s="27" t="s">
        <v>24</v>
      </c>
      <c r="N867" s="2" t="s">
        <v>23</v>
      </c>
      <c r="O867"/>
      <c r="P867" s="26">
        <v>0</v>
      </c>
      <c r="Q867" s="99" t="s">
        <v>852</v>
      </c>
    </row>
    <row r="868" spans="1:17" ht="15" customHeight="1">
      <c r="A868" s="71">
        <v>14</v>
      </c>
      <c r="B868" s="2" t="s">
        <v>2885</v>
      </c>
      <c r="C868" s="71">
        <v>5</v>
      </c>
      <c r="D868" s="2" t="s">
        <v>3356</v>
      </c>
      <c r="E868" s="74">
        <v>0</v>
      </c>
      <c r="F868" s="71">
        <v>2</v>
      </c>
      <c r="G868" s="2" t="s">
        <v>1810</v>
      </c>
      <c r="H868" s="93" t="s">
        <v>3362</v>
      </c>
      <c r="I868" s="93" t="s">
        <v>3363</v>
      </c>
      <c r="J868" s="2" t="s">
        <v>163</v>
      </c>
      <c r="K868" s="2" t="s">
        <v>23</v>
      </c>
      <c r="L868"/>
      <c r="M868" s="2" t="s">
        <v>23</v>
      </c>
      <c r="N868" s="2" t="s">
        <v>23</v>
      </c>
      <c r="O868"/>
      <c r="P868" s="26">
        <v>0</v>
      </c>
      <c r="Q868" s="99" t="s">
        <v>2910</v>
      </c>
    </row>
    <row r="869" spans="1:17" ht="15" customHeight="1">
      <c r="A869" s="71">
        <v>14</v>
      </c>
      <c r="B869" s="2" t="s">
        <v>2885</v>
      </c>
      <c r="C869" s="71">
        <v>5</v>
      </c>
      <c r="D869" s="2" t="s">
        <v>3356</v>
      </c>
      <c r="E869" s="74">
        <v>0</v>
      </c>
      <c r="F869" s="71">
        <v>3</v>
      </c>
      <c r="G869" s="2" t="s">
        <v>3364</v>
      </c>
      <c r="H869" s="85" t="s">
        <v>3365</v>
      </c>
      <c r="I869" s="100" t="s">
        <v>3366</v>
      </c>
      <c r="J869" s="2" t="s">
        <v>23</v>
      </c>
      <c r="K869" s="2" t="s">
        <v>23</v>
      </c>
      <c r="L869"/>
      <c r="M869" s="2" t="s">
        <v>24</v>
      </c>
      <c r="N869" s="2" t="s">
        <v>116</v>
      </c>
      <c r="O869" s="56" t="s">
        <v>3366</v>
      </c>
      <c r="P869" s="26">
        <v>0</v>
      </c>
      <c r="Q869" s="99" t="s">
        <v>1062</v>
      </c>
    </row>
    <row r="870" spans="1:17" ht="15" customHeight="1">
      <c r="A870" s="71">
        <v>14</v>
      </c>
      <c r="B870" s="2" t="s">
        <v>2885</v>
      </c>
      <c r="C870" s="71">
        <v>5</v>
      </c>
      <c r="D870" s="2" t="s">
        <v>3356</v>
      </c>
      <c r="E870" s="71">
        <v>0</v>
      </c>
      <c r="F870" s="71">
        <v>4</v>
      </c>
      <c r="G870" s="2" t="s">
        <v>3367</v>
      </c>
      <c r="H870" s="85" t="s">
        <v>3368</v>
      </c>
      <c r="I870" s="100" t="s">
        <v>3369</v>
      </c>
      <c r="J870" s="2" t="s">
        <v>24</v>
      </c>
      <c r="K870" s="2" t="s">
        <v>25</v>
      </c>
      <c r="L870"/>
      <c r="M870" s="2" t="s">
        <v>24</v>
      </c>
      <c r="N870" s="2" t="s">
        <v>25</v>
      </c>
      <c r="O870"/>
      <c r="P870" s="26">
        <v>0</v>
      </c>
      <c r="Q870" s="99" t="s">
        <v>3370</v>
      </c>
    </row>
    <row r="871" spans="1:17" ht="15" customHeight="1">
      <c r="A871" s="21">
        <v>14</v>
      </c>
      <c r="B871" s="2" t="s">
        <v>2885</v>
      </c>
      <c r="C871" s="21">
        <v>6</v>
      </c>
      <c r="D871" s="2" t="s">
        <v>3371</v>
      </c>
      <c r="E871" s="21">
        <v>0</v>
      </c>
      <c r="F871" s="21">
        <v>0</v>
      </c>
      <c r="G871" s="2" t="s">
        <v>20</v>
      </c>
      <c r="H871" s="98" t="s">
        <v>3372</v>
      </c>
      <c r="I871" s="34" t="s">
        <v>3373</v>
      </c>
      <c r="J871" s="2" t="s">
        <v>23</v>
      </c>
      <c r="K871" s="2" t="s">
        <v>23</v>
      </c>
      <c r="L871"/>
      <c r="M871" s="2" t="s">
        <v>24</v>
      </c>
      <c r="N871" s="2" t="s">
        <v>25</v>
      </c>
      <c r="O871" s="27" t="s">
        <v>26</v>
      </c>
      <c r="P871" s="26">
        <v>1</v>
      </c>
      <c r="Q871" s="1" t="s">
        <v>3374</v>
      </c>
    </row>
    <row r="872" spans="1:17" ht="15" customHeight="1">
      <c r="A872" s="71">
        <v>14</v>
      </c>
      <c r="B872" s="2" t="s">
        <v>2885</v>
      </c>
      <c r="C872" s="71">
        <v>6</v>
      </c>
      <c r="D872" s="2" t="s">
        <v>3371</v>
      </c>
      <c r="E872" s="74">
        <v>0</v>
      </c>
      <c r="F872" s="71">
        <v>1</v>
      </c>
      <c r="G872" s="2" t="s">
        <v>412</v>
      </c>
      <c r="H872" s="93" t="s">
        <v>3375</v>
      </c>
      <c r="I872" s="93" t="s">
        <v>3376</v>
      </c>
      <c r="J872" s="2" t="s">
        <v>23</v>
      </c>
      <c r="K872" s="2" t="s">
        <v>23</v>
      </c>
      <c r="L872"/>
      <c r="M872" s="27" t="s">
        <v>24</v>
      </c>
      <c r="N872" s="2" t="s">
        <v>23</v>
      </c>
      <c r="O872"/>
      <c r="P872" s="26">
        <v>0</v>
      </c>
      <c r="Q872" s="99" t="s">
        <v>852</v>
      </c>
    </row>
    <row r="873" spans="1:17" ht="15" customHeight="1">
      <c r="A873" s="71">
        <v>14</v>
      </c>
      <c r="B873" s="2" t="s">
        <v>2885</v>
      </c>
      <c r="C873" s="71">
        <v>6</v>
      </c>
      <c r="D873" s="2" t="s">
        <v>3371</v>
      </c>
      <c r="E873" s="74">
        <v>0</v>
      </c>
      <c r="F873" s="71">
        <v>2</v>
      </c>
      <c r="G873" s="2" t="s">
        <v>1810</v>
      </c>
      <c r="H873" s="93" t="s">
        <v>3377</v>
      </c>
      <c r="I873" s="93" t="s">
        <v>3378</v>
      </c>
      <c r="J873" s="2" t="s">
        <v>163</v>
      </c>
      <c r="K873" s="2" t="s">
        <v>23</v>
      </c>
      <c r="L873"/>
      <c r="M873" s="2" t="s">
        <v>23</v>
      </c>
      <c r="N873" s="2" t="s">
        <v>23</v>
      </c>
      <c r="O873"/>
      <c r="P873" s="26">
        <v>0</v>
      </c>
      <c r="Q873" s="99" t="s">
        <v>2910</v>
      </c>
    </row>
    <row r="874" spans="1:17" ht="15" customHeight="1">
      <c r="A874" s="71">
        <v>14</v>
      </c>
      <c r="B874" s="2" t="s">
        <v>2885</v>
      </c>
      <c r="C874" s="71">
        <v>6</v>
      </c>
      <c r="D874" s="2" t="s">
        <v>3371</v>
      </c>
      <c r="E874" s="71">
        <v>0</v>
      </c>
      <c r="F874" s="71">
        <v>3</v>
      </c>
      <c r="G874" s="2" t="s">
        <v>3379</v>
      </c>
      <c r="H874" s="85" t="s">
        <v>3380</v>
      </c>
      <c r="I874" s="100" t="s">
        <v>3381</v>
      </c>
      <c r="J874" s="2" t="s">
        <v>24</v>
      </c>
      <c r="K874" s="2" t="s">
        <v>23</v>
      </c>
      <c r="L874"/>
      <c r="M874" s="2" t="s">
        <v>24</v>
      </c>
      <c r="N874" s="2" t="s">
        <v>23</v>
      </c>
      <c r="O874" s="27"/>
      <c r="P874" s="26">
        <v>0</v>
      </c>
      <c r="Q874" s="99" t="s">
        <v>3382</v>
      </c>
    </row>
    <row r="875" spans="1:17" ht="15" customHeight="1">
      <c r="A875" s="71">
        <v>14</v>
      </c>
      <c r="B875" s="2" t="s">
        <v>2885</v>
      </c>
      <c r="C875" s="71">
        <v>6</v>
      </c>
      <c r="D875" s="2" t="s">
        <v>3371</v>
      </c>
      <c r="E875" s="71">
        <v>0</v>
      </c>
      <c r="F875" s="71">
        <v>4</v>
      </c>
      <c r="G875" s="2" t="s">
        <v>3383</v>
      </c>
      <c r="H875" s="85" t="s">
        <v>3384</v>
      </c>
      <c r="I875" s="100" t="s">
        <v>3385</v>
      </c>
      <c r="J875" s="2" t="s">
        <v>24</v>
      </c>
      <c r="K875" s="2" t="s">
        <v>23</v>
      </c>
      <c r="L875"/>
      <c r="M875" s="2" t="s">
        <v>24</v>
      </c>
      <c r="N875" s="2" t="s">
        <v>23</v>
      </c>
      <c r="O875" s="27"/>
      <c r="P875" s="26">
        <v>0</v>
      </c>
      <c r="Q875" s="99" t="s">
        <v>3386</v>
      </c>
    </row>
    <row r="876" spans="1:17" ht="15" customHeight="1">
      <c r="A876" s="71">
        <v>14</v>
      </c>
      <c r="B876" s="2" t="s">
        <v>2885</v>
      </c>
      <c r="C876" s="71">
        <v>6</v>
      </c>
      <c r="D876" s="2" t="s">
        <v>3371</v>
      </c>
      <c r="E876" s="71">
        <v>0</v>
      </c>
      <c r="F876" s="71">
        <v>5</v>
      </c>
      <c r="G876" s="2" t="s">
        <v>3221</v>
      </c>
      <c r="H876" s="85" t="s">
        <v>3387</v>
      </c>
      <c r="I876" s="100" t="s">
        <v>3388</v>
      </c>
      <c r="J876" s="2" t="s">
        <v>23</v>
      </c>
      <c r="K876" s="2" t="s">
        <v>23</v>
      </c>
      <c r="L876"/>
      <c r="M876" s="2" t="s">
        <v>24</v>
      </c>
      <c r="N876" s="2" t="s">
        <v>25</v>
      </c>
      <c r="O876" s="27"/>
      <c r="P876" s="26">
        <v>0</v>
      </c>
      <c r="Q876" s="99" t="s">
        <v>3225</v>
      </c>
    </row>
    <row r="877" spans="1:17" ht="15" customHeight="1">
      <c r="A877" s="71">
        <v>14</v>
      </c>
      <c r="B877" s="2" t="s">
        <v>2885</v>
      </c>
      <c r="C877" s="71">
        <v>6</v>
      </c>
      <c r="D877" s="2" t="s">
        <v>3371</v>
      </c>
      <c r="E877" s="71">
        <v>0</v>
      </c>
      <c r="F877" s="71">
        <v>6</v>
      </c>
      <c r="G877" t="s">
        <v>3389</v>
      </c>
      <c r="H877" s="85" t="s">
        <v>3390</v>
      </c>
      <c r="I877" s="100" t="s">
        <v>3391</v>
      </c>
      <c r="J877" s="2" t="s">
        <v>23</v>
      </c>
      <c r="K877" s="2" t="s">
        <v>23</v>
      </c>
      <c r="L877"/>
      <c r="M877" s="2" t="s">
        <v>24</v>
      </c>
      <c r="N877" s="2" t="s">
        <v>133</v>
      </c>
      <c r="O877" s="27"/>
      <c r="P877" s="26">
        <v>0</v>
      </c>
      <c r="Q877" s="103" t="s">
        <v>3392</v>
      </c>
    </row>
    <row r="878" spans="1:17" ht="15" customHeight="1">
      <c r="A878" s="71">
        <v>14</v>
      </c>
      <c r="B878" s="2" t="s">
        <v>2885</v>
      </c>
      <c r="C878" s="71">
        <v>6</v>
      </c>
      <c r="D878" s="2" t="s">
        <v>3371</v>
      </c>
      <c r="E878" s="71">
        <v>0</v>
      </c>
      <c r="F878" s="71">
        <v>7</v>
      </c>
      <c r="G878" t="s">
        <v>3226</v>
      </c>
      <c r="H878" s="85" t="s">
        <v>3393</v>
      </c>
      <c r="I878" s="100" t="s">
        <v>3394</v>
      </c>
      <c r="J878" s="2" t="s">
        <v>24</v>
      </c>
      <c r="K878" s="2" t="s">
        <v>25</v>
      </c>
      <c r="L878"/>
      <c r="M878" s="2" t="s">
        <v>24</v>
      </c>
      <c r="N878" s="2" t="s">
        <v>25</v>
      </c>
      <c r="O878" s="27"/>
      <c r="P878" s="26">
        <v>0</v>
      </c>
      <c r="Q878" s="103" t="s">
        <v>3229</v>
      </c>
    </row>
    <row r="879" spans="1:17" ht="15" customHeight="1">
      <c r="A879" s="71">
        <v>14</v>
      </c>
      <c r="B879" s="2" t="s">
        <v>2885</v>
      </c>
      <c r="C879" s="71">
        <v>6</v>
      </c>
      <c r="D879" s="2" t="s">
        <v>3371</v>
      </c>
      <c r="E879" s="71">
        <v>0</v>
      </c>
      <c r="F879" s="71">
        <v>8</v>
      </c>
      <c r="G879" t="s">
        <v>3395</v>
      </c>
      <c r="H879" s="85" t="s">
        <v>3396</v>
      </c>
      <c r="I879" s="100" t="s">
        <v>3397</v>
      </c>
      <c r="J879" s="2" t="s">
        <v>24</v>
      </c>
      <c r="K879" s="2" t="s">
        <v>25</v>
      </c>
      <c r="L879"/>
      <c r="M879" s="2" t="s">
        <v>24</v>
      </c>
      <c r="N879" s="2" t="s">
        <v>25</v>
      </c>
      <c r="O879" s="27"/>
      <c r="P879" s="26">
        <v>0</v>
      </c>
      <c r="Q879" s="103" t="s">
        <v>3398</v>
      </c>
    </row>
    <row r="880" spans="1:17" ht="15" customHeight="1">
      <c r="A880" s="71">
        <v>14</v>
      </c>
      <c r="B880" s="2" t="s">
        <v>2885</v>
      </c>
      <c r="C880" s="71">
        <v>6</v>
      </c>
      <c r="D880" s="2" t="s">
        <v>3371</v>
      </c>
      <c r="E880" s="71">
        <v>0</v>
      </c>
      <c r="F880" s="71">
        <v>9</v>
      </c>
      <c r="G880" t="s">
        <v>3082</v>
      </c>
      <c r="H880" s="85" t="s">
        <v>3399</v>
      </c>
      <c r="I880" s="100" t="s">
        <v>3400</v>
      </c>
      <c r="J880" s="2" t="s">
        <v>24</v>
      </c>
      <c r="K880" s="2" t="s">
        <v>121</v>
      </c>
      <c r="L880"/>
      <c r="M880" s="2" t="s">
        <v>24</v>
      </c>
      <c r="N880" s="2" t="s">
        <v>121</v>
      </c>
      <c r="O880" s="27"/>
      <c r="P880" s="26">
        <v>0</v>
      </c>
      <c r="Q880" s="103" t="s">
        <v>3085</v>
      </c>
    </row>
    <row r="881" spans="1:17" ht="15" customHeight="1">
      <c r="A881" s="21">
        <v>14</v>
      </c>
      <c r="B881" s="2" t="s">
        <v>2885</v>
      </c>
      <c r="C881" s="21">
        <v>7</v>
      </c>
      <c r="D881" s="2" t="s">
        <v>3401</v>
      </c>
      <c r="E881" s="21">
        <v>0</v>
      </c>
      <c r="F881" s="21">
        <v>0</v>
      </c>
      <c r="G881" s="2" t="s">
        <v>20</v>
      </c>
      <c r="H881" s="98" t="s">
        <v>3402</v>
      </c>
      <c r="I881" s="34" t="s">
        <v>3403</v>
      </c>
      <c r="J881" s="2" t="s">
        <v>23</v>
      </c>
      <c r="K881" s="2" t="s">
        <v>23</v>
      </c>
      <c r="L881"/>
      <c r="M881" s="2" t="s">
        <v>24</v>
      </c>
      <c r="N881" s="2" t="s">
        <v>25</v>
      </c>
      <c r="O881" s="27" t="s">
        <v>26</v>
      </c>
      <c r="P881" s="26">
        <v>1</v>
      </c>
      <c r="Q881" s="1" t="s">
        <v>3404</v>
      </c>
    </row>
    <row r="882" spans="1:17" ht="15" customHeight="1">
      <c r="A882" s="71">
        <v>14</v>
      </c>
      <c r="B882" s="2" t="s">
        <v>2885</v>
      </c>
      <c r="C882" s="71">
        <v>7</v>
      </c>
      <c r="D882" s="2" t="s">
        <v>3401</v>
      </c>
      <c r="E882" s="74">
        <v>0</v>
      </c>
      <c r="F882" s="71">
        <v>1</v>
      </c>
      <c r="G882" s="2" t="s">
        <v>412</v>
      </c>
      <c r="H882" s="93" t="s">
        <v>3405</v>
      </c>
      <c r="I882" s="93" t="s">
        <v>3406</v>
      </c>
      <c r="J882" s="2" t="s">
        <v>23</v>
      </c>
      <c r="K882" s="2" t="s">
        <v>23</v>
      </c>
      <c r="L882"/>
      <c r="M882" s="27" t="s">
        <v>24</v>
      </c>
      <c r="N882" s="2" t="s">
        <v>23</v>
      </c>
      <c r="O882"/>
      <c r="P882" s="26">
        <v>0</v>
      </c>
      <c r="Q882" s="99" t="s">
        <v>852</v>
      </c>
    </row>
    <row r="883" spans="1:17" ht="15" customHeight="1">
      <c r="A883" s="71">
        <v>14</v>
      </c>
      <c r="B883" s="2" t="s">
        <v>2885</v>
      </c>
      <c r="C883" s="71">
        <v>7</v>
      </c>
      <c r="D883" s="2" t="s">
        <v>3401</v>
      </c>
      <c r="E883" s="74">
        <v>0</v>
      </c>
      <c r="F883" s="71">
        <v>2</v>
      </c>
      <c r="G883" s="2" t="s">
        <v>1810</v>
      </c>
      <c r="H883" s="93" t="s">
        <v>3407</v>
      </c>
      <c r="I883" s="93" t="s">
        <v>3408</v>
      </c>
      <c r="J883" s="2" t="s">
        <v>163</v>
      </c>
      <c r="K883" s="2" t="s">
        <v>23</v>
      </c>
      <c r="L883"/>
      <c r="M883" s="2" t="s">
        <v>23</v>
      </c>
      <c r="N883" s="2" t="s">
        <v>23</v>
      </c>
      <c r="O883"/>
      <c r="P883" s="26">
        <v>0</v>
      </c>
      <c r="Q883" s="99" t="s">
        <v>2910</v>
      </c>
    </row>
    <row r="884" spans="1:17" ht="15" customHeight="1">
      <c r="A884" s="71">
        <v>14</v>
      </c>
      <c r="B884" s="2" t="s">
        <v>2885</v>
      </c>
      <c r="C884" s="71">
        <v>7</v>
      </c>
      <c r="D884" s="2" t="s">
        <v>3401</v>
      </c>
      <c r="E884" s="71">
        <v>0</v>
      </c>
      <c r="F884" s="71">
        <v>3</v>
      </c>
      <c r="G884" s="2" t="s">
        <v>3379</v>
      </c>
      <c r="H884" s="85" t="s">
        <v>3409</v>
      </c>
      <c r="I884" s="100" t="s">
        <v>3410</v>
      </c>
      <c r="J884" s="2" t="s">
        <v>24</v>
      </c>
      <c r="K884" s="2" t="s">
        <v>23</v>
      </c>
      <c r="L884"/>
      <c r="M884" s="2" t="s">
        <v>24</v>
      </c>
      <c r="N884" s="2" t="s">
        <v>23</v>
      </c>
      <c r="O884" s="27"/>
      <c r="P884" s="26">
        <v>0</v>
      </c>
      <c r="Q884" s="99" t="s">
        <v>3382</v>
      </c>
    </row>
    <row r="885" spans="1:17" ht="15" customHeight="1">
      <c r="A885" s="71">
        <v>14</v>
      </c>
      <c r="B885" s="2" t="s">
        <v>2885</v>
      </c>
      <c r="C885" s="71">
        <v>7</v>
      </c>
      <c r="D885" s="2" t="s">
        <v>3401</v>
      </c>
      <c r="E885" s="71">
        <v>0</v>
      </c>
      <c r="F885" s="71">
        <v>4</v>
      </c>
      <c r="G885" s="2" t="s">
        <v>3383</v>
      </c>
      <c r="H885" s="85" t="s">
        <v>3411</v>
      </c>
      <c r="I885" s="100" t="s">
        <v>3412</v>
      </c>
      <c r="J885" s="2" t="s">
        <v>24</v>
      </c>
      <c r="K885" s="2" t="s">
        <v>23</v>
      </c>
      <c r="L885"/>
      <c r="M885" s="2" t="s">
        <v>24</v>
      </c>
      <c r="N885" s="2" t="s">
        <v>23</v>
      </c>
      <c r="O885" s="27"/>
      <c r="P885" s="26">
        <v>0</v>
      </c>
      <c r="Q885" s="99" t="s">
        <v>3386</v>
      </c>
    </row>
    <row r="886" spans="1:17" ht="15" customHeight="1">
      <c r="A886" s="71">
        <v>14</v>
      </c>
      <c r="B886" s="2" t="s">
        <v>2885</v>
      </c>
      <c r="C886" s="71">
        <v>7</v>
      </c>
      <c r="D886" s="2" t="s">
        <v>3401</v>
      </c>
      <c r="E886" s="71">
        <v>0</v>
      </c>
      <c r="F886" s="71">
        <v>5</v>
      </c>
      <c r="G886" s="2" t="s">
        <v>3413</v>
      </c>
      <c r="H886" s="85" t="s">
        <v>3414</v>
      </c>
      <c r="I886" s="100" t="s">
        <v>3415</v>
      </c>
      <c r="J886" s="2" t="s">
        <v>23</v>
      </c>
      <c r="K886" s="2" t="s">
        <v>23</v>
      </c>
      <c r="L886"/>
      <c r="M886" s="2" t="s">
        <v>24</v>
      </c>
      <c r="N886" s="2" t="s">
        <v>133</v>
      </c>
      <c r="O886" s="27"/>
      <c r="P886" s="26">
        <v>0</v>
      </c>
      <c r="Q886" s="99" t="s">
        <v>3416</v>
      </c>
    </row>
    <row r="887" spans="1:17" ht="15" customHeight="1">
      <c r="A887" s="71">
        <v>14</v>
      </c>
      <c r="B887" s="2" t="s">
        <v>2885</v>
      </c>
      <c r="C887" s="71">
        <v>7</v>
      </c>
      <c r="D887" s="2" t="s">
        <v>3401</v>
      </c>
      <c r="E887" s="71">
        <v>0</v>
      </c>
      <c r="F887" s="71">
        <v>6</v>
      </c>
      <c r="G887" s="2" t="s">
        <v>3417</v>
      </c>
      <c r="H887" s="85" t="s">
        <v>3418</v>
      </c>
      <c r="I887" s="100" t="s">
        <v>3419</v>
      </c>
      <c r="J887" s="2" t="s">
        <v>23</v>
      </c>
      <c r="K887" s="2" t="s">
        <v>23</v>
      </c>
      <c r="L887"/>
      <c r="M887" s="2" t="s">
        <v>24</v>
      </c>
      <c r="N887" s="2" t="s">
        <v>133</v>
      </c>
      <c r="O887" s="27"/>
      <c r="P887" s="26">
        <v>0</v>
      </c>
      <c r="Q887" s="99" t="s">
        <v>3420</v>
      </c>
    </row>
    <row r="888" spans="1:17" ht="15" customHeight="1">
      <c r="A888" s="71">
        <v>14</v>
      </c>
      <c r="B888" s="2" t="s">
        <v>2885</v>
      </c>
      <c r="C888" s="71">
        <v>7</v>
      </c>
      <c r="D888" s="2" t="s">
        <v>3401</v>
      </c>
      <c r="E888" s="71">
        <v>0</v>
      </c>
      <c r="F888" s="71">
        <v>7</v>
      </c>
      <c r="G888" s="2" t="s">
        <v>3421</v>
      </c>
      <c r="H888" s="85" t="s">
        <v>3422</v>
      </c>
      <c r="I888" s="100" t="s">
        <v>3423</v>
      </c>
      <c r="J888" s="2" t="s">
        <v>23</v>
      </c>
      <c r="K888" s="2" t="s">
        <v>23</v>
      </c>
      <c r="L888"/>
      <c r="M888" s="2" t="s">
        <v>24</v>
      </c>
      <c r="N888" s="2" t="s">
        <v>133</v>
      </c>
      <c r="O888" s="27"/>
      <c r="P888" s="26">
        <v>0</v>
      </c>
      <c r="Q888" s="99" t="s">
        <v>3424</v>
      </c>
    </row>
    <row r="889" spans="1:17" ht="15" customHeight="1">
      <c r="A889" s="71">
        <v>14</v>
      </c>
      <c r="B889" s="2" t="s">
        <v>2885</v>
      </c>
      <c r="C889" s="71">
        <v>7</v>
      </c>
      <c r="D889" s="2" t="s">
        <v>3401</v>
      </c>
      <c r="E889" s="71">
        <v>0</v>
      </c>
      <c r="F889" s="71">
        <v>8</v>
      </c>
      <c r="G889" s="2" t="s">
        <v>3425</v>
      </c>
      <c r="H889" s="73" t="s">
        <v>3426</v>
      </c>
      <c r="I889" s="100" t="s">
        <v>3427</v>
      </c>
      <c r="J889" s="2" t="s">
        <v>23</v>
      </c>
      <c r="K889" s="2" t="s">
        <v>23</v>
      </c>
      <c r="L889"/>
      <c r="M889" s="2" t="s">
        <v>24</v>
      </c>
      <c r="N889" s="2" t="s">
        <v>25</v>
      </c>
      <c r="O889" s="27"/>
      <c r="P889" s="26">
        <v>0</v>
      </c>
      <c r="Q889" s="99" t="s">
        <v>3428</v>
      </c>
    </row>
    <row r="890" spans="1:17" ht="15" customHeight="1">
      <c r="A890" s="71">
        <v>14</v>
      </c>
      <c r="B890" s="2" t="s">
        <v>2885</v>
      </c>
      <c r="C890" s="71">
        <v>7</v>
      </c>
      <c r="D890" s="2" t="s">
        <v>3401</v>
      </c>
      <c r="E890" s="71">
        <v>0</v>
      </c>
      <c r="F890" s="71">
        <v>9</v>
      </c>
      <c r="G890" s="2" t="s">
        <v>3429</v>
      </c>
      <c r="H890" s="85" t="s">
        <v>3430</v>
      </c>
      <c r="I890" s="100" t="s">
        <v>3431</v>
      </c>
      <c r="J890" s="2" t="s">
        <v>23</v>
      </c>
      <c r="K890" s="2" t="s">
        <v>23</v>
      </c>
      <c r="L890"/>
      <c r="M890" s="2" t="s">
        <v>24</v>
      </c>
      <c r="N890" s="2" t="s">
        <v>116</v>
      </c>
      <c r="O890" s="11" t="s">
        <v>3431</v>
      </c>
      <c r="P890" s="26">
        <v>0</v>
      </c>
      <c r="Q890" s="99" t="s">
        <v>3432</v>
      </c>
    </row>
    <row r="891" spans="1:17" ht="15" customHeight="1">
      <c r="A891" s="71">
        <v>14</v>
      </c>
      <c r="B891" s="2" t="s">
        <v>2885</v>
      </c>
      <c r="C891" s="71">
        <v>7</v>
      </c>
      <c r="D891" s="2" t="s">
        <v>3401</v>
      </c>
      <c r="E891" s="71">
        <v>0</v>
      </c>
      <c r="F891" s="71">
        <v>10</v>
      </c>
      <c r="G891" s="2" t="s">
        <v>3433</v>
      </c>
      <c r="H891" s="85" t="s">
        <v>3434</v>
      </c>
      <c r="I891" s="100" t="s">
        <v>3435</v>
      </c>
      <c r="J891" s="2" t="s">
        <v>24</v>
      </c>
      <c r="K891" s="2" t="s">
        <v>25</v>
      </c>
      <c r="L891"/>
      <c r="M891" s="2" t="s">
        <v>24</v>
      </c>
      <c r="N891" s="2" t="s">
        <v>25</v>
      </c>
      <c r="O891" s="27"/>
      <c r="P891" s="26">
        <v>0</v>
      </c>
      <c r="Q891" s="99" t="s">
        <v>3436</v>
      </c>
    </row>
    <row r="892" spans="1:17" ht="15" customHeight="1">
      <c r="A892" s="71">
        <v>14</v>
      </c>
      <c r="B892" s="2" t="s">
        <v>2885</v>
      </c>
      <c r="C892" s="71">
        <v>7</v>
      </c>
      <c r="D892" s="2" t="s">
        <v>3401</v>
      </c>
      <c r="E892" s="71">
        <v>0</v>
      </c>
      <c r="F892" s="71">
        <v>11</v>
      </c>
      <c r="G892" s="2" t="s">
        <v>3437</v>
      </c>
      <c r="H892" s="85" t="s">
        <v>3438</v>
      </c>
      <c r="I892" s="100" t="s">
        <v>3439</v>
      </c>
      <c r="J892" s="2" t="s">
        <v>24</v>
      </c>
      <c r="K892" s="2" t="s">
        <v>25</v>
      </c>
      <c r="L892"/>
      <c r="M892" s="2" t="s">
        <v>24</v>
      </c>
      <c r="N892" s="2" t="s">
        <v>25</v>
      </c>
      <c r="O892" s="27"/>
      <c r="P892" s="26">
        <v>0</v>
      </c>
      <c r="Q892" s="99" t="s">
        <v>3440</v>
      </c>
    </row>
    <row r="893" spans="1:17" ht="15" customHeight="1">
      <c r="A893" s="71">
        <v>14</v>
      </c>
      <c r="B893" s="2" t="s">
        <v>2885</v>
      </c>
      <c r="C893" s="71">
        <v>7</v>
      </c>
      <c r="D893" s="2" t="s">
        <v>3401</v>
      </c>
      <c r="E893" s="71">
        <v>0</v>
      </c>
      <c r="F893" s="71">
        <v>12</v>
      </c>
      <c r="G893" s="2" t="s">
        <v>3441</v>
      </c>
      <c r="H893" s="85" t="s">
        <v>3442</v>
      </c>
      <c r="I893" s="100" t="s">
        <v>3443</v>
      </c>
      <c r="J893" s="2" t="s">
        <v>24</v>
      </c>
      <c r="K893" s="2" t="s">
        <v>25</v>
      </c>
      <c r="L893"/>
      <c r="M893" s="2" t="s">
        <v>24</v>
      </c>
      <c r="N893" s="2" t="s">
        <v>25</v>
      </c>
      <c r="O893" s="27"/>
      <c r="P893" s="26">
        <v>0</v>
      </c>
      <c r="Q893" s="99" t="s">
        <v>3444</v>
      </c>
    </row>
    <row r="894" spans="1:17" ht="15" customHeight="1">
      <c r="A894" s="71">
        <v>14</v>
      </c>
      <c r="B894" s="2" t="s">
        <v>2885</v>
      </c>
      <c r="C894" s="71">
        <v>7</v>
      </c>
      <c r="D894" s="2" t="s">
        <v>3401</v>
      </c>
      <c r="E894" s="71">
        <v>0</v>
      </c>
      <c r="F894" s="71">
        <v>13</v>
      </c>
      <c r="G894" s="2" t="s">
        <v>3445</v>
      </c>
      <c r="H894" s="85" t="s">
        <v>3446</v>
      </c>
      <c r="I894" s="100" t="s">
        <v>3447</v>
      </c>
      <c r="J894" s="2" t="s">
        <v>24</v>
      </c>
      <c r="K894" s="2" t="s">
        <v>25</v>
      </c>
      <c r="L894"/>
      <c r="M894" s="2" t="s">
        <v>24</v>
      </c>
      <c r="N894" s="2" t="s">
        <v>25</v>
      </c>
      <c r="O894" s="27"/>
      <c r="P894" s="26">
        <v>0</v>
      </c>
      <c r="Q894" s="99" t="s">
        <v>3448</v>
      </c>
    </row>
    <row r="895" spans="1:17" ht="15" customHeight="1">
      <c r="A895" s="71">
        <v>14</v>
      </c>
      <c r="B895" s="2" t="s">
        <v>2885</v>
      </c>
      <c r="C895" s="71">
        <v>7</v>
      </c>
      <c r="D895" s="2" t="s">
        <v>3401</v>
      </c>
      <c r="E895" s="71">
        <v>0</v>
      </c>
      <c r="F895" s="71">
        <v>14</v>
      </c>
      <c r="G895" t="s">
        <v>3082</v>
      </c>
      <c r="H895" s="85" t="s">
        <v>3449</v>
      </c>
      <c r="I895" s="100" t="s">
        <v>3450</v>
      </c>
      <c r="J895" s="2" t="s">
        <v>24</v>
      </c>
      <c r="K895" s="2" t="s">
        <v>121</v>
      </c>
      <c r="L895"/>
      <c r="M895" s="2" t="s">
        <v>24</v>
      </c>
      <c r="N895" s="2" t="s">
        <v>121</v>
      </c>
      <c r="O895" s="27"/>
      <c r="P895" s="26">
        <v>0</v>
      </c>
      <c r="Q895" s="103" t="s">
        <v>3085</v>
      </c>
    </row>
    <row r="896" spans="1:17" ht="15" customHeight="1">
      <c r="A896" s="21">
        <v>14</v>
      </c>
      <c r="B896" s="2" t="s">
        <v>2885</v>
      </c>
      <c r="C896" s="21">
        <v>8</v>
      </c>
      <c r="D896" s="2" t="s">
        <v>3451</v>
      </c>
      <c r="E896" s="21">
        <v>0</v>
      </c>
      <c r="F896" s="21">
        <v>0</v>
      </c>
      <c r="G896" s="2" t="s">
        <v>20</v>
      </c>
      <c r="H896" s="98" t="s">
        <v>3452</v>
      </c>
      <c r="I896" s="34" t="s">
        <v>3453</v>
      </c>
      <c r="J896" s="2" t="s">
        <v>23</v>
      </c>
      <c r="K896" s="2" t="s">
        <v>23</v>
      </c>
      <c r="L896"/>
      <c r="M896" s="2" t="s">
        <v>24</v>
      </c>
      <c r="N896" s="2" t="s">
        <v>25</v>
      </c>
      <c r="O896" s="27" t="s">
        <v>26</v>
      </c>
      <c r="P896" s="26">
        <v>1</v>
      </c>
      <c r="Q896" s="20" t="s">
        <v>3454</v>
      </c>
    </row>
    <row r="897" spans="1:17" ht="15" customHeight="1">
      <c r="A897" s="71">
        <v>14</v>
      </c>
      <c r="B897" s="2" t="s">
        <v>2885</v>
      </c>
      <c r="C897" s="71">
        <v>8</v>
      </c>
      <c r="D897" s="2" t="s">
        <v>3451</v>
      </c>
      <c r="E897" s="74">
        <v>0</v>
      </c>
      <c r="F897" s="71">
        <v>1</v>
      </c>
      <c r="G897" s="2" t="s">
        <v>412</v>
      </c>
      <c r="H897" s="93" t="s">
        <v>3455</v>
      </c>
      <c r="I897" s="93" t="s">
        <v>3456</v>
      </c>
      <c r="J897" s="2" t="s">
        <v>23</v>
      </c>
      <c r="K897" s="2" t="s">
        <v>23</v>
      </c>
      <c r="L897"/>
      <c r="M897" s="27" t="s">
        <v>24</v>
      </c>
      <c r="N897" s="2" t="s">
        <v>23</v>
      </c>
      <c r="O897"/>
      <c r="P897" s="26">
        <v>0</v>
      </c>
      <c r="Q897" s="99" t="s">
        <v>852</v>
      </c>
    </row>
    <row r="898" spans="1:17" ht="15" customHeight="1">
      <c r="A898" s="71">
        <v>14</v>
      </c>
      <c r="B898" s="2" t="s">
        <v>2885</v>
      </c>
      <c r="C898" s="71">
        <v>8</v>
      </c>
      <c r="D898" s="2" t="s">
        <v>3451</v>
      </c>
      <c r="E898" s="74">
        <v>0</v>
      </c>
      <c r="F898" s="71">
        <v>2</v>
      </c>
      <c r="G898" s="2" t="s">
        <v>1810</v>
      </c>
      <c r="H898" s="93" t="s">
        <v>3457</v>
      </c>
      <c r="I898" s="93" t="s">
        <v>3458</v>
      </c>
      <c r="J898" s="2" t="s">
        <v>163</v>
      </c>
      <c r="K898" s="2" t="s">
        <v>23</v>
      </c>
      <c r="L898"/>
      <c r="M898" s="2" t="s">
        <v>23</v>
      </c>
      <c r="N898" s="2" t="s">
        <v>23</v>
      </c>
      <c r="O898"/>
      <c r="P898" s="26">
        <v>0</v>
      </c>
      <c r="Q898" s="99" t="s">
        <v>2910</v>
      </c>
    </row>
    <row r="899" spans="1:17" ht="15" customHeight="1">
      <c r="A899" s="71">
        <v>14</v>
      </c>
      <c r="B899" s="2" t="s">
        <v>2885</v>
      </c>
      <c r="C899" s="71">
        <v>8</v>
      </c>
      <c r="D899" s="2" t="s">
        <v>3451</v>
      </c>
      <c r="E899" s="71">
        <v>0</v>
      </c>
      <c r="F899" s="71">
        <v>3</v>
      </c>
      <c r="G899" s="2" t="s">
        <v>3459</v>
      </c>
      <c r="H899" s="85" t="s">
        <v>3460</v>
      </c>
      <c r="I899" s="100" t="s">
        <v>3461</v>
      </c>
      <c r="J899" s="2" t="s">
        <v>23</v>
      </c>
      <c r="K899" s="2" t="s">
        <v>23</v>
      </c>
      <c r="L899"/>
      <c r="M899" s="2" t="s">
        <v>24</v>
      </c>
      <c r="N899" s="2" t="s">
        <v>3462</v>
      </c>
      <c r="O899"/>
      <c r="P899" s="26">
        <v>0</v>
      </c>
      <c r="Q899" s="103" t="s">
        <v>3463</v>
      </c>
    </row>
    <row r="900" spans="1:17" ht="15" customHeight="1">
      <c r="A900" s="71">
        <v>14</v>
      </c>
      <c r="B900" s="2" t="s">
        <v>2885</v>
      </c>
      <c r="C900" s="71">
        <v>8</v>
      </c>
      <c r="D900" s="2" t="s">
        <v>3451</v>
      </c>
      <c r="E900" s="71">
        <v>0</v>
      </c>
      <c r="F900" s="71">
        <v>4</v>
      </c>
      <c r="G900" s="2" t="s">
        <v>273</v>
      </c>
      <c r="H900" s="85" t="s">
        <v>3464</v>
      </c>
      <c r="I900" s="100" t="s">
        <v>3465</v>
      </c>
      <c r="J900" s="2" t="s">
        <v>23</v>
      </c>
      <c r="K900" s="2" t="s">
        <v>23</v>
      </c>
      <c r="L900"/>
      <c r="M900" s="2" t="s">
        <v>24</v>
      </c>
      <c r="N900" s="2" t="s">
        <v>139</v>
      </c>
      <c r="O900"/>
      <c r="P900" s="26">
        <v>0</v>
      </c>
      <c r="Q900" s="99" t="s">
        <v>3053</v>
      </c>
    </row>
    <row r="901" spans="1:17" ht="15" customHeight="1">
      <c r="A901" s="71">
        <v>14</v>
      </c>
      <c r="B901" s="2" t="s">
        <v>2885</v>
      </c>
      <c r="C901" s="71">
        <v>8</v>
      </c>
      <c r="D901" s="2" t="s">
        <v>3451</v>
      </c>
      <c r="E901" s="71">
        <v>0</v>
      </c>
      <c r="F901" s="71">
        <v>5</v>
      </c>
      <c r="G901" s="2" t="s">
        <v>3466</v>
      </c>
      <c r="H901" s="85" t="s">
        <v>3467</v>
      </c>
      <c r="I901" s="100" t="s">
        <v>3468</v>
      </c>
      <c r="J901" s="2" t="s">
        <v>23</v>
      </c>
      <c r="K901" s="2" t="s">
        <v>23</v>
      </c>
      <c r="L901"/>
      <c r="M901" s="2" t="s">
        <v>32</v>
      </c>
      <c r="N901" s="2" t="s">
        <v>23</v>
      </c>
      <c r="O901"/>
      <c r="P901" s="26">
        <v>0</v>
      </c>
      <c r="Q901" s="99" t="s">
        <v>3469</v>
      </c>
    </row>
    <row r="902" spans="1:17" ht="15" customHeight="1">
      <c r="A902" s="71">
        <v>14</v>
      </c>
      <c r="B902" s="2" t="s">
        <v>2885</v>
      </c>
      <c r="C902" s="71">
        <v>8</v>
      </c>
      <c r="D902" s="2" t="s">
        <v>3451</v>
      </c>
      <c r="E902" s="71">
        <v>0</v>
      </c>
      <c r="F902" s="71">
        <v>6</v>
      </c>
      <c r="G902" s="2" t="s">
        <v>3470</v>
      </c>
      <c r="H902" s="85" t="s">
        <v>3471</v>
      </c>
      <c r="I902" s="100" t="s">
        <v>3472</v>
      </c>
      <c r="J902" s="2" t="s">
        <v>24</v>
      </c>
      <c r="K902" s="2" t="s">
        <v>25</v>
      </c>
      <c r="L902"/>
      <c r="M902" s="2" t="s">
        <v>24</v>
      </c>
      <c r="N902" s="2" t="s">
        <v>25</v>
      </c>
      <c r="O902"/>
      <c r="P902" s="26">
        <v>0</v>
      </c>
      <c r="Q902" s="99" t="s">
        <v>3473</v>
      </c>
    </row>
    <row r="903" spans="1:17" ht="15" customHeight="1">
      <c r="A903" s="71">
        <v>14</v>
      </c>
      <c r="B903" s="2" t="s">
        <v>2885</v>
      </c>
      <c r="C903" s="71">
        <v>8</v>
      </c>
      <c r="D903" s="2" t="s">
        <v>3451</v>
      </c>
      <c r="E903" s="71">
        <v>0</v>
      </c>
      <c r="F903" s="71">
        <v>7</v>
      </c>
      <c r="G903" s="2" t="s">
        <v>3078</v>
      </c>
      <c r="H903" s="85" t="s">
        <v>3474</v>
      </c>
      <c r="I903" s="100" t="s">
        <v>3475</v>
      </c>
      <c r="J903" s="2" t="s">
        <v>24</v>
      </c>
      <c r="K903" s="2" t="s">
        <v>25</v>
      </c>
      <c r="L903"/>
      <c r="M903" s="2" t="s">
        <v>24</v>
      </c>
      <c r="N903" s="2" t="s">
        <v>25</v>
      </c>
      <c r="O903"/>
      <c r="P903" s="26">
        <v>0</v>
      </c>
      <c r="Q903" s="99" t="s">
        <v>3081</v>
      </c>
    </row>
    <row r="904" spans="1:17" ht="15" customHeight="1">
      <c r="A904" s="71">
        <v>14</v>
      </c>
      <c r="B904" s="2" t="s">
        <v>2885</v>
      </c>
      <c r="C904" s="71">
        <v>8</v>
      </c>
      <c r="D904" s="2" t="s">
        <v>3451</v>
      </c>
      <c r="E904" s="71">
        <v>0</v>
      </c>
      <c r="F904" s="71">
        <v>8</v>
      </c>
      <c r="G904" s="2" t="s">
        <v>3082</v>
      </c>
      <c r="H904" s="85" t="s">
        <v>3476</v>
      </c>
      <c r="I904" s="100" t="s">
        <v>3477</v>
      </c>
      <c r="J904" s="2" t="s">
        <v>24</v>
      </c>
      <c r="K904" s="2" t="s">
        <v>121</v>
      </c>
      <c r="L904"/>
      <c r="M904" s="2" t="s">
        <v>24</v>
      </c>
      <c r="N904" s="2" t="s">
        <v>121</v>
      </c>
      <c r="O904" s="27"/>
      <c r="P904" s="26">
        <v>0</v>
      </c>
      <c r="Q904" s="103" t="s">
        <v>3085</v>
      </c>
    </row>
    <row r="905" spans="1:17" ht="15" customHeight="1">
      <c r="A905" s="71">
        <v>14</v>
      </c>
      <c r="B905" s="2" t="s">
        <v>2885</v>
      </c>
      <c r="C905" s="71">
        <v>8</v>
      </c>
      <c r="D905" s="2" t="s">
        <v>3451</v>
      </c>
      <c r="E905" s="71">
        <v>0</v>
      </c>
      <c r="F905" s="71">
        <v>9</v>
      </c>
      <c r="G905" s="2" t="s">
        <v>3478</v>
      </c>
      <c r="H905" s="85" t="s">
        <v>3479</v>
      </c>
      <c r="I905" s="100" t="s">
        <v>3480</v>
      </c>
      <c r="J905" s="2" t="s">
        <v>24</v>
      </c>
      <c r="K905" s="2" t="s">
        <v>116</v>
      </c>
      <c r="L905" s="16" t="s">
        <v>3481</v>
      </c>
      <c r="M905" s="2" t="s">
        <v>24</v>
      </c>
      <c r="N905" s="2" t="s">
        <v>116</v>
      </c>
      <c r="O905" s="16" t="s">
        <v>3481</v>
      </c>
      <c r="P905" s="26">
        <v>0</v>
      </c>
      <c r="Q905" s="99" t="s">
        <v>3482</v>
      </c>
    </row>
    <row r="906" spans="1:17" ht="15" customHeight="1">
      <c r="A906" s="21">
        <v>14</v>
      </c>
      <c r="B906" s="2" t="s">
        <v>2885</v>
      </c>
      <c r="C906" s="21">
        <v>9</v>
      </c>
      <c r="D906" s="2" t="s">
        <v>3483</v>
      </c>
      <c r="E906" s="14">
        <v>0</v>
      </c>
      <c r="F906" s="21">
        <v>0</v>
      </c>
      <c r="G906" s="2" t="s">
        <v>20</v>
      </c>
      <c r="H906" s="23" t="s">
        <v>3484</v>
      </c>
      <c r="I906" s="34" t="s">
        <v>3485</v>
      </c>
      <c r="J906" s="2" t="s">
        <v>23</v>
      </c>
      <c r="K906" s="2" t="s">
        <v>23</v>
      </c>
      <c r="L906"/>
      <c r="M906" s="2" t="s">
        <v>24</v>
      </c>
      <c r="N906" s="2" t="s">
        <v>25</v>
      </c>
      <c r="O906" s="27" t="s">
        <v>26</v>
      </c>
      <c r="P906" s="26">
        <v>1</v>
      </c>
      <c r="Q906" s="1" t="s">
        <v>3486</v>
      </c>
    </row>
    <row r="907" spans="1:17" ht="15" customHeight="1">
      <c r="A907" s="71">
        <v>14</v>
      </c>
      <c r="B907" s="2" t="s">
        <v>2885</v>
      </c>
      <c r="C907" s="71">
        <v>9</v>
      </c>
      <c r="D907" s="2" t="s">
        <v>3483</v>
      </c>
      <c r="E907" s="74">
        <v>0</v>
      </c>
      <c r="F907" s="71">
        <v>1</v>
      </c>
      <c r="G907" s="2" t="s">
        <v>412</v>
      </c>
      <c r="H907" s="73" t="s">
        <v>3487</v>
      </c>
      <c r="I907" s="100" t="s">
        <v>3488</v>
      </c>
      <c r="J907" s="2" t="s">
        <v>23</v>
      </c>
      <c r="K907" s="2" t="s">
        <v>23</v>
      </c>
      <c r="L907"/>
      <c r="M907" s="27" t="s">
        <v>24</v>
      </c>
      <c r="N907" s="2" t="s">
        <v>23</v>
      </c>
      <c r="P907" s="26">
        <v>0</v>
      </c>
      <c r="Q907" s="99" t="s">
        <v>852</v>
      </c>
    </row>
    <row r="908" spans="1:17" ht="15" customHeight="1">
      <c r="A908" s="71">
        <v>14</v>
      </c>
      <c r="B908" s="2" t="s">
        <v>2885</v>
      </c>
      <c r="C908" s="71">
        <v>9</v>
      </c>
      <c r="D908" s="2" t="s">
        <v>3483</v>
      </c>
      <c r="E908" s="74">
        <v>0</v>
      </c>
      <c r="F908" s="71">
        <v>2</v>
      </c>
      <c r="G908" s="2" t="s">
        <v>1810</v>
      </c>
      <c r="H908" s="73" t="s">
        <v>3489</v>
      </c>
      <c r="I908" s="100" t="s">
        <v>3490</v>
      </c>
      <c r="J908" s="2" t="s">
        <v>163</v>
      </c>
      <c r="K908" s="2" t="s">
        <v>23</v>
      </c>
      <c r="L908"/>
      <c r="M908" s="2" t="s">
        <v>23</v>
      </c>
      <c r="N908" s="2" t="s">
        <v>23</v>
      </c>
      <c r="P908" s="26">
        <v>0</v>
      </c>
      <c r="Q908" s="99" t="s">
        <v>2910</v>
      </c>
    </row>
    <row r="909" spans="1:17" ht="15" customHeight="1">
      <c r="A909" s="71">
        <v>14</v>
      </c>
      <c r="B909" s="2" t="s">
        <v>2885</v>
      </c>
      <c r="C909" s="71">
        <v>9</v>
      </c>
      <c r="D909" s="2" t="s">
        <v>3483</v>
      </c>
      <c r="E909" s="74">
        <v>0</v>
      </c>
      <c r="F909" s="71">
        <v>3</v>
      </c>
      <c r="G909" s="2" t="s">
        <v>3491</v>
      </c>
      <c r="H909" s="73" t="s">
        <v>3492</v>
      </c>
      <c r="I909" s="100" t="s">
        <v>3493</v>
      </c>
      <c r="J909" s="2" t="s">
        <v>23</v>
      </c>
      <c r="K909" s="2" t="s">
        <v>23</v>
      </c>
      <c r="L909"/>
      <c r="M909" s="2" t="s">
        <v>24</v>
      </c>
      <c r="N909" s="2" t="s">
        <v>3494</v>
      </c>
      <c r="O909" s="27"/>
      <c r="P909" s="26">
        <v>0</v>
      </c>
      <c r="Q909" s="99" t="s">
        <v>3495</v>
      </c>
    </row>
    <row r="910" spans="1:17" ht="15" customHeight="1">
      <c r="A910" s="71">
        <v>14</v>
      </c>
      <c r="B910" s="2" t="s">
        <v>2885</v>
      </c>
      <c r="C910" s="71">
        <v>9</v>
      </c>
      <c r="D910" s="2" t="s">
        <v>3483</v>
      </c>
      <c r="E910" s="74">
        <v>0</v>
      </c>
      <c r="F910" s="71">
        <v>4</v>
      </c>
      <c r="G910" s="2" t="s">
        <v>3496</v>
      </c>
      <c r="H910" s="73" t="s">
        <v>3497</v>
      </c>
      <c r="I910" s="100" t="s">
        <v>3498</v>
      </c>
      <c r="J910" s="2" t="s">
        <v>23</v>
      </c>
      <c r="K910" s="2" t="s">
        <v>23</v>
      </c>
      <c r="L910"/>
      <c r="M910" s="2" t="s">
        <v>24</v>
      </c>
      <c r="N910" s="2" t="s">
        <v>3494</v>
      </c>
      <c r="O910" s="27"/>
      <c r="P910" s="26">
        <v>0</v>
      </c>
      <c r="Q910" s="99" t="s">
        <v>3499</v>
      </c>
    </row>
    <row r="911" spans="1:17" ht="15" customHeight="1">
      <c r="A911" s="71">
        <v>14</v>
      </c>
      <c r="B911" s="2" t="s">
        <v>2885</v>
      </c>
      <c r="C911" s="71">
        <v>9</v>
      </c>
      <c r="D911" s="2" t="s">
        <v>3483</v>
      </c>
      <c r="E911" s="74">
        <v>0</v>
      </c>
      <c r="F911" s="71">
        <v>5</v>
      </c>
      <c r="G911" s="2" t="s">
        <v>3500</v>
      </c>
      <c r="H911" s="73" t="s">
        <v>3501</v>
      </c>
      <c r="I911" s="100" t="s">
        <v>3502</v>
      </c>
      <c r="J911" s="2" t="s">
        <v>23</v>
      </c>
      <c r="K911" s="2" t="s">
        <v>23</v>
      </c>
      <c r="L911"/>
      <c r="M911" s="2" t="s">
        <v>24</v>
      </c>
      <c r="N911" s="2" t="s">
        <v>3494</v>
      </c>
      <c r="O911" s="27"/>
      <c r="P911" s="26">
        <v>0</v>
      </c>
      <c r="Q911" s="99" t="s">
        <v>3503</v>
      </c>
    </row>
    <row r="912" spans="1:17" ht="15" customHeight="1">
      <c r="A912" s="71">
        <v>14</v>
      </c>
      <c r="B912" s="2" t="s">
        <v>2885</v>
      </c>
      <c r="C912" s="71">
        <v>9</v>
      </c>
      <c r="D912" s="2" t="s">
        <v>3483</v>
      </c>
      <c r="E912" s="74">
        <v>0</v>
      </c>
      <c r="F912" s="71">
        <v>6</v>
      </c>
      <c r="G912" s="2" t="s">
        <v>3364</v>
      </c>
      <c r="H912" s="73" t="s">
        <v>3504</v>
      </c>
      <c r="I912" s="100" t="s">
        <v>3505</v>
      </c>
      <c r="J912" s="2" t="s">
        <v>23</v>
      </c>
      <c r="K912" s="2" t="s">
        <v>23</v>
      </c>
      <c r="L912"/>
      <c r="M912" s="2" t="s">
        <v>24</v>
      </c>
      <c r="N912" s="2" t="s">
        <v>116</v>
      </c>
      <c r="O912" s="8" t="s">
        <v>3505</v>
      </c>
      <c r="P912" s="26">
        <v>0</v>
      </c>
      <c r="Q912" s="99" t="s">
        <v>1062</v>
      </c>
    </row>
    <row r="913" spans="1:17" ht="15" customHeight="1">
      <c r="A913" s="71">
        <v>14</v>
      </c>
      <c r="B913" s="2" t="s">
        <v>2885</v>
      </c>
      <c r="C913" s="71">
        <v>9</v>
      </c>
      <c r="D913" s="2" t="s">
        <v>3483</v>
      </c>
      <c r="E913" s="74">
        <v>0</v>
      </c>
      <c r="F913" s="71">
        <v>7</v>
      </c>
      <c r="G913" s="2" t="s">
        <v>3506</v>
      </c>
      <c r="H913" s="73" t="s">
        <v>3507</v>
      </c>
      <c r="I913" s="100" t="s">
        <v>3508</v>
      </c>
      <c r="J913" s="2" t="s">
        <v>24</v>
      </c>
      <c r="K913" s="2" t="s">
        <v>25</v>
      </c>
      <c r="L913"/>
      <c r="M913" s="2" t="s">
        <v>24</v>
      </c>
      <c r="N913" s="2" t="s">
        <v>25</v>
      </c>
      <c r="O913" s="27"/>
      <c r="P913" s="26">
        <v>0</v>
      </c>
      <c r="Q913" s="99" t="s">
        <v>3509</v>
      </c>
    </row>
    <row r="914" spans="1:17" ht="15" customHeight="1">
      <c r="A914" s="71">
        <v>14</v>
      </c>
      <c r="B914" s="2" t="s">
        <v>2885</v>
      </c>
      <c r="C914" s="71">
        <v>9</v>
      </c>
      <c r="D914" s="2" t="s">
        <v>3483</v>
      </c>
      <c r="E914" s="74">
        <v>0</v>
      </c>
      <c r="F914" s="71">
        <v>8</v>
      </c>
      <c r="G914" s="2" t="s">
        <v>3510</v>
      </c>
      <c r="H914" s="73" t="s">
        <v>3511</v>
      </c>
      <c r="I914" s="100" t="s">
        <v>3512</v>
      </c>
      <c r="J914" s="2" t="s">
        <v>24</v>
      </c>
      <c r="K914" s="2" t="s">
        <v>25</v>
      </c>
      <c r="L914"/>
      <c r="M914" s="2" t="s">
        <v>24</v>
      </c>
      <c r="N914" s="2" t="s">
        <v>25</v>
      </c>
      <c r="O914" s="27"/>
      <c r="P914" s="26">
        <v>0</v>
      </c>
      <c r="Q914" s="99" t="s">
        <v>3513</v>
      </c>
    </row>
    <row r="915" spans="1:17" ht="15" customHeight="1">
      <c r="A915" s="71">
        <v>14</v>
      </c>
      <c r="B915" s="2" t="s">
        <v>2885</v>
      </c>
      <c r="C915" s="71">
        <v>9</v>
      </c>
      <c r="D915" s="2" t="s">
        <v>3483</v>
      </c>
      <c r="E915" s="74">
        <v>0</v>
      </c>
      <c r="F915" s="71">
        <v>9</v>
      </c>
      <c r="G915" s="2" t="s">
        <v>3514</v>
      </c>
      <c r="H915" s="73" t="s">
        <v>3515</v>
      </c>
      <c r="I915" s="100" t="s">
        <v>3516</v>
      </c>
      <c r="J915" s="2" t="s">
        <v>24</v>
      </c>
      <c r="K915" s="2" t="s">
        <v>25</v>
      </c>
      <c r="L915"/>
      <c r="M915" s="2" t="s">
        <v>24</v>
      </c>
      <c r="N915" s="2" t="s">
        <v>25</v>
      </c>
      <c r="O915" s="27"/>
      <c r="P915" s="26">
        <v>0</v>
      </c>
      <c r="Q915" s="99" t="s">
        <v>3517</v>
      </c>
    </row>
    <row r="916" spans="1:17" ht="15" customHeight="1">
      <c r="A916" s="71">
        <v>14</v>
      </c>
      <c r="B916" s="2" t="s">
        <v>2885</v>
      </c>
      <c r="C916" s="71">
        <v>9</v>
      </c>
      <c r="D916" s="2" t="s">
        <v>3483</v>
      </c>
      <c r="E916" s="74">
        <v>0</v>
      </c>
      <c r="F916" s="71">
        <v>10</v>
      </c>
      <c r="G916" s="2" t="s">
        <v>3367</v>
      </c>
      <c r="H916" s="73" t="s">
        <v>3518</v>
      </c>
      <c r="I916" s="100" t="s">
        <v>3519</v>
      </c>
      <c r="J916" s="2" t="s">
        <v>24</v>
      </c>
      <c r="K916" s="2" t="s">
        <v>25</v>
      </c>
      <c r="L916"/>
      <c r="M916" s="2" t="s">
        <v>24</v>
      </c>
      <c r="N916" s="2" t="s">
        <v>25</v>
      </c>
      <c r="O916" s="27"/>
      <c r="P916" s="26">
        <v>0</v>
      </c>
      <c r="Q916" s="99" t="s">
        <v>3370</v>
      </c>
    </row>
    <row r="917" spans="1:17" ht="15" customHeight="1">
      <c r="A917" s="71">
        <v>14</v>
      </c>
      <c r="B917" s="2" t="s">
        <v>2885</v>
      </c>
      <c r="C917" s="71">
        <v>9</v>
      </c>
      <c r="D917" s="2" t="s">
        <v>3483</v>
      </c>
      <c r="E917" s="74">
        <v>0</v>
      </c>
      <c r="F917" s="71">
        <v>11</v>
      </c>
      <c r="G917" s="2" t="s">
        <v>3082</v>
      </c>
      <c r="H917" s="73" t="s">
        <v>3520</v>
      </c>
      <c r="I917" s="100" t="s">
        <v>3521</v>
      </c>
      <c r="J917" s="2" t="s">
        <v>24</v>
      </c>
      <c r="K917" s="2" t="s">
        <v>121</v>
      </c>
      <c r="L917"/>
      <c r="M917" s="2" t="s">
        <v>24</v>
      </c>
      <c r="N917" s="2" t="s">
        <v>121</v>
      </c>
      <c r="O917" s="27"/>
      <c r="P917" s="26">
        <v>0</v>
      </c>
      <c r="Q917" s="99" t="s">
        <v>3085</v>
      </c>
    </row>
    <row r="918" spans="1:17" ht="15" customHeight="1">
      <c r="A918" s="72"/>
      <c r="C918" s="72"/>
      <c r="E918" s="72"/>
      <c r="F918" s="72"/>
      <c r="G918"/>
      <c r="H918" s="88"/>
      <c r="I918" s="105"/>
      <c r="O918" s="27"/>
      <c r="P918" s="26"/>
      <c r="Q918" s="103"/>
    </row>
    <row r="919" spans="1:17" ht="15" customHeight="1">
      <c r="A919" s="71">
        <v>15</v>
      </c>
      <c r="B919" s="2" t="s">
        <v>3522</v>
      </c>
      <c r="C919" s="71">
        <v>0</v>
      </c>
      <c r="D919" s="2" t="s">
        <v>443</v>
      </c>
      <c r="E919" s="74">
        <v>0</v>
      </c>
      <c r="F919" s="71">
        <v>0</v>
      </c>
      <c r="G919" s="2" t="s">
        <v>20</v>
      </c>
      <c r="H919" s="73" t="s">
        <v>3523</v>
      </c>
      <c r="I919" s="76" t="s">
        <v>3524</v>
      </c>
      <c r="J919" s="2" t="s">
        <v>23</v>
      </c>
      <c r="K919" s="2" t="s">
        <v>23</v>
      </c>
      <c r="M919" s="2" t="s">
        <v>24</v>
      </c>
      <c r="N919" s="2" t="s">
        <v>25</v>
      </c>
      <c r="O919" s="27" t="s">
        <v>26</v>
      </c>
      <c r="P919" s="26">
        <v>0</v>
      </c>
      <c r="Q919" s="1" t="s">
        <v>55</v>
      </c>
    </row>
    <row r="920" spans="1:17" ht="15" customHeight="1">
      <c r="A920" s="71">
        <v>15</v>
      </c>
      <c r="B920" s="2" t="s">
        <v>3522</v>
      </c>
      <c r="C920" s="71">
        <v>0</v>
      </c>
      <c r="D920" s="2" t="s">
        <v>443</v>
      </c>
      <c r="E920" s="74">
        <v>0</v>
      </c>
      <c r="F920" s="71">
        <v>1</v>
      </c>
      <c r="G920" s="2" t="s">
        <v>3525</v>
      </c>
      <c r="H920" s="73" t="s">
        <v>3526</v>
      </c>
      <c r="I920" s="100" t="s">
        <v>3527</v>
      </c>
      <c r="J920" s="2" t="s">
        <v>23</v>
      </c>
      <c r="K920" s="2" t="s">
        <v>23</v>
      </c>
      <c r="M920" s="25" t="s">
        <v>24</v>
      </c>
      <c r="N920" s="2" t="s">
        <v>23</v>
      </c>
      <c r="O920" s="27"/>
      <c r="P920" s="26">
        <v>0</v>
      </c>
      <c r="Q920" s="99" t="s">
        <v>3528</v>
      </c>
    </row>
    <row r="921" spans="1:17" ht="15" customHeight="1">
      <c r="A921" s="71">
        <v>15</v>
      </c>
      <c r="B921" s="2" t="s">
        <v>3522</v>
      </c>
      <c r="C921" s="71">
        <v>0</v>
      </c>
      <c r="D921" s="2" t="s">
        <v>443</v>
      </c>
      <c r="E921" s="74">
        <v>0</v>
      </c>
      <c r="F921" s="71">
        <v>2</v>
      </c>
      <c r="G921" s="2" t="s">
        <v>3529</v>
      </c>
      <c r="H921" s="73" t="s">
        <v>3530</v>
      </c>
      <c r="I921" s="100" t="s">
        <v>3531</v>
      </c>
      <c r="J921" s="25" t="s">
        <v>24</v>
      </c>
      <c r="K921" s="2" t="s">
        <v>23</v>
      </c>
      <c r="M921" s="25" t="s">
        <v>24</v>
      </c>
      <c r="N921" s="2" t="s">
        <v>23</v>
      </c>
      <c r="P921" s="26">
        <v>0</v>
      </c>
      <c r="Q921" s="99" t="s">
        <v>3532</v>
      </c>
    </row>
    <row r="922" spans="1:17" ht="15" customHeight="1">
      <c r="A922" s="71">
        <v>15</v>
      </c>
      <c r="B922" s="2" t="s">
        <v>3522</v>
      </c>
      <c r="C922" s="71">
        <v>1</v>
      </c>
      <c r="D922" s="2" t="s">
        <v>3533</v>
      </c>
      <c r="E922" s="74">
        <v>0</v>
      </c>
      <c r="F922" s="71">
        <v>0</v>
      </c>
      <c r="G922" s="2" t="s">
        <v>20</v>
      </c>
      <c r="H922" s="73" t="s">
        <v>3534</v>
      </c>
      <c r="I922" s="76" t="s">
        <v>3535</v>
      </c>
      <c r="J922" s="2" t="s">
        <v>23</v>
      </c>
      <c r="K922" s="2" t="s">
        <v>23</v>
      </c>
      <c r="M922" s="2" t="s">
        <v>24</v>
      </c>
      <c r="N922" s="2" t="s">
        <v>25</v>
      </c>
      <c r="O922" s="27" t="s">
        <v>26</v>
      </c>
      <c r="P922" s="26">
        <v>0</v>
      </c>
      <c r="Q922" s="1" t="s">
        <v>3536</v>
      </c>
    </row>
    <row r="923" spans="1:17" ht="15" customHeight="1">
      <c r="A923" s="71">
        <v>15</v>
      </c>
      <c r="B923" s="2" t="s">
        <v>3522</v>
      </c>
      <c r="C923" s="71">
        <v>1</v>
      </c>
      <c r="D923" s="2" t="s">
        <v>3533</v>
      </c>
      <c r="E923" s="74">
        <v>0</v>
      </c>
      <c r="F923" s="71">
        <v>1</v>
      </c>
      <c r="G923" s="2" t="s">
        <v>889</v>
      </c>
      <c r="H923" s="73" t="s">
        <v>3537</v>
      </c>
      <c r="I923" s="100" t="s">
        <v>3538</v>
      </c>
      <c r="J923" s="25" t="s">
        <v>24</v>
      </c>
      <c r="K923" s="2" t="s">
        <v>139</v>
      </c>
      <c r="M923" s="2" t="s">
        <v>24</v>
      </c>
      <c r="N923" s="2" t="s">
        <v>139</v>
      </c>
      <c r="P923" s="26">
        <v>0</v>
      </c>
      <c r="Q923" s="99" t="s">
        <v>3539</v>
      </c>
    </row>
    <row r="924" spans="1:17" ht="15" customHeight="1">
      <c r="A924" s="71">
        <v>15</v>
      </c>
      <c r="B924" s="2" t="s">
        <v>3522</v>
      </c>
      <c r="C924" s="71">
        <v>1</v>
      </c>
      <c r="D924" s="2" t="s">
        <v>3533</v>
      </c>
      <c r="E924" s="74">
        <v>0</v>
      </c>
      <c r="F924" s="71">
        <v>2</v>
      </c>
      <c r="G924" s="2" t="s">
        <v>1490</v>
      </c>
      <c r="H924" s="73" t="s">
        <v>3540</v>
      </c>
      <c r="I924" s="100" t="s">
        <v>3541</v>
      </c>
      <c r="J924" s="25" t="s">
        <v>24</v>
      </c>
      <c r="K924" s="2" t="s">
        <v>116</v>
      </c>
      <c r="L924" s="16" t="s">
        <v>3541</v>
      </c>
      <c r="M924" s="2" t="s">
        <v>24</v>
      </c>
      <c r="N924" s="2" t="s">
        <v>116</v>
      </c>
      <c r="O924" s="16" t="s">
        <v>3541</v>
      </c>
      <c r="P924" s="26">
        <v>0</v>
      </c>
      <c r="Q924" s="99" t="s">
        <v>356</v>
      </c>
    </row>
    <row r="925" spans="1:17" ht="15" customHeight="1">
      <c r="A925" s="71">
        <v>15</v>
      </c>
      <c r="B925" s="2" t="s">
        <v>3522</v>
      </c>
      <c r="C925" s="71">
        <v>1</v>
      </c>
      <c r="D925" s="2" t="s">
        <v>3533</v>
      </c>
      <c r="E925" s="74">
        <v>0</v>
      </c>
      <c r="F925" s="71">
        <v>3</v>
      </c>
      <c r="G925" s="2" t="s">
        <v>46</v>
      </c>
      <c r="H925" s="73" t="s">
        <v>3542</v>
      </c>
      <c r="I925" s="100" t="s">
        <v>3543</v>
      </c>
      <c r="J925" s="2" t="s">
        <v>23</v>
      </c>
      <c r="K925" s="2" t="s">
        <v>23</v>
      </c>
      <c r="L925" s="16"/>
      <c r="M925" s="25" t="s">
        <v>24</v>
      </c>
      <c r="N925" s="2" t="s">
        <v>121</v>
      </c>
      <c r="O925" s="16"/>
      <c r="P925" s="26">
        <v>0</v>
      </c>
      <c r="Q925" s="99" t="s">
        <v>50</v>
      </c>
    </row>
    <row r="926" spans="1:17" ht="15" customHeight="1">
      <c r="A926" s="72"/>
      <c r="C926" s="72"/>
      <c r="E926" s="86"/>
      <c r="F926" s="72"/>
      <c r="H926" s="87" t="s">
        <v>234</v>
      </c>
      <c r="I926" s="105"/>
      <c r="J926" s="25"/>
      <c r="M926" s="25"/>
      <c r="P926" s="26"/>
      <c r="Q926" s="99"/>
    </row>
    <row r="927" spans="1:17" ht="15" customHeight="1">
      <c r="A927" s="21">
        <v>16</v>
      </c>
      <c r="B927" s="2" t="s">
        <v>3544</v>
      </c>
      <c r="C927" s="21">
        <v>0</v>
      </c>
      <c r="D927" s="2" t="s">
        <v>3545</v>
      </c>
      <c r="E927" s="14">
        <v>0</v>
      </c>
      <c r="F927" s="77">
        <v>0</v>
      </c>
      <c r="G927" s="22" t="s">
        <v>20</v>
      </c>
      <c r="H927" s="78" t="s">
        <v>3546</v>
      </c>
      <c r="I927" s="34" t="s">
        <v>3547</v>
      </c>
      <c r="J927" s="2" t="s">
        <v>23</v>
      </c>
      <c r="K927" s="2" t="s">
        <v>23</v>
      </c>
      <c r="M927" s="2" t="s">
        <v>24</v>
      </c>
      <c r="N927" s="2" t="s">
        <v>25</v>
      </c>
      <c r="O927" s="27" t="s">
        <v>26</v>
      </c>
      <c r="P927" s="26">
        <v>1</v>
      </c>
      <c r="Q927" s="1" t="s">
        <v>3548</v>
      </c>
    </row>
    <row r="928" spans="1:17" ht="15" customHeight="1">
      <c r="A928" s="21">
        <v>16</v>
      </c>
      <c r="B928" s="2" t="s">
        <v>3544</v>
      </c>
      <c r="C928" s="21">
        <v>0</v>
      </c>
      <c r="D928" s="2" t="s">
        <v>3545</v>
      </c>
      <c r="E928" s="14">
        <v>0</v>
      </c>
      <c r="F928" s="77">
        <v>1</v>
      </c>
      <c r="G928" s="22" t="s">
        <v>2392</v>
      </c>
      <c r="H928" s="23" t="s">
        <v>3549</v>
      </c>
      <c r="I928" s="108" t="s">
        <v>3550</v>
      </c>
      <c r="J928" s="2" t="s">
        <v>24</v>
      </c>
      <c r="K928" s="2" t="s">
        <v>116</v>
      </c>
      <c r="L928" s="16" t="s">
        <v>3550</v>
      </c>
      <c r="M928" s="2" t="s">
        <v>24</v>
      </c>
      <c r="N928" s="2" t="s">
        <v>116</v>
      </c>
      <c r="O928" s="16" t="s">
        <v>3550</v>
      </c>
      <c r="P928" s="26">
        <v>1</v>
      </c>
      <c r="Q928" s="99" t="s">
        <v>3551</v>
      </c>
    </row>
    <row r="929" spans="1:18" ht="15" customHeight="1">
      <c r="A929" s="21">
        <v>16</v>
      </c>
      <c r="B929" s="2" t="s">
        <v>3544</v>
      </c>
      <c r="C929" s="21">
        <v>0</v>
      </c>
      <c r="D929" s="2" t="s">
        <v>3545</v>
      </c>
      <c r="E929" s="14">
        <v>0</v>
      </c>
      <c r="F929" s="21">
        <v>2</v>
      </c>
      <c r="G929" s="2" t="s">
        <v>181</v>
      </c>
      <c r="H929" s="23" t="s">
        <v>3552</v>
      </c>
      <c r="I929" s="101" t="s">
        <v>3553</v>
      </c>
      <c r="J929" s="2" t="s">
        <v>38</v>
      </c>
      <c r="K929" s="2" t="s">
        <v>23</v>
      </c>
      <c r="L929" s="27"/>
      <c r="M929" s="2" t="s">
        <v>38</v>
      </c>
      <c r="N929" s="2" t="s">
        <v>23</v>
      </c>
      <c r="O929" s="27"/>
      <c r="P929" s="7">
        <v>1</v>
      </c>
      <c r="Q929" s="99" t="s">
        <v>3554</v>
      </c>
    </row>
    <row r="930" spans="1:18" ht="15" customHeight="1">
      <c r="A930" s="21">
        <v>16</v>
      </c>
      <c r="B930" s="2" t="s">
        <v>3544</v>
      </c>
      <c r="C930" s="21">
        <v>0</v>
      </c>
      <c r="D930" s="2" t="s">
        <v>3545</v>
      </c>
      <c r="E930" s="14">
        <v>0</v>
      </c>
      <c r="F930" s="21">
        <v>3</v>
      </c>
      <c r="G930" s="2" t="s">
        <v>3556</v>
      </c>
      <c r="H930" s="23" t="s">
        <v>3557</v>
      </c>
      <c r="I930" s="101" t="s">
        <v>3558</v>
      </c>
      <c r="J930" s="2" t="s">
        <v>38</v>
      </c>
      <c r="K930" s="2" t="s">
        <v>23</v>
      </c>
      <c r="L930" s="27"/>
      <c r="M930" s="2" t="s">
        <v>38</v>
      </c>
      <c r="N930" s="2" t="s">
        <v>23</v>
      </c>
      <c r="O930" s="27"/>
      <c r="P930" s="7">
        <v>1</v>
      </c>
      <c r="Q930" s="99" t="s">
        <v>3559</v>
      </c>
    </row>
    <row r="931" spans="1:18" ht="15" customHeight="1">
      <c r="A931" s="21">
        <v>16</v>
      </c>
      <c r="B931" s="2" t="s">
        <v>3544</v>
      </c>
      <c r="C931" s="21">
        <v>0</v>
      </c>
      <c r="D931" s="2" t="s">
        <v>3545</v>
      </c>
      <c r="E931" s="14">
        <v>0</v>
      </c>
      <c r="F931" s="21">
        <v>4</v>
      </c>
      <c r="G931" s="2" t="s">
        <v>3560</v>
      </c>
      <c r="H931" s="23" t="s">
        <v>3561</v>
      </c>
      <c r="I931" s="101" t="s">
        <v>3562</v>
      </c>
      <c r="J931" s="2" t="s">
        <v>24</v>
      </c>
      <c r="K931" s="2" t="s">
        <v>116</v>
      </c>
      <c r="L931" s="16" t="s">
        <v>3562</v>
      </c>
      <c r="M931" s="2" t="s">
        <v>24</v>
      </c>
      <c r="N931" s="2" t="s">
        <v>116</v>
      </c>
      <c r="O931" s="16" t="s">
        <v>3562</v>
      </c>
      <c r="P931" s="7">
        <v>1</v>
      </c>
      <c r="Q931" s="99" t="s">
        <v>3563</v>
      </c>
    </row>
    <row r="932" spans="1:18" ht="15" customHeight="1">
      <c r="A932" s="21">
        <v>16</v>
      </c>
      <c r="B932" s="2" t="s">
        <v>3544</v>
      </c>
      <c r="C932" s="21">
        <v>0</v>
      </c>
      <c r="D932" s="2" t="s">
        <v>3545</v>
      </c>
      <c r="E932" s="14">
        <v>0</v>
      </c>
      <c r="F932" s="21">
        <v>5</v>
      </c>
      <c r="G932" s="2" t="s">
        <v>3564</v>
      </c>
      <c r="H932" s="23" t="s">
        <v>3565</v>
      </c>
      <c r="I932" s="101" t="s">
        <v>3566</v>
      </c>
      <c r="J932" s="2" t="s">
        <v>24</v>
      </c>
      <c r="K932" s="2" t="s">
        <v>116</v>
      </c>
      <c r="L932" s="16" t="s">
        <v>3566</v>
      </c>
      <c r="M932" s="2" t="s">
        <v>24</v>
      </c>
      <c r="N932" s="2" t="s">
        <v>116</v>
      </c>
      <c r="O932" s="16" t="s">
        <v>3566</v>
      </c>
      <c r="P932" s="7">
        <v>1</v>
      </c>
      <c r="Q932" s="99" t="s">
        <v>3567</v>
      </c>
    </row>
    <row r="933" spans="1:18" ht="15" customHeight="1">
      <c r="A933" s="21">
        <v>16</v>
      </c>
      <c r="B933" s="2" t="s">
        <v>3544</v>
      </c>
      <c r="C933" s="21">
        <v>0</v>
      </c>
      <c r="D933" s="2" t="s">
        <v>3545</v>
      </c>
      <c r="E933" s="14">
        <v>0</v>
      </c>
      <c r="F933" s="21">
        <v>6</v>
      </c>
      <c r="G933" s="2" t="s">
        <v>3568</v>
      </c>
      <c r="H933" s="23" t="s">
        <v>3569</v>
      </c>
      <c r="I933" s="101" t="s">
        <v>3570</v>
      </c>
      <c r="J933" s="2" t="s">
        <v>24</v>
      </c>
      <c r="K933" s="2" t="s">
        <v>23</v>
      </c>
      <c r="M933" s="2" t="s">
        <v>24</v>
      </c>
      <c r="N933" s="2" t="s">
        <v>23</v>
      </c>
      <c r="P933" s="7">
        <v>1</v>
      </c>
      <c r="Q933" s="99" t="s">
        <v>3571</v>
      </c>
    </row>
    <row r="934" spans="1:18" ht="15" customHeight="1">
      <c r="A934" s="21">
        <v>16</v>
      </c>
      <c r="B934" s="2" t="s">
        <v>3544</v>
      </c>
      <c r="C934" s="21">
        <v>0</v>
      </c>
      <c r="D934" s="2" t="s">
        <v>3545</v>
      </c>
      <c r="E934" s="14">
        <v>0</v>
      </c>
      <c r="F934" s="21">
        <v>7</v>
      </c>
      <c r="G934" s="2" t="s">
        <v>3572</v>
      </c>
      <c r="H934" s="23" t="s">
        <v>3573</v>
      </c>
      <c r="I934" s="101" t="s">
        <v>3574</v>
      </c>
      <c r="J934" s="2" t="s">
        <v>24</v>
      </c>
      <c r="K934" s="2" t="s">
        <v>116</v>
      </c>
      <c r="L934" s="16" t="s">
        <v>3574</v>
      </c>
      <c r="M934" s="2" t="s">
        <v>24</v>
      </c>
      <c r="N934" s="2" t="s">
        <v>116</v>
      </c>
      <c r="O934" s="16" t="s">
        <v>3574</v>
      </c>
      <c r="P934" s="7">
        <v>1</v>
      </c>
      <c r="Q934" s="99" t="s">
        <v>3575</v>
      </c>
    </row>
    <row r="935" spans="1:18" ht="15" customHeight="1">
      <c r="A935" s="21">
        <v>16</v>
      </c>
      <c r="B935" s="2" t="s">
        <v>3544</v>
      </c>
      <c r="C935" s="21">
        <v>0</v>
      </c>
      <c r="D935" s="2" t="s">
        <v>3545</v>
      </c>
      <c r="E935" s="14">
        <v>0</v>
      </c>
      <c r="F935" s="21">
        <v>8</v>
      </c>
      <c r="G935" s="2" t="s">
        <v>3576</v>
      </c>
      <c r="H935" s="23" t="s">
        <v>3577</v>
      </c>
      <c r="I935" s="101" t="s">
        <v>3578</v>
      </c>
      <c r="J935" s="2" t="s">
        <v>24</v>
      </c>
      <c r="K935" s="2" t="s">
        <v>23</v>
      </c>
      <c r="M935" s="2" t="s">
        <v>24</v>
      </c>
      <c r="N935" s="2" t="s">
        <v>23</v>
      </c>
      <c r="P935" s="7">
        <v>1</v>
      </c>
      <c r="Q935" s="99" t="s">
        <v>3579</v>
      </c>
    </row>
    <row r="936" spans="1:18" ht="15" customHeight="1">
      <c r="A936" s="21">
        <v>16</v>
      </c>
      <c r="B936" s="2" t="s">
        <v>3544</v>
      </c>
      <c r="C936" s="21">
        <v>0</v>
      </c>
      <c r="D936" s="2" t="s">
        <v>3545</v>
      </c>
      <c r="E936" s="14">
        <v>0</v>
      </c>
      <c r="F936" s="21">
        <v>9</v>
      </c>
      <c r="G936" s="2" t="s">
        <v>3580</v>
      </c>
      <c r="H936" s="23" t="s">
        <v>3581</v>
      </c>
      <c r="I936" s="101" t="s">
        <v>3582</v>
      </c>
      <c r="J936" s="2" t="s">
        <v>24</v>
      </c>
      <c r="K936" s="2" t="s">
        <v>23</v>
      </c>
      <c r="M936" s="2" t="s">
        <v>24</v>
      </c>
      <c r="N936" s="2" t="s">
        <v>23</v>
      </c>
      <c r="O936" s="27"/>
      <c r="P936" s="7">
        <v>1</v>
      </c>
      <c r="Q936" s="99" t="s">
        <v>3583</v>
      </c>
    </row>
    <row r="937" spans="1:18" ht="15" customHeight="1">
      <c r="A937" s="21">
        <v>16</v>
      </c>
      <c r="B937" s="2" t="s">
        <v>3544</v>
      </c>
      <c r="C937" s="21">
        <v>0</v>
      </c>
      <c r="D937" s="2" t="s">
        <v>3545</v>
      </c>
      <c r="E937" s="14">
        <v>0</v>
      </c>
      <c r="F937" s="21">
        <v>10</v>
      </c>
      <c r="G937" s="2" t="s">
        <v>1726</v>
      </c>
      <c r="H937" s="23" t="s">
        <v>3584</v>
      </c>
      <c r="I937" s="101" t="s">
        <v>3585</v>
      </c>
      <c r="J937" s="2" t="s">
        <v>24</v>
      </c>
      <c r="K937" s="2" t="s">
        <v>23</v>
      </c>
      <c r="M937" s="2" t="s">
        <v>24</v>
      </c>
      <c r="N937" s="2" t="s">
        <v>23</v>
      </c>
      <c r="P937" s="7">
        <v>1</v>
      </c>
      <c r="Q937" s="99" t="s">
        <v>1729</v>
      </c>
    </row>
    <row r="938" spans="1:18" ht="15" customHeight="1">
      <c r="A938" s="71">
        <v>16</v>
      </c>
      <c r="B938" s="2" t="s">
        <v>3544</v>
      </c>
      <c r="C938" s="71">
        <v>0</v>
      </c>
      <c r="D938" s="2" t="s">
        <v>3545</v>
      </c>
      <c r="E938" s="74">
        <v>0</v>
      </c>
      <c r="F938" s="71">
        <v>11</v>
      </c>
      <c r="G938" s="2" t="s">
        <v>3586</v>
      </c>
      <c r="H938" s="73" t="s">
        <v>3587</v>
      </c>
      <c r="I938" s="100" t="s">
        <v>3588</v>
      </c>
      <c r="J938" s="2" t="s">
        <v>24</v>
      </c>
      <c r="K938" s="2" t="s">
        <v>25</v>
      </c>
      <c r="M938" s="2" t="s">
        <v>24</v>
      </c>
      <c r="N938" s="2" t="s">
        <v>25</v>
      </c>
      <c r="P938" s="7">
        <v>0</v>
      </c>
      <c r="Q938" s="99" t="s">
        <v>3589</v>
      </c>
    </row>
    <row r="939" spans="1:18" ht="15" customHeight="1">
      <c r="A939" s="71">
        <v>16</v>
      </c>
      <c r="B939" s="2" t="s">
        <v>3544</v>
      </c>
      <c r="C939" s="71">
        <v>0</v>
      </c>
      <c r="D939" s="2" t="s">
        <v>3545</v>
      </c>
      <c r="E939" s="74">
        <v>0</v>
      </c>
      <c r="F939" s="71">
        <v>12</v>
      </c>
      <c r="G939" s="2" t="s">
        <v>3590</v>
      </c>
      <c r="H939" s="73" t="s">
        <v>3591</v>
      </c>
      <c r="I939" s="100" t="s">
        <v>3592</v>
      </c>
      <c r="J939" s="2" t="s">
        <v>24</v>
      </c>
      <c r="K939" s="2" t="s">
        <v>206</v>
      </c>
      <c r="M939" s="2" t="s">
        <v>24</v>
      </c>
      <c r="N939" s="2" t="s">
        <v>206</v>
      </c>
      <c r="P939" s="7">
        <v>0</v>
      </c>
      <c r="Q939" s="99" t="s">
        <v>3593</v>
      </c>
    </row>
    <row r="940" spans="1:18" ht="15" customHeight="1">
      <c r="A940" s="71">
        <v>16</v>
      </c>
      <c r="B940" s="2" t="s">
        <v>3544</v>
      </c>
      <c r="C940" s="71">
        <v>0</v>
      </c>
      <c r="D940" s="2" t="s">
        <v>3545</v>
      </c>
      <c r="E940" s="74">
        <v>0</v>
      </c>
      <c r="F940" s="71">
        <v>13</v>
      </c>
      <c r="G940" s="2" t="s">
        <v>3594</v>
      </c>
      <c r="H940" s="73" t="s">
        <v>3595</v>
      </c>
      <c r="I940" s="100" t="s">
        <v>3596</v>
      </c>
      <c r="J940" s="2" t="s">
        <v>24</v>
      </c>
      <c r="K940" s="2" t="s">
        <v>206</v>
      </c>
      <c r="M940" s="2" t="s">
        <v>24</v>
      </c>
      <c r="N940" s="2" t="s">
        <v>206</v>
      </c>
      <c r="P940" s="7">
        <v>0</v>
      </c>
      <c r="Q940" s="99" t="s">
        <v>3597</v>
      </c>
    </row>
    <row r="941" spans="1:18" ht="15" customHeight="1">
      <c r="A941" s="21">
        <v>16</v>
      </c>
      <c r="B941" s="2" t="s">
        <v>3544</v>
      </c>
      <c r="C941" s="21">
        <v>0</v>
      </c>
      <c r="D941" s="2" t="s">
        <v>3545</v>
      </c>
      <c r="E941" s="14">
        <v>0</v>
      </c>
      <c r="F941" s="21">
        <v>14</v>
      </c>
      <c r="G941" s="2" t="s">
        <v>2901</v>
      </c>
      <c r="H941" s="23" t="s">
        <v>3598</v>
      </c>
      <c r="I941" s="101" t="s">
        <v>3599</v>
      </c>
      <c r="J941" s="2" t="s">
        <v>24</v>
      </c>
      <c r="K941" s="2" t="s">
        <v>23</v>
      </c>
      <c r="M941" s="2" t="s">
        <v>24</v>
      </c>
      <c r="N941" s="2" t="s">
        <v>23</v>
      </c>
      <c r="P941" s="7">
        <v>1</v>
      </c>
      <c r="Q941" s="99" t="s">
        <v>3600</v>
      </c>
      <c r="R941" s="2" t="s">
        <v>3555</v>
      </c>
    </row>
    <row r="942" spans="1:18" ht="15" customHeight="1">
      <c r="A942" s="21">
        <v>16</v>
      </c>
      <c r="B942" s="2" t="s">
        <v>3544</v>
      </c>
      <c r="C942" s="21">
        <v>1</v>
      </c>
      <c r="D942" s="2" t="s">
        <v>3601</v>
      </c>
      <c r="E942" s="14">
        <v>0</v>
      </c>
      <c r="F942" s="21">
        <v>0</v>
      </c>
      <c r="G942" s="2" t="s">
        <v>20</v>
      </c>
      <c r="H942" s="23" t="s">
        <v>3602</v>
      </c>
      <c r="I942" s="34" t="s">
        <v>3603</v>
      </c>
      <c r="J942" s="2" t="s">
        <v>23</v>
      </c>
      <c r="K942" s="2" t="s">
        <v>23</v>
      </c>
      <c r="M942" s="2" t="s">
        <v>24</v>
      </c>
      <c r="N942" s="2" t="s">
        <v>25</v>
      </c>
      <c r="O942" s="27" t="s">
        <v>26</v>
      </c>
      <c r="P942" s="26">
        <v>1</v>
      </c>
      <c r="Q942" s="1" t="s">
        <v>3604</v>
      </c>
    </row>
    <row r="943" spans="1:18" ht="15" customHeight="1">
      <c r="A943" s="21">
        <v>16</v>
      </c>
      <c r="B943" s="2" t="s">
        <v>3544</v>
      </c>
      <c r="C943" s="21">
        <v>1</v>
      </c>
      <c r="D943" s="2" t="s">
        <v>3601</v>
      </c>
      <c r="E943" s="14">
        <v>0</v>
      </c>
      <c r="F943" s="21">
        <v>1</v>
      </c>
      <c r="G943" s="2" t="s">
        <v>1042</v>
      </c>
      <c r="H943" s="23" t="s">
        <v>3605</v>
      </c>
      <c r="I943" s="101" t="s">
        <v>3606</v>
      </c>
      <c r="J943" s="2" t="s">
        <v>32</v>
      </c>
      <c r="K943" s="2" t="s">
        <v>23</v>
      </c>
      <c r="M943" s="2" t="s">
        <v>24</v>
      </c>
      <c r="N943" s="2" t="s">
        <v>23</v>
      </c>
      <c r="P943" s="26">
        <v>1</v>
      </c>
      <c r="Q943" s="106" t="s">
        <v>1779</v>
      </c>
    </row>
    <row r="944" spans="1:18" ht="15" customHeight="1">
      <c r="A944" s="21">
        <v>16</v>
      </c>
      <c r="B944" s="2" t="s">
        <v>3544</v>
      </c>
      <c r="C944" s="21">
        <v>2</v>
      </c>
      <c r="D944" s="2" t="s">
        <v>3607</v>
      </c>
      <c r="E944" s="14">
        <v>0</v>
      </c>
      <c r="F944" s="21">
        <v>0</v>
      </c>
      <c r="G944" s="2" t="s">
        <v>20</v>
      </c>
      <c r="H944" s="23" t="s">
        <v>3608</v>
      </c>
      <c r="I944" s="34" t="s">
        <v>3609</v>
      </c>
      <c r="J944" s="2" t="s">
        <v>23</v>
      </c>
      <c r="K944" s="2" t="s">
        <v>23</v>
      </c>
      <c r="M944" s="2" t="s">
        <v>24</v>
      </c>
      <c r="N944" s="2" t="s">
        <v>25</v>
      </c>
      <c r="O944" s="27" t="s">
        <v>26</v>
      </c>
      <c r="P944" s="26">
        <v>1</v>
      </c>
      <c r="Q944" s="1" t="s">
        <v>3610</v>
      </c>
    </row>
    <row r="945" spans="1:17" ht="15" customHeight="1">
      <c r="A945" s="21">
        <v>16</v>
      </c>
      <c r="B945" s="2" t="s">
        <v>3544</v>
      </c>
      <c r="C945" s="21">
        <v>2</v>
      </c>
      <c r="D945" s="2" t="s">
        <v>3607</v>
      </c>
      <c r="E945" s="14">
        <v>0</v>
      </c>
      <c r="F945" s="21">
        <v>1</v>
      </c>
      <c r="G945" s="2" t="s">
        <v>181</v>
      </c>
      <c r="H945" s="23" t="s">
        <v>3611</v>
      </c>
      <c r="I945" s="101" t="s">
        <v>3612</v>
      </c>
      <c r="J945" s="2" t="s">
        <v>23</v>
      </c>
      <c r="K945" s="2" t="s">
        <v>23</v>
      </c>
      <c r="M945" s="2" t="s">
        <v>38</v>
      </c>
      <c r="N945" s="2" t="s">
        <v>23</v>
      </c>
      <c r="O945" s="27"/>
      <c r="P945" s="7">
        <v>1</v>
      </c>
      <c r="Q945" s="99" t="s">
        <v>2836</v>
      </c>
    </row>
    <row r="946" spans="1:17" ht="15" customHeight="1">
      <c r="A946" s="21">
        <v>16</v>
      </c>
      <c r="B946" s="2" t="s">
        <v>3544</v>
      </c>
      <c r="C946" s="21">
        <v>2</v>
      </c>
      <c r="D946" s="2" t="s">
        <v>3607</v>
      </c>
      <c r="E946" s="14">
        <v>0</v>
      </c>
      <c r="F946" s="21">
        <v>2</v>
      </c>
      <c r="G946" s="2" t="s">
        <v>305</v>
      </c>
      <c r="H946" s="23" t="s">
        <v>3613</v>
      </c>
      <c r="I946" s="101" t="s">
        <v>3614</v>
      </c>
      <c r="J946" s="2" t="s">
        <v>24</v>
      </c>
      <c r="K946" s="2" t="s">
        <v>25</v>
      </c>
      <c r="L946" s="5" t="s">
        <v>308</v>
      </c>
      <c r="M946" s="2" t="s">
        <v>24</v>
      </c>
      <c r="N946" s="2" t="s">
        <v>25</v>
      </c>
      <c r="O946" s="5" t="s">
        <v>308</v>
      </c>
      <c r="P946" s="7">
        <v>1</v>
      </c>
      <c r="Q946" s="99" t="s">
        <v>3615</v>
      </c>
    </row>
    <row r="947" spans="1:17" ht="15" customHeight="1">
      <c r="A947" s="21">
        <v>16</v>
      </c>
      <c r="B947" s="2" t="s">
        <v>3544</v>
      </c>
      <c r="C947" s="21">
        <v>2</v>
      </c>
      <c r="D947" s="2" t="s">
        <v>3607</v>
      </c>
      <c r="E947" s="14">
        <v>0</v>
      </c>
      <c r="F947" s="21">
        <v>3</v>
      </c>
      <c r="G947" s="2" t="s">
        <v>1726</v>
      </c>
      <c r="H947" s="23" t="s">
        <v>3616</v>
      </c>
      <c r="I947" s="101" t="s">
        <v>3617</v>
      </c>
      <c r="J947" s="2" t="s">
        <v>24</v>
      </c>
      <c r="K947" s="2" t="s">
        <v>23</v>
      </c>
      <c r="M947" s="2" t="s">
        <v>24</v>
      </c>
      <c r="N947" s="2" t="s">
        <v>23</v>
      </c>
      <c r="P947" s="7">
        <v>1</v>
      </c>
      <c r="Q947" s="99" t="s">
        <v>1729</v>
      </c>
    </row>
    <row r="948" spans="1:17" ht="15" customHeight="1">
      <c r="A948" s="21">
        <v>16</v>
      </c>
      <c r="B948" s="2" t="s">
        <v>3544</v>
      </c>
      <c r="C948" s="21">
        <v>3</v>
      </c>
      <c r="D948" s="2" t="s">
        <v>3618</v>
      </c>
      <c r="E948" s="14">
        <v>0</v>
      </c>
      <c r="F948" s="21">
        <v>0</v>
      </c>
      <c r="G948" s="2" t="s">
        <v>20</v>
      </c>
      <c r="H948" s="23" t="s">
        <v>3619</v>
      </c>
      <c r="I948" s="34" t="s">
        <v>3620</v>
      </c>
      <c r="J948" s="2" t="s">
        <v>23</v>
      </c>
      <c r="K948" s="2" t="s">
        <v>23</v>
      </c>
      <c r="M948" s="2" t="s">
        <v>24</v>
      </c>
      <c r="N948" s="2" t="s">
        <v>25</v>
      </c>
      <c r="O948" s="27" t="s">
        <v>26</v>
      </c>
      <c r="P948" s="26">
        <v>1</v>
      </c>
      <c r="Q948" s="1" t="s">
        <v>3610</v>
      </c>
    </row>
    <row r="949" spans="1:17" ht="15" customHeight="1">
      <c r="A949" s="71">
        <v>16</v>
      </c>
      <c r="B949" s="2" t="s">
        <v>3544</v>
      </c>
      <c r="C949" s="71">
        <v>3</v>
      </c>
      <c r="D949" s="2" t="s">
        <v>3618</v>
      </c>
      <c r="E949" s="71">
        <v>0</v>
      </c>
      <c r="F949" s="71">
        <v>1</v>
      </c>
      <c r="G949" s="2" t="s">
        <v>3621</v>
      </c>
      <c r="H949" s="73" t="s">
        <v>3622</v>
      </c>
      <c r="I949" s="100" t="s">
        <v>3623</v>
      </c>
      <c r="J949" s="2" t="s">
        <v>23</v>
      </c>
      <c r="K949" s="2" t="s">
        <v>23</v>
      </c>
      <c r="M949" s="2" t="s">
        <v>24</v>
      </c>
      <c r="N949" s="2" t="s">
        <v>25</v>
      </c>
      <c r="O949" s="5" t="s">
        <v>1450</v>
      </c>
      <c r="P949" s="7">
        <v>0</v>
      </c>
      <c r="Q949" s="99" t="s">
        <v>3624</v>
      </c>
    </row>
    <row r="950" spans="1:17" ht="15" customHeight="1">
      <c r="A950" s="71">
        <v>16</v>
      </c>
      <c r="B950" s="2" t="s">
        <v>3544</v>
      </c>
      <c r="C950" s="71">
        <v>3</v>
      </c>
      <c r="D950" s="2" t="s">
        <v>3618</v>
      </c>
      <c r="E950" s="71">
        <v>0</v>
      </c>
      <c r="F950" s="71">
        <v>2</v>
      </c>
      <c r="G950" s="2" t="s">
        <v>3625</v>
      </c>
      <c r="H950" s="73" t="s">
        <v>3626</v>
      </c>
      <c r="I950" s="100" t="s">
        <v>3627</v>
      </c>
      <c r="J950" s="2" t="s">
        <v>23</v>
      </c>
      <c r="K950" s="2" t="s">
        <v>23</v>
      </c>
      <c r="M950" s="2" t="s">
        <v>24</v>
      </c>
      <c r="N950" s="2" t="s">
        <v>25</v>
      </c>
      <c r="O950" s="5" t="s">
        <v>1450</v>
      </c>
      <c r="P950" s="7">
        <v>0</v>
      </c>
      <c r="Q950" s="99" t="s">
        <v>3628</v>
      </c>
    </row>
    <row r="951" spans="1:17" ht="15" customHeight="1">
      <c r="A951" s="71">
        <v>16</v>
      </c>
      <c r="B951" s="2" t="s">
        <v>3544</v>
      </c>
      <c r="C951" s="71">
        <v>3</v>
      </c>
      <c r="D951" s="2" t="s">
        <v>3618</v>
      </c>
      <c r="E951" s="71">
        <v>0</v>
      </c>
      <c r="F951" s="71">
        <v>3</v>
      </c>
      <c r="G951" s="2" t="s">
        <v>3629</v>
      </c>
      <c r="H951" s="73" t="s">
        <v>3630</v>
      </c>
      <c r="I951" s="100" t="s">
        <v>3631</v>
      </c>
      <c r="J951" s="2" t="s">
        <v>23</v>
      </c>
      <c r="K951" s="2" t="s">
        <v>23</v>
      </c>
      <c r="M951" s="2" t="s">
        <v>24</v>
      </c>
      <c r="N951" s="2" t="s">
        <v>25</v>
      </c>
      <c r="O951" s="5" t="s">
        <v>1450</v>
      </c>
      <c r="P951" s="7">
        <v>0</v>
      </c>
      <c r="Q951" s="99" t="s">
        <v>3632</v>
      </c>
    </row>
    <row r="952" spans="1:17" ht="15" customHeight="1">
      <c r="A952" s="72"/>
      <c r="C952" s="72"/>
      <c r="E952" s="72"/>
      <c r="F952" s="72"/>
      <c r="H952" s="87" t="s">
        <v>234</v>
      </c>
      <c r="I952" s="105"/>
      <c r="O952" s="5"/>
      <c r="P952" s="7"/>
      <c r="Q952" s="99"/>
    </row>
    <row r="953" spans="1:17" ht="15" customHeight="1">
      <c r="A953" s="21">
        <v>17</v>
      </c>
      <c r="B953" s="2" t="s">
        <v>3633</v>
      </c>
      <c r="C953" s="21">
        <v>0</v>
      </c>
      <c r="D953" s="2" t="s">
        <v>3634</v>
      </c>
      <c r="E953" s="14">
        <v>0</v>
      </c>
      <c r="F953" s="21">
        <v>0</v>
      </c>
      <c r="G953" s="2" t="s">
        <v>20</v>
      </c>
      <c r="H953" s="23" t="s">
        <v>3635</v>
      </c>
      <c r="I953" s="34" t="s">
        <v>3636</v>
      </c>
      <c r="J953" s="2" t="s">
        <v>23</v>
      </c>
      <c r="K953" s="2" t="s">
        <v>23</v>
      </c>
      <c r="M953" s="2" t="s">
        <v>24</v>
      </c>
      <c r="N953" s="2" t="s">
        <v>25</v>
      </c>
      <c r="O953" s="27" t="s">
        <v>26</v>
      </c>
      <c r="P953" s="26">
        <v>1</v>
      </c>
      <c r="Q953" s="1" t="s">
        <v>3637</v>
      </c>
    </row>
    <row r="954" spans="1:17" ht="15" customHeight="1">
      <c r="A954" s="21">
        <v>17</v>
      </c>
      <c r="B954" s="2" t="s">
        <v>3633</v>
      </c>
      <c r="C954" s="21">
        <v>0</v>
      </c>
      <c r="D954" s="2" t="s">
        <v>3634</v>
      </c>
      <c r="E954" s="14">
        <v>0</v>
      </c>
      <c r="F954" s="21">
        <v>1</v>
      </c>
      <c r="G954" s="2" t="s">
        <v>859</v>
      </c>
      <c r="H954" s="23" t="s">
        <v>3638</v>
      </c>
      <c r="I954" s="101" t="s">
        <v>3639</v>
      </c>
      <c r="J954" s="2" t="s">
        <v>23</v>
      </c>
      <c r="K954" s="2" t="s">
        <v>23</v>
      </c>
      <c r="M954" s="2" t="s">
        <v>24</v>
      </c>
      <c r="N954" s="2" t="s">
        <v>3640</v>
      </c>
      <c r="P954" s="26">
        <v>1</v>
      </c>
      <c r="Q954" s="99" t="s">
        <v>3641</v>
      </c>
    </row>
    <row r="955" spans="1:17" ht="15" customHeight="1">
      <c r="A955" s="21">
        <v>17</v>
      </c>
      <c r="B955" s="2" t="s">
        <v>3633</v>
      </c>
      <c r="C955" s="21">
        <v>0</v>
      </c>
      <c r="D955" s="2" t="s">
        <v>3634</v>
      </c>
      <c r="E955" s="14">
        <v>0</v>
      </c>
      <c r="F955" s="21">
        <v>2</v>
      </c>
      <c r="G955" s="2" t="s">
        <v>3642</v>
      </c>
      <c r="H955" s="23" t="s">
        <v>3643</v>
      </c>
      <c r="I955" s="101" t="s">
        <v>3644</v>
      </c>
      <c r="J955" s="2" t="s">
        <v>23</v>
      </c>
      <c r="K955" s="2" t="s">
        <v>23</v>
      </c>
      <c r="M955" s="25" t="s">
        <v>24</v>
      </c>
      <c r="N955" s="2" t="s">
        <v>3640</v>
      </c>
      <c r="P955" s="26">
        <v>1</v>
      </c>
      <c r="Q955" s="99" t="s">
        <v>3645</v>
      </c>
    </row>
    <row r="956" spans="1:17" ht="15" customHeight="1">
      <c r="A956" s="21">
        <v>17</v>
      </c>
      <c r="B956" s="2" t="s">
        <v>3633</v>
      </c>
      <c r="C956" s="21">
        <v>0</v>
      </c>
      <c r="D956" s="2" t="s">
        <v>3634</v>
      </c>
      <c r="E956" s="14">
        <v>0</v>
      </c>
      <c r="F956" s="21">
        <v>3</v>
      </c>
      <c r="G956" s="2" t="s">
        <v>3646</v>
      </c>
      <c r="H956" s="23" t="s">
        <v>3647</v>
      </c>
      <c r="I956" s="101" t="s">
        <v>3648</v>
      </c>
      <c r="J956" s="2" t="s">
        <v>23</v>
      </c>
      <c r="K956" s="2" t="s">
        <v>23</v>
      </c>
      <c r="M956" s="25" t="s">
        <v>24</v>
      </c>
      <c r="N956" s="2" t="s">
        <v>3649</v>
      </c>
      <c r="O956" s="27"/>
      <c r="P956" s="26">
        <v>1</v>
      </c>
      <c r="Q956" s="99" t="s">
        <v>3650</v>
      </c>
    </row>
    <row r="957" spans="1:17" ht="15" customHeight="1">
      <c r="A957" s="21">
        <v>17</v>
      </c>
      <c r="B957" s="2" t="s">
        <v>3633</v>
      </c>
      <c r="C957" s="21">
        <v>0</v>
      </c>
      <c r="D957" s="2" t="s">
        <v>3634</v>
      </c>
      <c r="E957" s="14">
        <v>0</v>
      </c>
      <c r="F957" s="21">
        <v>4</v>
      </c>
      <c r="G957" s="2" t="s">
        <v>3651</v>
      </c>
      <c r="H957" s="23" t="s">
        <v>3652</v>
      </c>
      <c r="I957" s="101" t="s">
        <v>3653</v>
      </c>
      <c r="J957" s="2" t="s">
        <v>23</v>
      </c>
      <c r="K957" s="2" t="s">
        <v>23</v>
      </c>
      <c r="M957" s="25" t="s">
        <v>24</v>
      </c>
      <c r="N957" s="2" t="s">
        <v>862</v>
      </c>
      <c r="O957" s="27"/>
      <c r="P957" s="26">
        <v>1</v>
      </c>
      <c r="Q957" s="99" t="s">
        <v>3654</v>
      </c>
    </row>
    <row r="958" spans="1:17" ht="15" customHeight="1">
      <c r="A958" s="21">
        <v>17</v>
      </c>
      <c r="B958" s="2" t="s">
        <v>3633</v>
      </c>
      <c r="C958" s="21">
        <v>0</v>
      </c>
      <c r="D958" s="2" t="s">
        <v>3634</v>
      </c>
      <c r="E958" s="14">
        <v>0</v>
      </c>
      <c r="F958" s="21">
        <v>5</v>
      </c>
      <c r="G958" s="2" t="s">
        <v>3655</v>
      </c>
      <c r="H958" s="23" t="s">
        <v>3656</v>
      </c>
      <c r="I958" s="101" t="s">
        <v>3657</v>
      </c>
      <c r="J958" s="2" t="s">
        <v>23</v>
      </c>
      <c r="K958" s="2" t="s">
        <v>23</v>
      </c>
      <c r="M958" s="25" t="s">
        <v>24</v>
      </c>
      <c r="N958" s="2" t="s">
        <v>862</v>
      </c>
      <c r="O958" s="27"/>
      <c r="P958" s="26">
        <v>1</v>
      </c>
      <c r="Q958" s="99" t="s">
        <v>3658</v>
      </c>
    </row>
    <row r="959" spans="1:17" ht="15" customHeight="1">
      <c r="A959" s="21">
        <v>17</v>
      </c>
      <c r="B959" s="2" t="s">
        <v>3633</v>
      </c>
      <c r="C959" s="21">
        <v>0</v>
      </c>
      <c r="D959" s="2" t="s">
        <v>3634</v>
      </c>
      <c r="E959" s="14">
        <v>0</v>
      </c>
      <c r="F959" s="21">
        <v>6</v>
      </c>
      <c r="G959" s="2" t="s">
        <v>3659</v>
      </c>
      <c r="H959" s="23" t="s">
        <v>3660</v>
      </c>
      <c r="I959" s="101" t="s">
        <v>3661</v>
      </c>
      <c r="J959" s="2" t="s">
        <v>23</v>
      </c>
      <c r="K959" s="2" t="s">
        <v>23</v>
      </c>
      <c r="M959" s="25" t="s">
        <v>24</v>
      </c>
      <c r="N959" s="2" t="s">
        <v>862</v>
      </c>
      <c r="O959" s="27"/>
      <c r="P959" s="26">
        <v>1</v>
      </c>
      <c r="Q959" s="99" t="s">
        <v>3662</v>
      </c>
    </row>
    <row r="960" spans="1:17" ht="15" customHeight="1">
      <c r="A960" s="21">
        <v>17</v>
      </c>
      <c r="B960" s="2" t="s">
        <v>3633</v>
      </c>
      <c r="C960" s="21">
        <v>0</v>
      </c>
      <c r="D960" s="2" t="s">
        <v>3634</v>
      </c>
      <c r="E960" s="14">
        <v>0</v>
      </c>
      <c r="F960" s="21">
        <v>7</v>
      </c>
      <c r="G960" s="2" t="s">
        <v>3663</v>
      </c>
      <c r="H960" s="23" t="s">
        <v>3664</v>
      </c>
      <c r="I960" s="101" t="s">
        <v>3665</v>
      </c>
      <c r="J960" s="2" t="s">
        <v>24</v>
      </c>
      <c r="K960" s="2" t="s">
        <v>206</v>
      </c>
      <c r="L960" s="2" t="s">
        <v>271</v>
      </c>
      <c r="M960" s="2" t="s">
        <v>24</v>
      </c>
      <c r="N960" s="2" t="s">
        <v>206</v>
      </c>
      <c r="O960" s="2" t="s">
        <v>271</v>
      </c>
      <c r="P960" s="26">
        <v>1</v>
      </c>
      <c r="Q960" s="99" t="s">
        <v>3666</v>
      </c>
    </row>
    <row r="961" spans="1:17" ht="15" customHeight="1">
      <c r="A961" s="21">
        <v>17</v>
      </c>
      <c r="B961" s="2" t="s">
        <v>3633</v>
      </c>
      <c r="C961" s="21">
        <v>0</v>
      </c>
      <c r="D961" s="2" t="s">
        <v>3634</v>
      </c>
      <c r="E961" s="14">
        <v>0</v>
      </c>
      <c r="F961" s="21">
        <v>8</v>
      </c>
      <c r="G961" s="2" t="s">
        <v>3667</v>
      </c>
      <c r="H961" s="23" t="s">
        <v>3668</v>
      </c>
      <c r="I961" s="101" t="s">
        <v>3669</v>
      </c>
      <c r="J961" s="2" t="s">
        <v>24</v>
      </c>
      <c r="K961" s="2" t="s">
        <v>206</v>
      </c>
      <c r="L961" s="2" t="s">
        <v>271</v>
      </c>
      <c r="M961" s="2" t="s">
        <v>24</v>
      </c>
      <c r="N961" s="2" t="s">
        <v>206</v>
      </c>
      <c r="O961" s="2" t="s">
        <v>271</v>
      </c>
      <c r="P961" s="26">
        <v>1</v>
      </c>
      <c r="Q961" s="99" t="s">
        <v>3670</v>
      </c>
    </row>
    <row r="962" spans="1:17" ht="15" customHeight="1">
      <c r="A962" s="21">
        <v>17</v>
      </c>
      <c r="B962" s="2" t="s">
        <v>3633</v>
      </c>
      <c r="C962" s="21">
        <v>0</v>
      </c>
      <c r="D962" s="2" t="s">
        <v>3634</v>
      </c>
      <c r="E962" s="14">
        <v>0</v>
      </c>
      <c r="F962" s="21">
        <v>9</v>
      </c>
      <c r="G962" s="2" t="s">
        <v>3671</v>
      </c>
      <c r="H962" s="23" t="s">
        <v>3672</v>
      </c>
      <c r="I962" s="101" t="s">
        <v>3673</v>
      </c>
      <c r="J962" s="2" t="s">
        <v>24</v>
      </c>
      <c r="K962" s="2" t="s">
        <v>206</v>
      </c>
      <c r="L962" s="2" t="s">
        <v>271</v>
      </c>
      <c r="M962" s="2" t="s">
        <v>24</v>
      </c>
      <c r="N962" s="2" t="s">
        <v>206</v>
      </c>
      <c r="O962" s="2" t="s">
        <v>271</v>
      </c>
      <c r="P962" s="26">
        <v>1</v>
      </c>
      <c r="Q962" s="99" t="s">
        <v>3674</v>
      </c>
    </row>
    <row r="963" spans="1:17" ht="15" customHeight="1">
      <c r="A963" s="72"/>
      <c r="C963" s="72"/>
      <c r="E963" s="86"/>
      <c r="F963" s="72"/>
      <c r="H963" s="87" t="s">
        <v>234</v>
      </c>
      <c r="I963" s="105"/>
      <c r="P963" s="26"/>
      <c r="Q963" s="99"/>
    </row>
    <row r="964" spans="1:17" ht="15" customHeight="1">
      <c r="A964" s="21">
        <v>18</v>
      </c>
      <c r="B964" s="2" t="s">
        <v>3675</v>
      </c>
      <c r="C964" s="21">
        <v>0</v>
      </c>
      <c r="D964" s="2" t="s">
        <v>3676</v>
      </c>
      <c r="E964" s="14">
        <v>0</v>
      </c>
      <c r="F964" s="21">
        <v>0</v>
      </c>
      <c r="G964" s="2" t="s">
        <v>20</v>
      </c>
      <c r="H964" s="23" t="s">
        <v>3677</v>
      </c>
      <c r="I964" s="34" t="s">
        <v>3678</v>
      </c>
      <c r="J964" s="2" t="s">
        <v>23</v>
      </c>
      <c r="K964" s="2" t="s">
        <v>23</v>
      </c>
      <c r="M964" s="2" t="s">
        <v>24</v>
      </c>
      <c r="N964" s="2" t="s">
        <v>25</v>
      </c>
      <c r="O964" s="27" t="s">
        <v>26</v>
      </c>
      <c r="P964" s="26">
        <v>1</v>
      </c>
      <c r="Q964" s="1" t="s">
        <v>3679</v>
      </c>
    </row>
    <row r="965" spans="1:17" ht="15" customHeight="1">
      <c r="A965" s="21">
        <v>18</v>
      </c>
      <c r="B965" s="2" t="s">
        <v>3675</v>
      </c>
      <c r="C965" s="21">
        <v>0</v>
      </c>
      <c r="D965" s="2" t="s">
        <v>3676</v>
      </c>
      <c r="E965" s="14">
        <v>0</v>
      </c>
      <c r="F965" s="21">
        <v>1</v>
      </c>
      <c r="G965" s="2" t="s">
        <v>3680</v>
      </c>
      <c r="H965" s="23" t="s">
        <v>3681</v>
      </c>
      <c r="I965" s="101" t="s">
        <v>3682</v>
      </c>
      <c r="J965" s="2" t="s">
        <v>23</v>
      </c>
      <c r="K965" s="2" t="s">
        <v>23</v>
      </c>
      <c r="M965" s="2" t="s">
        <v>24</v>
      </c>
      <c r="N965" s="2" t="s">
        <v>2384</v>
      </c>
      <c r="P965" s="26">
        <v>1</v>
      </c>
      <c r="Q965" s="99" t="s">
        <v>3683</v>
      </c>
    </row>
    <row r="966" spans="1:17" ht="15" customHeight="1">
      <c r="A966" s="21">
        <v>18</v>
      </c>
      <c r="B966" s="2" t="s">
        <v>3675</v>
      </c>
      <c r="C966" s="21">
        <v>0</v>
      </c>
      <c r="D966" s="2" t="s">
        <v>3676</v>
      </c>
      <c r="E966" s="14">
        <v>0</v>
      </c>
      <c r="F966" s="21">
        <v>2</v>
      </c>
      <c r="G966" s="2" t="s">
        <v>3684</v>
      </c>
      <c r="H966" s="23" t="s">
        <v>3685</v>
      </c>
      <c r="I966" s="101" t="s">
        <v>3686</v>
      </c>
      <c r="J966" s="2" t="s">
        <v>23</v>
      </c>
      <c r="K966" s="2" t="s">
        <v>23</v>
      </c>
      <c r="M966" s="2" t="s">
        <v>24</v>
      </c>
      <c r="N966" s="2" t="s">
        <v>3687</v>
      </c>
      <c r="P966" s="26">
        <v>1</v>
      </c>
      <c r="Q966" s="99" t="s">
        <v>3688</v>
      </c>
    </row>
    <row r="967" spans="1:17" ht="15" customHeight="1">
      <c r="A967" s="21">
        <v>18</v>
      </c>
      <c r="B967" s="2" t="s">
        <v>3675</v>
      </c>
      <c r="C967" s="21">
        <v>0</v>
      </c>
      <c r="D967" s="2" t="s">
        <v>3676</v>
      </c>
      <c r="E967" s="14">
        <v>0</v>
      </c>
      <c r="F967" s="21">
        <v>3</v>
      </c>
      <c r="G967" s="2" t="s">
        <v>3689</v>
      </c>
      <c r="H967" s="23" t="s">
        <v>3690</v>
      </c>
      <c r="I967" s="101" t="s">
        <v>3691</v>
      </c>
      <c r="J967" s="2" t="s">
        <v>23</v>
      </c>
      <c r="K967" s="2" t="s">
        <v>23</v>
      </c>
      <c r="M967" s="2" t="s">
        <v>24</v>
      </c>
      <c r="N967" s="2" t="s">
        <v>2376</v>
      </c>
      <c r="P967" s="26">
        <v>1</v>
      </c>
      <c r="Q967" s="99" t="s">
        <v>3692</v>
      </c>
    </row>
    <row r="968" spans="1:17" ht="15" customHeight="1">
      <c r="A968" s="21">
        <v>18</v>
      </c>
      <c r="B968" s="2" t="s">
        <v>3675</v>
      </c>
      <c r="C968" s="21">
        <v>0</v>
      </c>
      <c r="D968" s="2" t="s">
        <v>3676</v>
      </c>
      <c r="E968" s="14">
        <v>0</v>
      </c>
      <c r="F968" s="21">
        <v>4</v>
      </c>
      <c r="G968" s="2" t="s">
        <v>3693</v>
      </c>
      <c r="H968" s="23" t="s">
        <v>3694</v>
      </c>
      <c r="I968" s="101" t="s">
        <v>3695</v>
      </c>
      <c r="J968" s="2" t="s">
        <v>23</v>
      </c>
      <c r="K968" s="2" t="s">
        <v>23</v>
      </c>
      <c r="M968" s="2" t="s">
        <v>24</v>
      </c>
      <c r="N968" s="2" t="s">
        <v>116</v>
      </c>
      <c r="O968" s="16" t="s">
        <v>3695</v>
      </c>
      <c r="P968" s="26">
        <v>1</v>
      </c>
      <c r="Q968" s="99" t="s">
        <v>3696</v>
      </c>
    </row>
    <row r="969" spans="1:17" ht="15" customHeight="1">
      <c r="A969" s="21">
        <v>18</v>
      </c>
      <c r="B969" s="2" t="s">
        <v>3675</v>
      </c>
      <c r="C969" s="21">
        <v>0</v>
      </c>
      <c r="D969" s="2" t="s">
        <v>3676</v>
      </c>
      <c r="E969" s="14">
        <v>0</v>
      </c>
      <c r="F969" s="21">
        <v>5</v>
      </c>
      <c r="G969" s="2" t="s">
        <v>3697</v>
      </c>
      <c r="H969" s="23" t="s">
        <v>3698</v>
      </c>
      <c r="I969" s="101" t="s">
        <v>3699</v>
      </c>
      <c r="J969" s="2" t="s">
        <v>23</v>
      </c>
      <c r="K969" s="2" t="s">
        <v>23</v>
      </c>
      <c r="M969" s="2" t="s">
        <v>24</v>
      </c>
      <c r="N969" s="2" t="s">
        <v>206</v>
      </c>
      <c r="O969" s="2" t="s">
        <v>271</v>
      </c>
      <c r="P969" s="26">
        <v>1</v>
      </c>
      <c r="Q969" s="99" t="s">
        <v>3700</v>
      </c>
    </row>
    <row r="970" spans="1:17" ht="15" customHeight="1">
      <c r="A970" s="21">
        <v>18</v>
      </c>
      <c r="B970" s="2" t="s">
        <v>3675</v>
      </c>
      <c r="C970" s="21">
        <v>0</v>
      </c>
      <c r="D970" s="2" t="s">
        <v>3676</v>
      </c>
      <c r="E970" s="14">
        <v>0</v>
      </c>
      <c r="F970" s="21">
        <v>6</v>
      </c>
      <c r="G970" s="2" t="s">
        <v>3701</v>
      </c>
      <c r="H970" s="23" t="s">
        <v>3702</v>
      </c>
      <c r="I970" s="101" t="s">
        <v>3703</v>
      </c>
      <c r="J970" s="2" t="s">
        <v>23</v>
      </c>
      <c r="K970" s="2" t="s">
        <v>23</v>
      </c>
      <c r="M970" s="2" t="s">
        <v>24</v>
      </c>
      <c r="N970" s="2" t="s">
        <v>23</v>
      </c>
      <c r="P970" s="26">
        <v>1</v>
      </c>
      <c r="Q970" s="99" t="s">
        <v>3704</v>
      </c>
    </row>
    <row r="971" spans="1:17" ht="15" customHeight="1">
      <c r="A971" s="21">
        <v>18</v>
      </c>
      <c r="B971" s="2" t="s">
        <v>3675</v>
      </c>
      <c r="C971" s="21">
        <v>0</v>
      </c>
      <c r="D971" s="2" t="s">
        <v>3676</v>
      </c>
      <c r="E971" s="14">
        <v>0</v>
      </c>
      <c r="F971" s="21">
        <v>7</v>
      </c>
      <c r="G971" s="2" t="s">
        <v>1512</v>
      </c>
      <c r="H971" s="23" t="s">
        <v>3705</v>
      </c>
      <c r="I971" s="101" t="s">
        <v>3706</v>
      </c>
      <c r="J971" s="2" t="s">
        <v>23</v>
      </c>
      <c r="K971" s="2" t="s">
        <v>23</v>
      </c>
      <c r="M971" s="2" t="s">
        <v>24</v>
      </c>
      <c r="N971" s="2" t="s">
        <v>23</v>
      </c>
      <c r="P971" s="26">
        <v>1</v>
      </c>
      <c r="Q971" s="99" t="s">
        <v>3707</v>
      </c>
    </row>
    <row r="972" spans="1:17" ht="15" customHeight="1">
      <c r="A972" s="72"/>
      <c r="C972" s="72"/>
      <c r="E972" s="86"/>
      <c r="F972" s="72"/>
      <c r="H972" s="87" t="s">
        <v>234</v>
      </c>
      <c r="I972" s="105"/>
      <c r="P972" s="26"/>
      <c r="Q972" s="99"/>
    </row>
    <row r="973" spans="1:17" ht="15" customHeight="1">
      <c r="A973" s="21">
        <v>19</v>
      </c>
      <c r="B973" s="2" t="s">
        <v>3708</v>
      </c>
      <c r="C973" s="21">
        <v>0</v>
      </c>
      <c r="D973" s="2" t="s">
        <v>1803</v>
      </c>
      <c r="E973" s="14">
        <v>0</v>
      </c>
      <c r="F973" s="21">
        <v>0</v>
      </c>
      <c r="G973" s="2" t="s">
        <v>20</v>
      </c>
      <c r="H973" s="23" t="s">
        <v>3709</v>
      </c>
      <c r="I973" s="34" t="s">
        <v>3710</v>
      </c>
      <c r="J973" s="2" t="s">
        <v>23</v>
      </c>
      <c r="K973" s="2" t="s">
        <v>23</v>
      </c>
      <c r="M973" s="2" t="s">
        <v>24</v>
      </c>
      <c r="N973" s="2" t="s">
        <v>25</v>
      </c>
      <c r="O973" s="27" t="s">
        <v>26</v>
      </c>
      <c r="P973" s="26">
        <v>1</v>
      </c>
      <c r="Q973" s="1" t="s">
        <v>3711</v>
      </c>
    </row>
    <row r="974" spans="1:17" ht="15" customHeight="1">
      <c r="A974" s="21">
        <v>19</v>
      </c>
      <c r="B974" s="2" t="s">
        <v>3708</v>
      </c>
      <c r="C974" s="21">
        <v>0</v>
      </c>
      <c r="D974" s="2" t="s">
        <v>1803</v>
      </c>
      <c r="E974" s="14">
        <v>0</v>
      </c>
      <c r="F974" s="21">
        <v>1</v>
      </c>
      <c r="G974" s="2" t="s">
        <v>467</v>
      </c>
      <c r="H974" s="23" t="s">
        <v>3712</v>
      </c>
      <c r="I974" s="101" t="s">
        <v>3713</v>
      </c>
      <c r="J974" s="2" t="s">
        <v>23</v>
      </c>
      <c r="K974" s="2" t="s">
        <v>23</v>
      </c>
      <c r="M974" s="2" t="s">
        <v>24</v>
      </c>
      <c r="N974" s="2" t="s">
        <v>139</v>
      </c>
      <c r="O974" s="27"/>
      <c r="P974" s="7">
        <v>1</v>
      </c>
      <c r="Q974" s="103" t="s">
        <v>3714</v>
      </c>
    </row>
    <row r="975" spans="1:17" ht="15" customHeight="1">
      <c r="A975" s="21">
        <v>19</v>
      </c>
      <c r="B975" s="2" t="s">
        <v>3708</v>
      </c>
      <c r="C975" s="21">
        <v>0</v>
      </c>
      <c r="D975" s="2" t="s">
        <v>1803</v>
      </c>
      <c r="E975" s="14">
        <v>0</v>
      </c>
      <c r="F975" s="21">
        <v>2</v>
      </c>
      <c r="G975" s="2" t="s">
        <v>3715</v>
      </c>
      <c r="H975" s="23" t="s">
        <v>3716</v>
      </c>
      <c r="I975" s="101" t="s">
        <v>3717</v>
      </c>
      <c r="J975" s="2" t="s">
        <v>23</v>
      </c>
      <c r="K975" s="2" t="s">
        <v>23</v>
      </c>
      <c r="M975" s="2" t="s">
        <v>24</v>
      </c>
      <c r="N975" s="2" t="s">
        <v>139</v>
      </c>
      <c r="O975" s="27"/>
      <c r="P975" s="7">
        <v>1</v>
      </c>
      <c r="Q975" s="103" t="s">
        <v>3718</v>
      </c>
    </row>
    <row r="976" spans="1:17" ht="15" customHeight="1">
      <c r="A976" s="21">
        <v>19</v>
      </c>
      <c r="B976" s="2" t="s">
        <v>3708</v>
      </c>
      <c r="C976" s="21">
        <v>0</v>
      </c>
      <c r="D976" s="2" t="s">
        <v>1803</v>
      </c>
      <c r="E976" s="14">
        <v>0</v>
      </c>
      <c r="F976" s="21">
        <v>3</v>
      </c>
      <c r="G976" s="2" t="s">
        <v>3719</v>
      </c>
      <c r="H976" s="23" t="s">
        <v>3720</v>
      </c>
      <c r="I976" s="101" t="s">
        <v>3721</v>
      </c>
      <c r="J976" s="2" t="s">
        <v>23</v>
      </c>
      <c r="K976" s="2" t="s">
        <v>23</v>
      </c>
      <c r="M976" s="2" t="s">
        <v>24</v>
      </c>
      <c r="N976" s="2" t="s">
        <v>3722</v>
      </c>
      <c r="P976" s="7">
        <v>1</v>
      </c>
      <c r="Q976" s="103" t="s">
        <v>3723</v>
      </c>
    </row>
    <row r="977" spans="1:17" ht="15" customHeight="1">
      <c r="A977" s="21">
        <v>19</v>
      </c>
      <c r="B977" s="2" t="s">
        <v>3708</v>
      </c>
      <c r="C977" s="21">
        <v>0</v>
      </c>
      <c r="D977" s="2" t="s">
        <v>1803</v>
      </c>
      <c r="E977" s="14">
        <v>0</v>
      </c>
      <c r="F977" s="21">
        <v>4</v>
      </c>
      <c r="G977" s="2" t="s">
        <v>3724</v>
      </c>
      <c r="H977" s="23" t="s">
        <v>3725</v>
      </c>
      <c r="I977" s="101" t="s">
        <v>3726</v>
      </c>
      <c r="J977" s="2" t="s">
        <v>23</v>
      </c>
      <c r="K977" s="2" t="s">
        <v>23</v>
      </c>
      <c r="M977" s="2" t="s">
        <v>24</v>
      </c>
      <c r="N977" s="2" t="s">
        <v>1900</v>
      </c>
      <c r="P977" s="7">
        <v>1</v>
      </c>
      <c r="Q977" s="103" t="s">
        <v>3727</v>
      </c>
    </row>
    <row r="978" spans="1:17" ht="15" customHeight="1">
      <c r="A978" s="21">
        <v>19</v>
      </c>
      <c r="B978" s="2" t="s">
        <v>3708</v>
      </c>
      <c r="C978" s="21">
        <v>0</v>
      </c>
      <c r="D978" s="2" t="s">
        <v>1803</v>
      </c>
      <c r="E978" s="14">
        <v>0</v>
      </c>
      <c r="F978" s="21">
        <v>5</v>
      </c>
      <c r="G978" s="2" t="s">
        <v>3728</v>
      </c>
      <c r="H978" s="23" t="s">
        <v>3729</v>
      </c>
      <c r="I978" s="101" t="s">
        <v>3730</v>
      </c>
      <c r="J978" s="2" t="s">
        <v>23</v>
      </c>
      <c r="K978" s="2" t="s">
        <v>23</v>
      </c>
      <c r="M978" s="2" t="s">
        <v>24</v>
      </c>
      <c r="N978" s="2" t="s">
        <v>206</v>
      </c>
      <c r="O978" s="2" t="s">
        <v>271</v>
      </c>
      <c r="P978" s="26">
        <v>1</v>
      </c>
      <c r="Q978" s="103" t="s">
        <v>3731</v>
      </c>
    </row>
    <row r="979" spans="1:17" ht="15" customHeight="1">
      <c r="A979" s="21">
        <v>19</v>
      </c>
      <c r="B979" s="2" t="s">
        <v>3708</v>
      </c>
      <c r="C979" s="21">
        <v>0</v>
      </c>
      <c r="D979" s="2" t="s">
        <v>1803</v>
      </c>
      <c r="E979" s="14">
        <v>0</v>
      </c>
      <c r="F979" s="21">
        <v>6</v>
      </c>
      <c r="G979" s="2" t="s">
        <v>3732</v>
      </c>
      <c r="H979" s="23" t="s">
        <v>3733</v>
      </c>
      <c r="I979" s="101" t="s">
        <v>3734</v>
      </c>
      <c r="J979" s="2" t="s">
        <v>23</v>
      </c>
      <c r="K979" s="2" t="s">
        <v>23</v>
      </c>
      <c r="M979" s="2" t="s">
        <v>24</v>
      </c>
      <c r="N979" s="2" t="s">
        <v>3649</v>
      </c>
      <c r="P979" s="26">
        <v>1</v>
      </c>
      <c r="Q979" s="103" t="s">
        <v>3735</v>
      </c>
    </row>
    <row r="980" spans="1:17" ht="15" customHeight="1">
      <c r="A980" s="21">
        <v>19</v>
      </c>
      <c r="B980" s="2" t="s">
        <v>3708</v>
      </c>
      <c r="C980" s="21">
        <v>0</v>
      </c>
      <c r="D980" s="2" t="s">
        <v>1803</v>
      </c>
      <c r="E980" s="14">
        <v>0</v>
      </c>
      <c r="F980" s="21">
        <v>7</v>
      </c>
      <c r="G980" s="2" t="s">
        <v>3736</v>
      </c>
      <c r="H980" s="23" t="s">
        <v>3737</v>
      </c>
      <c r="I980" s="101" t="s">
        <v>3738</v>
      </c>
      <c r="J980" s="2" t="s">
        <v>23</v>
      </c>
      <c r="K980" s="2" t="s">
        <v>23</v>
      </c>
      <c r="M980" s="2" t="s">
        <v>24</v>
      </c>
      <c r="N980" s="2" t="s">
        <v>862</v>
      </c>
      <c r="P980" s="26">
        <v>1</v>
      </c>
      <c r="Q980" s="103" t="s">
        <v>3739</v>
      </c>
    </row>
    <row r="981" spans="1:17" ht="15" customHeight="1">
      <c r="A981" s="21">
        <v>19</v>
      </c>
      <c r="B981" s="2" t="s">
        <v>3708</v>
      </c>
      <c r="C981" s="21">
        <v>0</v>
      </c>
      <c r="D981" s="2" t="s">
        <v>1803</v>
      </c>
      <c r="E981" s="14">
        <v>0</v>
      </c>
      <c r="F981" s="21">
        <v>8</v>
      </c>
      <c r="G981" s="2" t="s">
        <v>3740</v>
      </c>
      <c r="H981" s="79" t="s">
        <v>3741</v>
      </c>
      <c r="I981" s="101" t="s">
        <v>3742</v>
      </c>
      <c r="J981" s="2" t="s">
        <v>23</v>
      </c>
      <c r="K981" s="2" t="s">
        <v>23</v>
      </c>
      <c r="M981" s="2" t="s">
        <v>24</v>
      </c>
      <c r="N981" s="2" t="s">
        <v>3743</v>
      </c>
      <c r="P981" s="26">
        <v>1</v>
      </c>
      <c r="Q981" s="103" t="s">
        <v>3744</v>
      </c>
    </row>
    <row r="982" spans="1:17" ht="15" customHeight="1">
      <c r="A982" s="21">
        <v>19</v>
      </c>
      <c r="B982" s="2" t="s">
        <v>3708</v>
      </c>
      <c r="C982" s="21">
        <v>0</v>
      </c>
      <c r="D982" s="2" t="s">
        <v>1803</v>
      </c>
      <c r="E982" s="14">
        <v>0</v>
      </c>
      <c r="F982" s="21">
        <v>9</v>
      </c>
      <c r="G982" s="2" t="s">
        <v>3745</v>
      </c>
      <c r="H982" s="79" t="s">
        <v>3746</v>
      </c>
      <c r="I982" s="101" t="s">
        <v>3747</v>
      </c>
      <c r="J982" s="2" t="s">
        <v>23</v>
      </c>
      <c r="K982" s="2" t="s">
        <v>23</v>
      </c>
      <c r="M982" s="2" t="s">
        <v>24</v>
      </c>
      <c r="N982" s="2" t="s">
        <v>3743</v>
      </c>
      <c r="P982" s="26">
        <v>1</v>
      </c>
      <c r="Q982" s="103" t="s">
        <v>3748</v>
      </c>
    </row>
    <row r="983" spans="1:17" ht="15" customHeight="1">
      <c r="A983" s="21">
        <v>19</v>
      </c>
      <c r="B983" s="2" t="s">
        <v>3708</v>
      </c>
      <c r="C983" s="21">
        <v>0</v>
      </c>
      <c r="D983" s="2" t="s">
        <v>1803</v>
      </c>
      <c r="E983" s="14">
        <v>0</v>
      </c>
      <c r="F983" s="21">
        <v>10</v>
      </c>
      <c r="G983" s="2" t="s">
        <v>3749</v>
      </c>
      <c r="H983" s="80" t="s">
        <v>3750</v>
      </c>
      <c r="I983" s="101" t="s">
        <v>3751</v>
      </c>
      <c r="J983" s="2" t="s">
        <v>23</v>
      </c>
      <c r="K983" s="2" t="s">
        <v>23</v>
      </c>
      <c r="M983" s="2" t="s">
        <v>24</v>
      </c>
      <c r="N983" s="2" t="s">
        <v>25</v>
      </c>
      <c r="O983" s="2" t="s">
        <v>3752</v>
      </c>
      <c r="P983" s="26">
        <v>1</v>
      </c>
      <c r="Q983" s="103" t="s">
        <v>3753</v>
      </c>
    </row>
    <row r="984" spans="1:17" ht="15" customHeight="1">
      <c r="A984" s="21">
        <v>19</v>
      </c>
      <c r="B984" s="2" t="s">
        <v>3708</v>
      </c>
      <c r="C984" s="21">
        <v>0</v>
      </c>
      <c r="D984" s="2" t="s">
        <v>1803</v>
      </c>
      <c r="E984" s="14">
        <v>0</v>
      </c>
      <c r="F984" s="21">
        <v>11</v>
      </c>
      <c r="G984" s="2" t="s">
        <v>3754</v>
      </c>
      <c r="H984" s="80" t="s">
        <v>3755</v>
      </c>
      <c r="I984" s="101" t="s">
        <v>3756</v>
      </c>
      <c r="J984" s="2" t="s">
        <v>23</v>
      </c>
      <c r="K984" s="2" t="s">
        <v>23</v>
      </c>
      <c r="M984" s="2" t="s">
        <v>24</v>
      </c>
      <c r="N984" s="2" t="s">
        <v>3649</v>
      </c>
      <c r="P984" s="26">
        <v>1</v>
      </c>
      <c r="Q984" s="103" t="s">
        <v>3757</v>
      </c>
    </row>
    <row r="985" spans="1:17" ht="15" customHeight="1">
      <c r="A985" s="21">
        <v>19</v>
      </c>
      <c r="B985" s="2" t="s">
        <v>3708</v>
      </c>
      <c r="C985" s="21">
        <v>0</v>
      </c>
      <c r="D985" s="2" t="s">
        <v>1803</v>
      </c>
      <c r="E985" s="14">
        <v>0</v>
      </c>
      <c r="F985" s="21">
        <v>12</v>
      </c>
      <c r="G985" s="2" t="s">
        <v>3758</v>
      </c>
      <c r="H985" s="80" t="s">
        <v>3759</v>
      </c>
      <c r="I985" s="101" t="s">
        <v>3760</v>
      </c>
      <c r="J985" s="2" t="s">
        <v>23</v>
      </c>
      <c r="K985" s="2" t="s">
        <v>23</v>
      </c>
      <c r="M985" s="2" t="s">
        <v>24</v>
      </c>
      <c r="N985" s="2" t="s">
        <v>862</v>
      </c>
      <c r="P985" s="26">
        <v>1</v>
      </c>
      <c r="Q985" s="103" t="s">
        <v>3761</v>
      </c>
    </row>
    <row r="986" spans="1:17" ht="15" customHeight="1">
      <c r="A986" s="72"/>
      <c r="C986" s="72"/>
      <c r="E986" s="86"/>
      <c r="F986" s="72"/>
      <c r="H986" s="89" t="s">
        <v>234</v>
      </c>
      <c r="I986" s="105"/>
      <c r="P986" s="26"/>
      <c r="Q986" s="103"/>
    </row>
    <row r="987" spans="1:17" ht="15" customHeight="1">
      <c r="A987" s="21">
        <v>20</v>
      </c>
      <c r="B987" s="2" t="s">
        <v>3762</v>
      </c>
      <c r="C987" s="21">
        <v>0</v>
      </c>
      <c r="D987" s="2" t="s">
        <v>3763</v>
      </c>
      <c r="E987" s="14">
        <v>0</v>
      </c>
      <c r="F987" s="21">
        <v>0</v>
      </c>
      <c r="G987" s="2" t="s">
        <v>20</v>
      </c>
      <c r="H987" s="23" t="s">
        <v>3764</v>
      </c>
      <c r="I987" s="34" t="s">
        <v>3765</v>
      </c>
      <c r="J987" s="2" t="s">
        <v>23</v>
      </c>
      <c r="K987" s="2" t="s">
        <v>23</v>
      </c>
      <c r="M987" s="2" t="s">
        <v>24</v>
      </c>
      <c r="N987" s="2" t="s">
        <v>25</v>
      </c>
      <c r="O987" s="27" t="s">
        <v>26</v>
      </c>
      <c r="P987" s="26">
        <v>1</v>
      </c>
      <c r="Q987" s="1" t="s">
        <v>3766</v>
      </c>
    </row>
    <row r="988" spans="1:17" ht="15" customHeight="1">
      <c r="A988" s="21">
        <v>20</v>
      </c>
      <c r="B988" s="2" t="s">
        <v>3762</v>
      </c>
      <c r="C988" s="21">
        <v>0</v>
      </c>
      <c r="D988" s="2" t="s">
        <v>3763</v>
      </c>
      <c r="E988" s="14">
        <v>0</v>
      </c>
      <c r="F988" s="21">
        <v>1</v>
      </c>
      <c r="G988" s="2" t="s">
        <v>265</v>
      </c>
      <c r="H988" s="23" t="s">
        <v>3767</v>
      </c>
      <c r="I988" s="101" t="s">
        <v>3768</v>
      </c>
      <c r="J988" s="2" t="s">
        <v>24</v>
      </c>
      <c r="K988" s="2" t="s">
        <v>133</v>
      </c>
      <c r="M988" s="2" t="s">
        <v>24</v>
      </c>
      <c r="N988" s="2" t="s">
        <v>133</v>
      </c>
      <c r="O988" s="27"/>
      <c r="P988" s="26">
        <v>1</v>
      </c>
      <c r="Q988" s="99" t="s">
        <v>3769</v>
      </c>
    </row>
    <row r="989" spans="1:17" ht="15" customHeight="1">
      <c r="A989" s="21">
        <v>20</v>
      </c>
      <c r="B989" s="2" t="s">
        <v>3762</v>
      </c>
      <c r="C989" s="21">
        <v>0</v>
      </c>
      <c r="D989" s="2" t="s">
        <v>3763</v>
      </c>
      <c r="E989" s="14">
        <v>0</v>
      </c>
      <c r="F989" s="21">
        <v>2</v>
      </c>
      <c r="G989" s="2" t="s">
        <v>3770</v>
      </c>
      <c r="H989" s="23" t="s">
        <v>3771</v>
      </c>
      <c r="I989" s="101" t="s">
        <v>3772</v>
      </c>
      <c r="J989" s="2" t="s">
        <v>24</v>
      </c>
      <c r="K989" s="2" t="s">
        <v>116</v>
      </c>
      <c r="L989" s="11" t="s">
        <v>3773</v>
      </c>
      <c r="M989" s="2" t="s">
        <v>24</v>
      </c>
      <c r="N989" s="2" t="s">
        <v>116</v>
      </c>
      <c r="O989" s="11" t="s">
        <v>3773</v>
      </c>
      <c r="P989" s="26">
        <v>1</v>
      </c>
      <c r="Q989" s="99" t="s">
        <v>3774</v>
      </c>
    </row>
    <row r="990" spans="1:17" ht="15" customHeight="1">
      <c r="A990" s="21">
        <v>20</v>
      </c>
      <c r="B990" s="2" t="s">
        <v>3762</v>
      </c>
      <c r="C990" s="21">
        <v>0</v>
      </c>
      <c r="D990" s="2" t="s">
        <v>3763</v>
      </c>
      <c r="E990" s="14">
        <v>0</v>
      </c>
      <c r="F990" s="21">
        <v>3</v>
      </c>
      <c r="G990" s="2" t="s">
        <v>2901</v>
      </c>
      <c r="H990" s="23" t="s">
        <v>3775</v>
      </c>
      <c r="I990" s="101" t="s">
        <v>3776</v>
      </c>
      <c r="J990" s="2" t="s">
        <v>24</v>
      </c>
      <c r="K990" s="2" t="s">
        <v>116</v>
      </c>
      <c r="L990" s="11" t="s">
        <v>3776</v>
      </c>
      <c r="M990" s="2" t="s">
        <v>24</v>
      </c>
      <c r="N990" s="2" t="s">
        <v>116</v>
      </c>
      <c r="O990" s="11" t="s">
        <v>3776</v>
      </c>
      <c r="P990" s="26">
        <v>1</v>
      </c>
      <c r="Q990" s="99" t="s">
        <v>3777</v>
      </c>
    </row>
    <row r="991" spans="1:17" ht="15" customHeight="1">
      <c r="A991" s="21">
        <v>20</v>
      </c>
      <c r="B991" s="2" t="s">
        <v>3762</v>
      </c>
      <c r="C991" s="21">
        <v>0</v>
      </c>
      <c r="D991" s="2" t="s">
        <v>3763</v>
      </c>
      <c r="E991" s="14">
        <v>0</v>
      </c>
      <c r="F991" s="21">
        <v>4</v>
      </c>
      <c r="G991" s="2" t="s">
        <v>268</v>
      </c>
      <c r="H991" s="23" t="s">
        <v>3778</v>
      </c>
      <c r="I991" s="101" t="s">
        <v>3779</v>
      </c>
      <c r="J991" s="2" t="s">
        <v>24</v>
      </c>
      <c r="K991" s="2" t="s">
        <v>206</v>
      </c>
      <c r="M991" s="2" t="s">
        <v>24</v>
      </c>
      <c r="N991" s="2" t="s">
        <v>206</v>
      </c>
      <c r="O991" s="11"/>
      <c r="P991" s="26">
        <v>1</v>
      </c>
      <c r="Q991" s="99" t="s">
        <v>3780</v>
      </c>
    </row>
    <row r="992" spans="1:17" ht="15" customHeight="1">
      <c r="A992" s="21">
        <v>20</v>
      </c>
      <c r="B992" s="2" t="s">
        <v>3762</v>
      </c>
      <c r="C992" s="21">
        <v>0</v>
      </c>
      <c r="D992" s="2" t="s">
        <v>3763</v>
      </c>
      <c r="E992" s="14">
        <v>0</v>
      </c>
      <c r="F992" s="21">
        <v>5</v>
      </c>
      <c r="G992" s="2" t="s">
        <v>291</v>
      </c>
      <c r="H992" s="23" t="s">
        <v>3781</v>
      </c>
      <c r="I992" s="101" t="s">
        <v>3782</v>
      </c>
      <c r="J992" s="2" t="s">
        <v>24</v>
      </c>
      <c r="K992" s="2" t="s">
        <v>206</v>
      </c>
      <c r="M992" s="2" t="s">
        <v>24</v>
      </c>
      <c r="N992" s="2" t="s">
        <v>206</v>
      </c>
      <c r="O992" s="11"/>
      <c r="P992" s="26">
        <v>1</v>
      </c>
      <c r="Q992" s="99" t="s">
        <v>3783</v>
      </c>
    </row>
    <row r="993" spans="1:18" ht="15" customHeight="1">
      <c r="A993" s="21">
        <v>20</v>
      </c>
      <c r="B993" s="2" t="s">
        <v>3762</v>
      </c>
      <c r="C993" s="21">
        <v>0</v>
      </c>
      <c r="D993" s="2" t="s">
        <v>3763</v>
      </c>
      <c r="E993" s="14">
        <v>0</v>
      </c>
      <c r="F993" s="21">
        <v>6</v>
      </c>
      <c r="G993" s="2" t="s">
        <v>3784</v>
      </c>
      <c r="H993" s="23" t="s">
        <v>3785</v>
      </c>
      <c r="I993" s="101" t="s">
        <v>3786</v>
      </c>
      <c r="J993" s="2" t="s">
        <v>32</v>
      </c>
      <c r="K993" s="2" t="s">
        <v>23</v>
      </c>
      <c r="M993" s="2" t="s">
        <v>32</v>
      </c>
      <c r="N993" s="2" t="s">
        <v>23</v>
      </c>
      <c r="O993" s="11"/>
      <c r="P993" s="26">
        <v>1</v>
      </c>
      <c r="Q993" s="99" t="s">
        <v>3787</v>
      </c>
      <c r="R993" s="2" t="s">
        <v>1354</v>
      </c>
    </row>
    <row r="994" spans="1:18" ht="15" customHeight="1">
      <c r="A994" s="21">
        <v>20</v>
      </c>
      <c r="B994" s="2" t="s">
        <v>3762</v>
      </c>
      <c r="C994" s="21">
        <v>0</v>
      </c>
      <c r="D994" s="2" t="s">
        <v>3763</v>
      </c>
      <c r="E994" s="14">
        <v>0</v>
      </c>
      <c r="F994" s="21">
        <v>7</v>
      </c>
      <c r="G994" s="2" t="s">
        <v>3788</v>
      </c>
      <c r="H994" s="23" t="s">
        <v>3789</v>
      </c>
      <c r="I994" s="101" t="s">
        <v>3790</v>
      </c>
      <c r="J994" s="2" t="s">
        <v>32</v>
      </c>
      <c r="K994" s="2" t="s">
        <v>23</v>
      </c>
      <c r="M994" s="2" t="s">
        <v>32</v>
      </c>
      <c r="N994" s="2" t="s">
        <v>23</v>
      </c>
      <c r="O994" s="11"/>
      <c r="P994" s="26">
        <v>1</v>
      </c>
      <c r="Q994" s="99" t="s">
        <v>3791</v>
      </c>
      <c r="R994" s="2" t="s">
        <v>1359</v>
      </c>
    </row>
    <row r="995" spans="1:18" ht="15" customHeight="1">
      <c r="A995" s="21">
        <v>20</v>
      </c>
      <c r="B995" s="2" t="s">
        <v>3762</v>
      </c>
      <c r="C995" s="21">
        <v>0</v>
      </c>
      <c r="D995" s="2" t="s">
        <v>3763</v>
      </c>
      <c r="E995" s="14">
        <v>0</v>
      </c>
      <c r="F995" s="21">
        <v>8</v>
      </c>
      <c r="G995" s="2" t="s">
        <v>3792</v>
      </c>
      <c r="H995" s="23" t="s">
        <v>3793</v>
      </c>
      <c r="I995" s="101" t="s">
        <v>3794</v>
      </c>
      <c r="J995" s="2" t="s">
        <v>32</v>
      </c>
      <c r="K995" s="2" t="s">
        <v>23</v>
      </c>
      <c r="M995" s="2" t="s">
        <v>32</v>
      </c>
      <c r="N995" s="2" t="s">
        <v>23</v>
      </c>
      <c r="O995" s="11"/>
      <c r="P995" s="26">
        <v>1</v>
      </c>
      <c r="Q995" s="99" t="s">
        <v>3795</v>
      </c>
      <c r="R995" s="2" t="s">
        <v>1364</v>
      </c>
    </row>
    <row r="996" spans="1:18" ht="15" customHeight="1">
      <c r="A996" s="21">
        <v>20</v>
      </c>
      <c r="B996" s="2" t="s">
        <v>3762</v>
      </c>
      <c r="C996" s="21">
        <v>0</v>
      </c>
      <c r="D996" s="2" t="s">
        <v>3763</v>
      </c>
      <c r="E996" s="14">
        <v>0</v>
      </c>
      <c r="F996" s="21">
        <v>9</v>
      </c>
      <c r="G996" s="2" t="s">
        <v>3796</v>
      </c>
      <c r="H996" s="23" t="s">
        <v>3797</v>
      </c>
      <c r="I996" s="101" t="s">
        <v>3798</v>
      </c>
      <c r="J996" s="2" t="s">
        <v>24</v>
      </c>
      <c r="K996" s="2" t="s">
        <v>25</v>
      </c>
      <c r="L996" s="27"/>
      <c r="M996" s="2" t="s">
        <v>24</v>
      </c>
      <c r="N996" s="2" t="s">
        <v>25</v>
      </c>
      <c r="O996" s="27" t="s">
        <v>3799</v>
      </c>
      <c r="P996" s="26">
        <v>1</v>
      </c>
      <c r="Q996" s="99" t="s">
        <v>3800</v>
      </c>
    </row>
    <row r="997" spans="1:18" ht="15" customHeight="1">
      <c r="A997" s="21">
        <v>20</v>
      </c>
      <c r="B997" s="2" t="s">
        <v>3762</v>
      </c>
      <c r="C997" s="21">
        <v>0</v>
      </c>
      <c r="D997" s="2" t="s">
        <v>3763</v>
      </c>
      <c r="E997" s="14">
        <v>0</v>
      </c>
      <c r="F997" s="21">
        <v>10</v>
      </c>
      <c r="G997" s="2" t="s">
        <v>3801</v>
      </c>
      <c r="H997" s="23" t="s">
        <v>3802</v>
      </c>
      <c r="I997" s="101" t="s">
        <v>3803</v>
      </c>
      <c r="J997" s="2" t="s">
        <v>24</v>
      </c>
      <c r="K997" s="2" t="s">
        <v>25</v>
      </c>
      <c r="L997" s="27"/>
      <c r="M997" s="2" t="s">
        <v>24</v>
      </c>
      <c r="N997" s="2" t="s">
        <v>25</v>
      </c>
      <c r="O997" s="27" t="s">
        <v>2556</v>
      </c>
      <c r="P997" s="26">
        <v>1</v>
      </c>
      <c r="Q997" s="99" t="s">
        <v>3804</v>
      </c>
    </row>
    <row r="998" spans="1:18" ht="15" customHeight="1">
      <c r="A998" s="21">
        <v>20</v>
      </c>
      <c r="B998" s="2" t="s">
        <v>3762</v>
      </c>
      <c r="C998" s="21">
        <v>0</v>
      </c>
      <c r="D998" s="2" t="s">
        <v>3763</v>
      </c>
      <c r="E998" s="14">
        <v>0</v>
      </c>
      <c r="F998" s="21">
        <v>11</v>
      </c>
      <c r="G998" s="2" t="s">
        <v>3805</v>
      </c>
      <c r="H998" s="23" t="s">
        <v>3806</v>
      </c>
      <c r="I998" s="101" t="s">
        <v>3807</v>
      </c>
      <c r="J998" s="2" t="s">
        <v>24</v>
      </c>
      <c r="K998" s="2" t="s">
        <v>133</v>
      </c>
      <c r="M998" s="2" t="s">
        <v>24</v>
      </c>
      <c r="N998" s="2" t="s">
        <v>133</v>
      </c>
      <c r="O998" s="27"/>
      <c r="P998" s="26">
        <v>1</v>
      </c>
      <c r="Q998" s="99" t="s">
        <v>3808</v>
      </c>
    </row>
    <row r="999" spans="1:18" ht="15" customHeight="1">
      <c r="A999" s="21">
        <v>20</v>
      </c>
      <c r="B999" s="2" t="s">
        <v>3762</v>
      </c>
      <c r="C999" s="21">
        <v>0</v>
      </c>
      <c r="D999" s="2" t="s">
        <v>3763</v>
      </c>
      <c r="E999" s="14">
        <v>0</v>
      </c>
      <c r="F999" s="21">
        <v>12</v>
      </c>
      <c r="G999" s="2" t="s">
        <v>3810</v>
      </c>
      <c r="H999" s="23" t="s">
        <v>3811</v>
      </c>
      <c r="I999" s="101" t="s">
        <v>3812</v>
      </c>
      <c r="J999" s="2" t="s">
        <v>24</v>
      </c>
      <c r="K999" s="2" t="s">
        <v>49</v>
      </c>
      <c r="M999" s="2" t="s">
        <v>24</v>
      </c>
      <c r="N999" s="2" t="s">
        <v>49</v>
      </c>
      <c r="O999" s="27"/>
      <c r="P999" s="26">
        <v>1</v>
      </c>
      <c r="Q999" s="99" t="s">
        <v>3813</v>
      </c>
    </row>
    <row r="1000" spans="1:18" ht="15" customHeight="1">
      <c r="A1000" s="21">
        <v>20</v>
      </c>
      <c r="B1000" s="2" t="s">
        <v>3762</v>
      </c>
      <c r="C1000" s="21">
        <v>0</v>
      </c>
      <c r="D1000" s="2" t="s">
        <v>3763</v>
      </c>
      <c r="E1000" s="14">
        <v>0</v>
      </c>
      <c r="F1000" s="21">
        <v>13</v>
      </c>
      <c r="G1000" s="2" t="s">
        <v>3814</v>
      </c>
      <c r="H1000" s="23" t="s">
        <v>3815</v>
      </c>
      <c r="I1000" s="101" t="s">
        <v>3816</v>
      </c>
      <c r="J1000" s="2" t="s">
        <v>24</v>
      </c>
      <c r="K1000" s="2" t="s">
        <v>25</v>
      </c>
      <c r="M1000" s="2" t="s">
        <v>24</v>
      </c>
      <c r="N1000" s="2" t="s">
        <v>25</v>
      </c>
      <c r="O1000" s="27" t="s">
        <v>3799</v>
      </c>
      <c r="P1000" s="26">
        <v>1</v>
      </c>
      <c r="Q1000" s="99" t="s">
        <v>3817</v>
      </c>
    </row>
    <row r="1001" spans="1:18" ht="15" customHeight="1">
      <c r="A1001" s="21">
        <v>20</v>
      </c>
      <c r="B1001" s="2" t="s">
        <v>3762</v>
      </c>
      <c r="C1001" s="21">
        <v>0</v>
      </c>
      <c r="D1001" s="2" t="s">
        <v>3763</v>
      </c>
      <c r="E1001" s="14">
        <v>0</v>
      </c>
      <c r="F1001" s="21">
        <v>14</v>
      </c>
      <c r="G1001" s="2" t="s">
        <v>3818</v>
      </c>
      <c r="H1001" s="23" t="s">
        <v>3819</v>
      </c>
      <c r="I1001" s="101" t="s">
        <v>3820</v>
      </c>
      <c r="J1001" s="2" t="s">
        <v>24</v>
      </c>
      <c r="K1001" s="2" t="s">
        <v>25</v>
      </c>
      <c r="M1001" s="2" t="s">
        <v>24</v>
      </c>
      <c r="N1001" s="2" t="s">
        <v>25</v>
      </c>
      <c r="O1001" s="27" t="s">
        <v>2556</v>
      </c>
      <c r="P1001" s="26">
        <v>1</v>
      </c>
      <c r="Q1001" s="99" t="s">
        <v>3821</v>
      </c>
    </row>
    <row r="1002" spans="1:18">
      <c r="A1002" s="21">
        <v>20</v>
      </c>
      <c r="B1002" s="2" t="s">
        <v>3762</v>
      </c>
      <c r="C1002" s="21">
        <v>0</v>
      </c>
      <c r="D1002" s="2" t="s">
        <v>3763</v>
      </c>
      <c r="E1002" s="14">
        <v>0</v>
      </c>
      <c r="F1002" s="21">
        <v>15</v>
      </c>
      <c r="G1002" s="2" t="s">
        <v>3822</v>
      </c>
      <c r="H1002" s="23" t="s">
        <v>3823</v>
      </c>
      <c r="I1002" s="101" t="s">
        <v>3824</v>
      </c>
      <c r="J1002" s="2" t="s">
        <v>24</v>
      </c>
      <c r="K1002" s="2" t="s">
        <v>133</v>
      </c>
      <c r="M1002" s="2" t="s">
        <v>24</v>
      </c>
      <c r="N1002" s="2" t="s">
        <v>133</v>
      </c>
      <c r="O1002" s="27"/>
      <c r="P1002" s="26">
        <v>1</v>
      </c>
      <c r="Q1002" s="99" t="s">
        <v>3825</v>
      </c>
    </row>
    <row r="1003" spans="1:18">
      <c r="A1003" s="21">
        <v>20</v>
      </c>
      <c r="B1003" s="2" t="s">
        <v>3762</v>
      </c>
      <c r="C1003" s="21">
        <v>0</v>
      </c>
      <c r="D1003" s="2" t="s">
        <v>3763</v>
      </c>
      <c r="E1003" s="14">
        <v>0</v>
      </c>
      <c r="F1003" s="21">
        <v>16</v>
      </c>
      <c r="G1003" s="2" t="s">
        <v>3826</v>
      </c>
      <c r="H1003" s="23" t="s">
        <v>3827</v>
      </c>
      <c r="I1003" s="101" t="s">
        <v>3828</v>
      </c>
      <c r="J1003" s="2" t="s">
        <v>24</v>
      </c>
      <c r="K1003" s="2" t="s">
        <v>49</v>
      </c>
      <c r="M1003" s="2" t="s">
        <v>24</v>
      </c>
      <c r="N1003" s="2" t="s">
        <v>49</v>
      </c>
      <c r="O1003" s="27"/>
      <c r="P1003" s="26">
        <v>1</v>
      </c>
      <c r="Q1003" s="99" t="s">
        <v>3829</v>
      </c>
    </row>
    <row r="1004" spans="1:18">
      <c r="A1004" s="21">
        <v>20</v>
      </c>
      <c r="B1004" s="2" t="s">
        <v>3762</v>
      </c>
      <c r="C1004" s="21">
        <v>1</v>
      </c>
      <c r="D1004" s="2" t="s">
        <v>3830</v>
      </c>
      <c r="E1004" s="14">
        <v>0</v>
      </c>
      <c r="F1004" s="21">
        <v>0</v>
      </c>
      <c r="G1004" s="2" t="s">
        <v>20</v>
      </c>
      <c r="H1004" s="23" t="s">
        <v>3831</v>
      </c>
      <c r="I1004" s="34" t="s">
        <v>3832</v>
      </c>
      <c r="J1004" s="2" t="s">
        <v>23</v>
      </c>
      <c r="K1004" s="2" t="s">
        <v>23</v>
      </c>
      <c r="M1004" s="2" t="s">
        <v>24</v>
      </c>
      <c r="N1004" s="2" t="s">
        <v>25</v>
      </c>
      <c r="O1004" s="27" t="s">
        <v>26</v>
      </c>
      <c r="P1004" s="26">
        <v>1</v>
      </c>
      <c r="Q1004" s="1" t="s">
        <v>3833</v>
      </c>
    </row>
    <row r="1005" spans="1:18">
      <c r="A1005" s="21">
        <v>20</v>
      </c>
      <c r="B1005" s="2" t="s">
        <v>3762</v>
      </c>
      <c r="C1005" s="21">
        <v>1</v>
      </c>
      <c r="D1005" s="2" t="s">
        <v>3830</v>
      </c>
      <c r="E1005" s="14">
        <v>0</v>
      </c>
      <c r="F1005" s="21">
        <v>1</v>
      </c>
      <c r="G1005" s="2" t="s">
        <v>3834</v>
      </c>
      <c r="H1005" s="23" t="s">
        <v>3835</v>
      </c>
      <c r="I1005" s="101" t="s">
        <v>3836</v>
      </c>
      <c r="J1005" s="2" t="s">
        <v>24</v>
      </c>
      <c r="K1005" s="2" t="s">
        <v>25</v>
      </c>
      <c r="L1005" s="27" t="s">
        <v>3837</v>
      </c>
      <c r="M1005" s="2" t="s">
        <v>24</v>
      </c>
      <c r="N1005" s="2" t="s">
        <v>25</v>
      </c>
      <c r="O1005" s="27" t="s">
        <v>3837</v>
      </c>
      <c r="P1005" s="26">
        <v>1</v>
      </c>
      <c r="Q1005" s="99" t="s">
        <v>3838</v>
      </c>
    </row>
    <row r="1006" spans="1:18">
      <c r="A1006" s="21">
        <v>20</v>
      </c>
      <c r="B1006" s="2" t="s">
        <v>3762</v>
      </c>
      <c r="C1006" s="21">
        <v>1</v>
      </c>
      <c r="D1006" s="2" t="s">
        <v>3830</v>
      </c>
      <c r="E1006" s="14">
        <v>0</v>
      </c>
      <c r="F1006" s="21">
        <v>2</v>
      </c>
      <c r="G1006" s="2" t="s">
        <v>3839</v>
      </c>
      <c r="H1006" s="23" t="s">
        <v>3840</v>
      </c>
      <c r="I1006" s="101" t="s">
        <v>3841</v>
      </c>
      <c r="J1006" s="2" t="s">
        <v>24</v>
      </c>
      <c r="K1006" s="2" t="s">
        <v>23</v>
      </c>
      <c r="M1006" s="2" t="s">
        <v>24</v>
      </c>
      <c r="N1006" s="2" t="s">
        <v>23</v>
      </c>
      <c r="O1006" s="27"/>
      <c r="P1006" s="26">
        <v>1</v>
      </c>
      <c r="Q1006" s="99" t="s">
        <v>3842</v>
      </c>
    </row>
    <row r="1007" spans="1:18">
      <c r="A1007" s="21">
        <v>20</v>
      </c>
      <c r="B1007" s="2" t="s">
        <v>3762</v>
      </c>
      <c r="C1007" s="21">
        <v>1</v>
      </c>
      <c r="D1007" s="2" t="s">
        <v>3830</v>
      </c>
      <c r="E1007" s="14">
        <v>0</v>
      </c>
      <c r="F1007" s="21">
        <v>3</v>
      </c>
      <c r="G1007" s="2" t="s">
        <v>3843</v>
      </c>
      <c r="H1007" s="23" t="s">
        <v>3844</v>
      </c>
      <c r="I1007" s="101" t="s">
        <v>3845</v>
      </c>
      <c r="J1007" s="2" t="s">
        <v>24</v>
      </c>
      <c r="K1007" s="2" t="s">
        <v>23</v>
      </c>
      <c r="M1007" s="2" t="s">
        <v>24</v>
      </c>
      <c r="N1007" s="2" t="s">
        <v>23</v>
      </c>
      <c r="O1007" s="27"/>
      <c r="P1007" s="26">
        <v>1</v>
      </c>
      <c r="Q1007" s="99" t="s">
        <v>3846</v>
      </c>
    </row>
    <row r="1008" spans="1:18">
      <c r="A1008" s="21">
        <v>20</v>
      </c>
      <c r="B1008" s="2" t="s">
        <v>3762</v>
      </c>
      <c r="C1008" s="21">
        <v>1</v>
      </c>
      <c r="D1008" s="2" t="s">
        <v>3830</v>
      </c>
      <c r="E1008" s="14">
        <v>0</v>
      </c>
      <c r="F1008" s="21">
        <v>4</v>
      </c>
      <c r="G1008" s="2" t="s">
        <v>3847</v>
      </c>
      <c r="H1008" s="23" t="s">
        <v>3848</v>
      </c>
      <c r="I1008" s="101" t="s">
        <v>3849</v>
      </c>
      <c r="J1008" s="2" t="s">
        <v>24</v>
      </c>
      <c r="K1008" s="2" t="s">
        <v>23</v>
      </c>
      <c r="M1008" s="2" t="s">
        <v>24</v>
      </c>
      <c r="N1008" s="2" t="s">
        <v>23</v>
      </c>
      <c r="O1008" s="27"/>
      <c r="P1008" s="26">
        <v>1</v>
      </c>
      <c r="Q1008" s="99" t="s">
        <v>3850</v>
      </c>
    </row>
    <row r="1009" spans="1:18">
      <c r="A1009" s="21">
        <v>20</v>
      </c>
      <c r="B1009" s="2" t="s">
        <v>3762</v>
      </c>
      <c r="C1009" s="21">
        <v>1</v>
      </c>
      <c r="D1009" s="2" t="s">
        <v>3830</v>
      </c>
      <c r="E1009" s="14">
        <v>0</v>
      </c>
      <c r="F1009" s="21">
        <v>5</v>
      </c>
      <c r="G1009" s="2" t="s">
        <v>2901</v>
      </c>
      <c r="H1009" s="23" t="s">
        <v>3851</v>
      </c>
      <c r="I1009" s="101" t="s">
        <v>3852</v>
      </c>
      <c r="J1009" s="2" t="s">
        <v>24</v>
      </c>
      <c r="K1009" s="2" t="s">
        <v>116</v>
      </c>
      <c r="L1009" s="11" t="s">
        <v>3852</v>
      </c>
      <c r="M1009" s="2" t="s">
        <v>24</v>
      </c>
      <c r="N1009" s="2" t="s">
        <v>116</v>
      </c>
      <c r="O1009" s="11" t="s">
        <v>3852</v>
      </c>
      <c r="P1009" s="26">
        <v>1</v>
      </c>
      <c r="Q1009" s="99" t="s">
        <v>3853</v>
      </c>
    </row>
    <row r="1010" spans="1:18">
      <c r="A1010" s="21">
        <v>20</v>
      </c>
      <c r="B1010" s="2" t="s">
        <v>3762</v>
      </c>
      <c r="C1010" s="21">
        <v>1</v>
      </c>
      <c r="D1010" s="2" t="s">
        <v>3830</v>
      </c>
      <c r="E1010" s="14">
        <v>0</v>
      </c>
      <c r="F1010" s="21">
        <v>6</v>
      </c>
      <c r="G1010" s="2" t="s">
        <v>3854</v>
      </c>
      <c r="H1010" s="23" t="s">
        <v>3855</v>
      </c>
      <c r="I1010" s="101" t="s">
        <v>3856</v>
      </c>
      <c r="J1010" s="2" t="s">
        <v>32</v>
      </c>
      <c r="K1010" s="2" t="s">
        <v>23</v>
      </c>
      <c r="M1010" s="2" t="s">
        <v>32</v>
      </c>
      <c r="N1010" s="2" t="s">
        <v>23</v>
      </c>
      <c r="O1010" s="11"/>
      <c r="P1010" s="26">
        <v>1</v>
      </c>
      <c r="Q1010" s="99" t="s">
        <v>3857</v>
      </c>
      <c r="R1010" s="2" t="s">
        <v>3809</v>
      </c>
    </row>
    <row r="1011" spans="1:18">
      <c r="A1011" s="21">
        <v>20</v>
      </c>
      <c r="B1011" s="2" t="s">
        <v>3762</v>
      </c>
      <c r="C1011" s="21">
        <v>1</v>
      </c>
      <c r="D1011" s="2" t="s">
        <v>3830</v>
      </c>
      <c r="E1011" s="14">
        <v>0</v>
      </c>
      <c r="F1011" s="21">
        <v>7</v>
      </c>
      <c r="G1011" s="2" t="s">
        <v>3858</v>
      </c>
      <c r="H1011" s="23" t="s">
        <v>3859</v>
      </c>
      <c r="I1011" s="101" t="s">
        <v>3860</v>
      </c>
      <c r="J1011" s="2" t="s">
        <v>32</v>
      </c>
      <c r="K1011" s="2" t="s">
        <v>23</v>
      </c>
      <c r="M1011" s="2" t="s">
        <v>32</v>
      </c>
      <c r="N1011" s="2" t="s">
        <v>23</v>
      </c>
      <c r="O1011" s="11"/>
      <c r="P1011" s="26">
        <v>1</v>
      </c>
      <c r="Q1011" s="99" t="s">
        <v>3861</v>
      </c>
      <c r="R1011" s="2" t="s">
        <v>3809</v>
      </c>
    </row>
    <row r="1012" spans="1:18">
      <c r="A1012" s="21">
        <v>20</v>
      </c>
      <c r="B1012" s="2" t="s">
        <v>3762</v>
      </c>
      <c r="C1012" s="21">
        <v>1</v>
      </c>
      <c r="D1012" s="2" t="s">
        <v>3830</v>
      </c>
      <c r="E1012" s="14">
        <v>0</v>
      </c>
      <c r="F1012" s="21">
        <v>8</v>
      </c>
      <c r="G1012" s="2" t="s">
        <v>3862</v>
      </c>
      <c r="H1012" s="23" t="s">
        <v>3863</v>
      </c>
      <c r="I1012" s="101" t="s">
        <v>3864</v>
      </c>
      <c r="J1012" s="2" t="s">
        <v>32</v>
      </c>
      <c r="K1012" s="2" t="s">
        <v>23</v>
      </c>
      <c r="M1012" s="2" t="s">
        <v>32</v>
      </c>
      <c r="N1012" s="2" t="s">
        <v>23</v>
      </c>
      <c r="O1012" s="11"/>
      <c r="P1012" s="26">
        <v>1</v>
      </c>
      <c r="Q1012" s="99" t="s">
        <v>3865</v>
      </c>
      <c r="R1012" s="2" t="s">
        <v>3809</v>
      </c>
    </row>
    <row r="1013" spans="1:18">
      <c r="A1013" s="21">
        <v>20</v>
      </c>
      <c r="B1013" s="2" t="s">
        <v>3762</v>
      </c>
      <c r="C1013" s="21">
        <v>1</v>
      </c>
      <c r="D1013" s="2" t="s">
        <v>3830</v>
      </c>
      <c r="E1013" s="14">
        <v>0</v>
      </c>
      <c r="F1013" s="21">
        <v>9</v>
      </c>
      <c r="G1013" s="2" t="s">
        <v>3796</v>
      </c>
      <c r="H1013" s="23" t="s">
        <v>3866</v>
      </c>
      <c r="I1013" s="101" t="s">
        <v>3867</v>
      </c>
      <c r="J1013" s="2" t="s">
        <v>24</v>
      </c>
      <c r="K1013" s="2" t="s">
        <v>116</v>
      </c>
      <c r="L1013" s="11" t="s">
        <v>3867</v>
      </c>
      <c r="M1013" s="2" t="s">
        <v>24</v>
      </c>
      <c r="N1013" s="2" t="s">
        <v>116</v>
      </c>
      <c r="O1013" s="11" t="s">
        <v>3867</v>
      </c>
      <c r="P1013" s="26">
        <v>1</v>
      </c>
      <c r="Q1013" s="99" t="s">
        <v>3868</v>
      </c>
    </row>
    <row r="1014" spans="1:18">
      <c r="A1014" s="21">
        <v>20</v>
      </c>
      <c r="B1014" s="2" t="s">
        <v>3762</v>
      </c>
      <c r="C1014" s="21">
        <v>1</v>
      </c>
      <c r="D1014" s="2" t="s">
        <v>3830</v>
      </c>
      <c r="E1014" s="14">
        <v>0</v>
      </c>
      <c r="F1014" s="21">
        <v>10</v>
      </c>
      <c r="G1014" s="2" t="s">
        <v>3801</v>
      </c>
      <c r="H1014" s="23" t="s">
        <v>3869</v>
      </c>
      <c r="I1014" s="101" t="s">
        <v>3870</v>
      </c>
      <c r="J1014" s="2" t="s">
        <v>24</v>
      </c>
      <c r="K1014" s="2" t="s">
        <v>25</v>
      </c>
      <c r="M1014" s="2" t="s">
        <v>24</v>
      </c>
      <c r="N1014" s="2" t="s">
        <v>25</v>
      </c>
      <c r="O1014" s="27" t="s">
        <v>2556</v>
      </c>
      <c r="P1014" s="26">
        <v>1</v>
      </c>
      <c r="Q1014" s="99" t="s">
        <v>3871</v>
      </c>
    </row>
    <row r="1015" spans="1:18">
      <c r="A1015" s="21">
        <v>20</v>
      </c>
      <c r="B1015" s="2" t="s">
        <v>3762</v>
      </c>
      <c r="C1015" s="21">
        <v>1</v>
      </c>
      <c r="D1015" s="2" t="s">
        <v>3830</v>
      </c>
      <c r="E1015" s="14">
        <v>0</v>
      </c>
      <c r="F1015" s="21">
        <v>11</v>
      </c>
      <c r="G1015" s="2" t="s">
        <v>3872</v>
      </c>
      <c r="H1015" s="23" t="s">
        <v>3873</v>
      </c>
      <c r="I1015" s="101" t="s">
        <v>3874</v>
      </c>
      <c r="J1015" s="2" t="s">
        <v>24</v>
      </c>
      <c r="K1015" s="2" t="s">
        <v>23</v>
      </c>
      <c r="M1015" s="2" t="s">
        <v>24</v>
      </c>
      <c r="N1015" s="2" t="s">
        <v>23</v>
      </c>
      <c r="O1015" s="27"/>
      <c r="P1015" s="26">
        <v>1</v>
      </c>
      <c r="Q1015" s="99" t="s">
        <v>3875</v>
      </c>
    </row>
    <row r="1016" spans="1:18">
      <c r="A1016" s="21">
        <v>20</v>
      </c>
      <c r="B1016" s="2" t="s">
        <v>3762</v>
      </c>
      <c r="C1016" s="21">
        <v>1</v>
      </c>
      <c r="D1016" s="2" t="s">
        <v>3830</v>
      </c>
      <c r="E1016" s="14">
        <v>0</v>
      </c>
      <c r="F1016" s="21">
        <v>12</v>
      </c>
      <c r="G1016" s="2" t="s">
        <v>3876</v>
      </c>
      <c r="H1016" s="23" t="s">
        <v>3877</v>
      </c>
      <c r="I1016" s="101" t="s">
        <v>3878</v>
      </c>
      <c r="J1016" s="2" t="s">
        <v>24</v>
      </c>
      <c r="K1016" s="2" t="s">
        <v>23</v>
      </c>
      <c r="M1016" s="2" t="s">
        <v>24</v>
      </c>
      <c r="N1016" s="2" t="s">
        <v>23</v>
      </c>
      <c r="O1016" s="27"/>
      <c r="P1016" s="26">
        <v>1</v>
      </c>
      <c r="Q1016" s="99" t="s">
        <v>3879</v>
      </c>
    </row>
    <row r="1017" spans="1:18">
      <c r="A1017" s="21">
        <v>20</v>
      </c>
      <c r="B1017" s="2" t="s">
        <v>3762</v>
      </c>
      <c r="C1017" s="21">
        <v>1</v>
      </c>
      <c r="D1017" s="2" t="s">
        <v>3830</v>
      </c>
      <c r="E1017" s="14">
        <v>0</v>
      </c>
      <c r="F1017" s="21">
        <v>13</v>
      </c>
      <c r="G1017" s="2" t="s">
        <v>3880</v>
      </c>
      <c r="H1017" s="23" t="s">
        <v>3881</v>
      </c>
      <c r="I1017" s="101" t="s">
        <v>3882</v>
      </c>
      <c r="J1017" s="2" t="s">
        <v>24</v>
      </c>
      <c r="K1017" s="2" t="s">
        <v>49</v>
      </c>
      <c r="M1017" s="2" t="s">
        <v>24</v>
      </c>
      <c r="N1017" s="2" t="s">
        <v>49</v>
      </c>
      <c r="O1017" s="27"/>
      <c r="P1017" s="26">
        <v>1</v>
      </c>
      <c r="Q1017" s="99" t="s">
        <v>3883</v>
      </c>
    </row>
    <row r="1018" spans="1:18">
      <c r="A1018" s="21">
        <v>20</v>
      </c>
      <c r="B1018" s="2" t="s">
        <v>3762</v>
      </c>
      <c r="C1018" s="21">
        <v>1</v>
      </c>
      <c r="D1018" s="2" t="s">
        <v>3830</v>
      </c>
      <c r="E1018" s="14">
        <v>0</v>
      </c>
      <c r="F1018" s="21">
        <v>14</v>
      </c>
      <c r="G1018" s="2" t="s">
        <v>3814</v>
      </c>
      <c r="H1018" s="23" t="s">
        <v>3884</v>
      </c>
      <c r="I1018" s="101" t="s">
        <v>3885</v>
      </c>
      <c r="J1018" s="2" t="s">
        <v>24</v>
      </c>
      <c r="K1018" s="2" t="s">
        <v>116</v>
      </c>
      <c r="L1018" s="11" t="s">
        <v>3885</v>
      </c>
      <c r="M1018" s="2" t="s">
        <v>24</v>
      </c>
      <c r="N1018" s="2" t="s">
        <v>116</v>
      </c>
      <c r="O1018" s="11" t="s">
        <v>3885</v>
      </c>
      <c r="P1018" s="26">
        <v>1</v>
      </c>
      <c r="Q1018" s="99" t="s">
        <v>3886</v>
      </c>
    </row>
    <row r="1019" spans="1:18">
      <c r="A1019" s="21">
        <v>20</v>
      </c>
      <c r="B1019" s="2" t="s">
        <v>3762</v>
      </c>
      <c r="C1019" s="21">
        <v>1</v>
      </c>
      <c r="D1019" s="2" t="s">
        <v>3830</v>
      </c>
      <c r="E1019" s="14">
        <v>0</v>
      </c>
      <c r="F1019" s="21">
        <v>15</v>
      </c>
      <c r="G1019" s="2" t="s">
        <v>3818</v>
      </c>
      <c r="H1019" s="23" t="s">
        <v>3887</v>
      </c>
      <c r="I1019" s="101" t="s">
        <v>3888</v>
      </c>
      <c r="J1019" s="2" t="s">
        <v>24</v>
      </c>
      <c r="K1019" s="2" t="s">
        <v>25</v>
      </c>
      <c r="M1019" s="2" t="s">
        <v>24</v>
      </c>
      <c r="N1019" s="2" t="s">
        <v>25</v>
      </c>
      <c r="O1019" s="27" t="s">
        <v>2556</v>
      </c>
      <c r="P1019" s="26">
        <v>1</v>
      </c>
      <c r="Q1019" s="99" t="s">
        <v>3889</v>
      </c>
    </row>
    <row r="1020" spans="1:18">
      <c r="A1020" s="21">
        <v>20</v>
      </c>
      <c r="B1020" s="2" t="s">
        <v>3762</v>
      </c>
      <c r="C1020" s="21">
        <v>1</v>
      </c>
      <c r="D1020" s="2" t="s">
        <v>3830</v>
      </c>
      <c r="E1020" s="14">
        <v>0</v>
      </c>
      <c r="F1020" s="21">
        <v>16</v>
      </c>
      <c r="G1020" s="2" t="s">
        <v>3890</v>
      </c>
      <c r="H1020" s="23" t="s">
        <v>3891</v>
      </c>
      <c r="I1020" s="101" t="s">
        <v>3892</v>
      </c>
      <c r="J1020" s="2" t="s">
        <v>24</v>
      </c>
      <c r="K1020" s="2" t="s">
        <v>23</v>
      </c>
      <c r="M1020" s="2" t="s">
        <v>24</v>
      </c>
      <c r="N1020" s="2" t="s">
        <v>23</v>
      </c>
      <c r="O1020" s="27"/>
      <c r="P1020" s="26">
        <v>1</v>
      </c>
      <c r="Q1020" s="99" t="s">
        <v>3893</v>
      </c>
    </row>
    <row r="1021" spans="1:18">
      <c r="A1021" s="21">
        <v>20</v>
      </c>
      <c r="B1021" s="2" t="s">
        <v>3762</v>
      </c>
      <c r="C1021" s="21">
        <v>1</v>
      </c>
      <c r="D1021" s="2" t="s">
        <v>3830</v>
      </c>
      <c r="E1021" s="14">
        <v>0</v>
      </c>
      <c r="F1021" s="21">
        <v>17</v>
      </c>
      <c r="G1021" s="2" t="s">
        <v>3894</v>
      </c>
      <c r="H1021" s="23" t="s">
        <v>3895</v>
      </c>
      <c r="I1021" s="101" t="s">
        <v>3896</v>
      </c>
      <c r="J1021" s="2" t="s">
        <v>24</v>
      </c>
      <c r="K1021" s="2" t="s">
        <v>23</v>
      </c>
      <c r="M1021" s="2" t="s">
        <v>24</v>
      </c>
      <c r="N1021" s="2" t="s">
        <v>23</v>
      </c>
      <c r="O1021" s="27"/>
      <c r="P1021" s="26">
        <v>1</v>
      </c>
      <c r="Q1021" s="99" t="s">
        <v>3897</v>
      </c>
    </row>
    <row r="1022" spans="1:18">
      <c r="A1022" s="21">
        <v>20</v>
      </c>
      <c r="B1022" s="2" t="s">
        <v>3762</v>
      </c>
      <c r="C1022" s="21">
        <v>1</v>
      </c>
      <c r="D1022" s="2" t="s">
        <v>3830</v>
      </c>
      <c r="E1022" s="14">
        <v>0</v>
      </c>
      <c r="F1022" s="21">
        <v>18</v>
      </c>
      <c r="G1022" s="2" t="s">
        <v>3898</v>
      </c>
      <c r="H1022" s="23" t="s">
        <v>3899</v>
      </c>
      <c r="I1022" s="101" t="s">
        <v>3900</v>
      </c>
      <c r="J1022" s="2" t="s">
        <v>24</v>
      </c>
      <c r="K1022" s="2" t="s">
        <v>49</v>
      </c>
      <c r="M1022" s="2" t="s">
        <v>24</v>
      </c>
      <c r="N1022" s="2" t="s">
        <v>49</v>
      </c>
      <c r="O1022" s="27"/>
      <c r="P1022" s="26">
        <v>1</v>
      </c>
      <c r="Q1022" s="99" t="s">
        <v>3901</v>
      </c>
    </row>
    <row r="1023" spans="1:18">
      <c r="A1023" s="21">
        <v>20</v>
      </c>
      <c r="B1023" s="2" t="s">
        <v>3762</v>
      </c>
      <c r="C1023" s="21">
        <v>2</v>
      </c>
      <c r="D1023" s="2" t="s">
        <v>3902</v>
      </c>
      <c r="E1023" s="14">
        <v>0</v>
      </c>
      <c r="F1023" s="21">
        <v>0</v>
      </c>
      <c r="G1023" s="2" t="s">
        <v>20</v>
      </c>
      <c r="H1023" s="23" t="s">
        <v>3903</v>
      </c>
      <c r="I1023" s="34" t="s">
        <v>3904</v>
      </c>
      <c r="J1023" s="2" t="s">
        <v>23</v>
      </c>
      <c r="K1023" s="2" t="s">
        <v>23</v>
      </c>
      <c r="M1023" s="2" t="s">
        <v>24</v>
      </c>
      <c r="N1023" s="2" t="s">
        <v>25</v>
      </c>
      <c r="O1023" s="27" t="s">
        <v>26</v>
      </c>
      <c r="P1023" s="26">
        <v>1</v>
      </c>
      <c r="Q1023" s="1" t="s">
        <v>3905</v>
      </c>
    </row>
    <row r="1024" spans="1:18">
      <c r="A1024" s="21">
        <v>20</v>
      </c>
      <c r="B1024" s="2" t="s">
        <v>3762</v>
      </c>
      <c r="C1024" s="21">
        <v>2</v>
      </c>
      <c r="D1024" s="2" t="s">
        <v>3902</v>
      </c>
      <c r="E1024" s="14">
        <v>0</v>
      </c>
      <c r="F1024" s="21">
        <v>1</v>
      </c>
      <c r="G1024" s="2" t="s">
        <v>579</v>
      </c>
      <c r="H1024" s="23" t="s">
        <v>3906</v>
      </c>
      <c r="I1024" s="101" t="s">
        <v>3907</v>
      </c>
      <c r="J1024" s="2" t="s">
        <v>24</v>
      </c>
      <c r="K1024" s="2" t="s">
        <v>206</v>
      </c>
      <c r="M1024" s="2" t="s">
        <v>24</v>
      </c>
      <c r="N1024" s="2" t="s">
        <v>206</v>
      </c>
      <c r="P1024" s="7">
        <v>1</v>
      </c>
      <c r="Q1024" s="99" t="s">
        <v>3908</v>
      </c>
    </row>
    <row r="1025" spans="1:17">
      <c r="A1025" s="21">
        <v>20</v>
      </c>
      <c r="B1025" s="2" t="s">
        <v>3762</v>
      </c>
      <c r="C1025" s="21">
        <v>2</v>
      </c>
      <c r="D1025" s="2" t="s">
        <v>3902</v>
      </c>
      <c r="E1025" s="14">
        <v>0</v>
      </c>
      <c r="F1025" s="21">
        <v>2</v>
      </c>
      <c r="G1025" s="2" t="s">
        <v>2392</v>
      </c>
      <c r="H1025" s="23" t="s">
        <v>3909</v>
      </c>
      <c r="I1025" s="101" t="s">
        <v>3910</v>
      </c>
      <c r="J1025" s="2" t="s">
        <v>24</v>
      </c>
      <c r="K1025" s="2" t="s">
        <v>116</v>
      </c>
      <c r="L1025" s="9" t="s">
        <v>2703</v>
      </c>
      <c r="M1025" s="2" t="s">
        <v>24</v>
      </c>
      <c r="N1025" s="2" t="s">
        <v>116</v>
      </c>
      <c r="O1025" s="9" t="s">
        <v>2703</v>
      </c>
      <c r="P1025" s="7">
        <v>1</v>
      </c>
      <c r="Q1025" s="99" t="s">
        <v>3911</v>
      </c>
    </row>
    <row r="1026" spans="1:17">
      <c r="A1026" s="21">
        <v>20</v>
      </c>
      <c r="B1026" s="2" t="s">
        <v>3762</v>
      </c>
      <c r="C1026" s="21">
        <v>2</v>
      </c>
      <c r="D1026" s="2" t="s">
        <v>3902</v>
      </c>
      <c r="E1026" s="14">
        <v>0</v>
      </c>
      <c r="F1026" s="21">
        <v>3</v>
      </c>
      <c r="G1026" s="2" t="s">
        <v>3796</v>
      </c>
      <c r="H1026" s="23" t="s">
        <v>3912</v>
      </c>
      <c r="I1026" s="101" t="s">
        <v>3913</v>
      </c>
      <c r="J1026" s="2" t="s">
        <v>24</v>
      </c>
      <c r="K1026" s="2" t="s">
        <v>25</v>
      </c>
      <c r="L1026" s="27" t="s">
        <v>3914</v>
      </c>
      <c r="M1026" s="2" t="s">
        <v>24</v>
      </c>
      <c r="N1026" s="2" t="s">
        <v>25</v>
      </c>
      <c r="O1026" s="27" t="s">
        <v>3914</v>
      </c>
      <c r="P1026" s="26">
        <v>1</v>
      </c>
      <c r="Q1026" s="99" t="s">
        <v>3915</v>
      </c>
    </row>
    <row r="1027" spans="1:17">
      <c r="A1027" s="21">
        <v>20</v>
      </c>
      <c r="B1027" s="2" t="s">
        <v>3762</v>
      </c>
      <c r="C1027" s="21">
        <v>2</v>
      </c>
      <c r="D1027" s="2" t="s">
        <v>3902</v>
      </c>
      <c r="E1027" s="14">
        <v>0</v>
      </c>
      <c r="F1027" s="21">
        <v>4</v>
      </c>
      <c r="G1027" s="2" t="s">
        <v>3801</v>
      </c>
      <c r="H1027" s="23" t="s">
        <v>3916</v>
      </c>
      <c r="I1027" s="101" t="s">
        <v>3917</v>
      </c>
      <c r="J1027" s="2" t="s">
        <v>24</v>
      </c>
      <c r="K1027" s="2" t="s">
        <v>25</v>
      </c>
      <c r="M1027" s="2" t="s">
        <v>24</v>
      </c>
      <c r="N1027" s="2" t="s">
        <v>25</v>
      </c>
      <c r="O1027" s="27" t="s">
        <v>3918</v>
      </c>
      <c r="P1027" s="26">
        <v>1</v>
      </c>
      <c r="Q1027" s="99" t="s">
        <v>3919</v>
      </c>
    </row>
    <row r="1028" spans="1:17">
      <c r="A1028" s="21">
        <v>20</v>
      </c>
      <c r="B1028" s="2" t="s">
        <v>3762</v>
      </c>
      <c r="C1028" s="21">
        <v>2</v>
      </c>
      <c r="D1028" s="2" t="s">
        <v>3902</v>
      </c>
      <c r="E1028" s="14">
        <v>0</v>
      </c>
      <c r="F1028" s="21">
        <v>5</v>
      </c>
      <c r="G1028" s="2" t="s">
        <v>3920</v>
      </c>
      <c r="H1028" s="23" t="s">
        <v>3921</v>
      </c>
      <c r="I1028" s="101" t="s">
        <v>3922</v>
      </c>
      <c r="J1028" s="2" t="s">
        <v>24</v>
      </c>
      <c r="K1028" s="2" t="s">
        <v>206</v>
      </c>
      <c r="M1028" s="2" t="s">
        <v>24</v>
      </c>
      <c r="N1028" s="2" t="s">
        <v>206</v>
      </c>
      <c r="O1028" s="27"/>
      <c r="P1028" s="26">
        <v>1</v>
      </c>
      <c r="Q1028" s="99" t="s">
        <v>3923</v>
      </c>
    </row>
    <row r="1029" spans="1:17">
      <c r="A1029" s="21">
        <v>20</v>
      </c>
      <c r="B1029" s="2" t="s">
        <v>3762</v>
      </c>
      <c r="C1029" s="21">
        <v>2</v>
      </c>
      <c r="D1029" s="2" t="s">
        <v>3902</v>
      </c>
      <c r="E1029" s="14">
        <v>0</v>
      </c>
      <c r="F1029" s="21">
        <v>6</v>
      </c>
      <c r="G1029" s="2" t="s">
        <v>3924</v>
      </c>
      <c r="H1029" s="23" t="s">
        <v>3925</v>
      </c>
      <c r="I1029" s="101" t="s">
        <v>3926</v>
      </c>
      <c r="J1029" s="2" t="s">
        <v>24</v>
      </c>
      <c r="K1029" s="2" t="s">
        <v>206</v>
      </c>
      <c r="M1029" s="2" t="s">
        <v>24</v>
      </c>
      <c r="N1029" s="2" t="s">
        <v>206</v>
      </c>
      <c r="O1029" s="27"/>
      <c r="P1029" s="26">
        <v>1</v>
      </c>
      <c r="Q1029" s="99" t="s">
        <v>3927</v>
      </c>
    </row>
    <row r="1030" spans="1:17">
      <c r="A1030" s="21">
        <v>20</v>
      </c>
      <c r="B1030" s="2" t="s">
        <v>3762</v>
      </c>
      <c r="C1030" s="21">
        <v>2</v>
      </c>
      <c r="D1030" s="2" t="s">
        <v>3902</v>
      </c>
      <c r="E1030" s="14">
        <v>0</v>
      </c>
      <c r="F1030" s="21">
        <v>7</v>
      </c>
      <c r="G1030" s="2" t="s">
        <v>3810</v>
      </c>
      <c r="H1030" s="23" t="s">
        <v>3928</v>
      </c>
      <c r="I1030" s="101" t="s">
        <v>3929</v>
      </c>
      <c r="J1030" s="2" t="s">
        <v>24</v>
      </c>
      <c r="K1030" s="2" t="s">
        <v>49</v>
      </c>
      <c r="M1030" s="2" t="s">
        <v>24</v>
      </c>
      <c r="N1030" s="2" t="s">
        <v>49</v>
      </c>
      <c r="O1030" s="27"/>
      <c r="P1030" s="26">
        <v>1</v>
      </c>
      <c r="Q1030" s="99" t="s">
        <v>3930</v>
      </c>
    </row>
    <row r="1031" spans="1:17">
      <c r="A1031" s="21">
        <v>20</v>
      </c>
      <c r="B1031" s="2" t="s">
        <v>3762</v>
      </c>
      <c r="C1031" s="21">
        <v>2</v>
      </c>
      <c r="D1031" s="2" t="s">
        <v>3902</v>
      </c>
      <c r="E1031" s="14">
        <v>0</v>
      </c>
      <c r="F1031" s="21">
        <v>8</v>
      </c>
      <c r="G1031" s="2" t="s">
        <v>3814</v>
      </c>
      <c r="H1031" s="23" t="s">
        <v>3931</v>
      </c>
      <c r="I1031" s="101" t="s">
        <v>3932</v>
      </c>
      <c r="J1031" s="2" t="s">
        <v>24</v>
      </c>
      <c r="K1031" s="2" t="s">
        <v>25</v>
      </c>
      <c r="L1031" s="27" t="s">
        <v>3933</v>
      </c>
      <c r="M1031" s="2" t="s">
        <v>24</v>
      </c>
      <c r="N1031" s="2" t="s">
        <v>25</v>
      </c>
      <c r="O1031" s="27" t="s">
        <v>3933</v>
      </c>
      <c r="P1031" s="26">
        <v>1</v>
      </c>
      <c r="Q1031" s="99" t="s">
        <v>3934</v>
      </c>
    </row>
    <row r="1032" spans="1:17">
      <c r="A1032" s="21">
        <v>20</v>
      </c>
      <c r="B1032" s="2" t="s">
        <v>3762</v>
      </c>
      <c r="C1032" s="21">
        <v>2</v>
      </c>
      <c r="D1032" s="2" t="s">
        <v>3902</v>
      </c>
      <c r="E1032" s="14">
        <v>0</v>
      </c>
      <c r="F1032" s="21">
        <v>9</v>
      </c>
      <c r="G1032" s="2" t="s">
        <v>3818</v>
      </c>
      <c r="H1032" s="23" t="s">
        <v>3935</v>
      </c>
      <c r="I1032" s="101" t="s">
        <v>3936</v>
      </c>
      <c r="J1032" s="2" t="s">
        <v>24</v>
      </c>
      <c r="K1032" s="2" t="s">
        <v>25</v>
      </c>
      <c r="M1032" s="2" t="s">
        <v>24</v>
      </c>
      <c r="N1032" s="2" t="s">
        <v>25</v>
      </c>
      <c r="O1032" s="27" t="s">
        <v>3937</v>
      </c>
      <c r="P1032" s="26">
        <v>1</v>
      </c>
      <c r="Q1032" s="99" t="s">
        <v>3938</v>
      </c>
    </row>
    <row r="1033" spans="1:17">
      <c r="A1033" s="21">
        <v>20</v>
      </c>
      <c r="B1033" s="2" t="s">
        <v>3762</v>
      </c>
      <c r="C1033" s="21">
        <v>2</v>
      </c>
      <c r="D1033" s="2" t="s">
        <v>3902</v>
      </c>
      <c r="E1033" s="14">
        <v>0</v>
      </c>
      <c r="F1033" s="21">
        <v>10</v>
      </c>
      <c r="G1033" s="2" t="s">
        <v>3939</v>
      </c>
      <c r="H1033" s="23" t="s">
        <v>3940</v>
      </c>
      <c r="I1033" s="101" t="s">
        <v>3941</v>
      </c>
      <c r="J1033" s="2" t="s">
        <v>24</v>
      </c>
      <c r="K1033" s="2" t="s">
        <v>206</v>
      </c>
      <c r="M1033" s="2" t="s">
        <v>24</v>
      </c>
      <c r="N1033" s="2" t="s">
        <v>206</v>
      </c>
      <c r="O1033" s="27"/>
      <c r="P1033" s="26">
        <v>1</v>
      </c>
      <c r="Q1033" s="99" t="s">
        <v>3942</v>
      </c>
    </row>
    <row r="1034" spans="1:17">
      <c r="A1034" s="21">
        <v>20</v>
      </c>
      <c r="B1034" s="2" t="s">
        <v>3762</v>
      </c>
      <c r="C1034" s="21">
        <v>2</v>
      </c>
      <c r="D1034" s="2" t="s">
        <v>3902</v>
      </c>
      <c r="E1034" s="14">
        <v>0</v>
      </c>
      <c r="F1034" s="21">
        <v>11</v>
      </c>
      <c r="G1034" s="2" t="s">
        <v>3943</v>
      </c>
      <c r="H1034" s="23" t="s">
        <v>3944</v>
      </c>
      <c r="I1034" s="101" t="s">
        <v>3945</v>
      </c>
      <c r="J1034" s="2" t="s">
        <v>24</v>
      </c>
      <c r="K1034" s="2" t="s">
        <v>206</v>
      </c>
      <c r="M1034" s="2" t="s">
        <v>24</v>
      </c>
      <c r="N1034" s="2" t="s">
        <v>206</v>
      </c>
      <c r="O1034" s="27"/>
      <c r="P1034" s="26">
        <v>1</v>
      </c>
      <c r="Q1034" s="99" t="s">
        <v>3946</v>
      </c>
    </row>
    <row r="1035" spans="1:17">
      <c r="A1035" s="21">
        <v>20</v>
      </c>
      <c r="B1035" s="2" t="s">
        <v>3762</v>
      </c>
      <c r="C1035" s="21">
        <v>2</v>
      </c>
      <c r="D1035" s="2" t="s">
        <v>3902</v>
      </c>
      <c r="E1035" s="14">
        <v>0</v>
      </c>
      <c r="F1035" s="21">
        <v>12</v>
      </c>
      <c r="G1035" s="2" t="s">
        <v>3826</v>
      </c>
      <c r="H1035" s="23" t="s">
        <v>3947</v>
      </c>
      <c r="I1035" s="101" t="s">
        <v>3948</v>
      </c>
      <c r="J1035" s="2" t="s">
        <v>24</v>
      </c>
      <c r="K1035" s="2" t="s">
        <v>49</v>
      </c>
      <c r="M1035" s="2" t="s">
        <v>24</v>
      </c>
      <c r="N1035" s="2" t="s">
        <v>49</v>
      </c>
      <c r="O1035" s="27"/>
      <c r="P1035" s="26">
        <v>1</v>
      </c>
      <c r="Q1035" s="109" t="s">
        <v>3949</v>
      </c>
    </row>
    <row r="1036" spans="1:17">
      <c r="A1036" s="21">
        <v>20</v>
      </c>
      <c r="B1036" s="2" t="s">
        <v>3762</v>
      </c>
      <c r="C1036" s="21">
        <v>3</v>
      </c>
      <c r="D1036" s="2" t="s">
        <v>3950</v>
      </c>
      <c r="E1036" s="14">
        <v>0</v>
      </c>
      <c r="F1036" s="21">
        <v>0</v>
      </c>
      <c r="G1036" s="2" t="s">
        <v>20</v>
      </c>
      <c r="H1036" s="23" t="s">
        <v>3951</v>
      </c>
      <c r="I1036" s="34" t="s">
        <v>3952</v>
      </c>
      <c r="J1036" s="2" t="s">
        <v>23</v>
      </c>
      <c r="K1036" s="2" t="s">
        <v>23</v>
      </c>
      <c r="M1036" s="2" t="s">
        <v>24</v>
      </c>
      <c r="N1036" s="2" t="s">
        <v>25</v>
      </c>
      <c r="O1036" s="27" t="s">
        <v>26</v>
      </c>
      <c r="P1036" s="26">
        <v>1</v>
      </c>
      <c r="Q1036" s="1" t="s">
        <v>3953</v>
      </c>
    </row>
    <row r="1037" spans="1:17">
      <c r="A1037" s="21">
        <v>20</v>
      </c>
      <c r="B1037" s="2" t="s">
        <v>3762</v>
      </c>
      <c r="C1037" s="21">
        <v>3</v>
      </c>
      <c r="D1037" s="2" t="s">
        <v>3950</v>
      </c>
      <c r="E1037" s="14">
        <v>0</v>
      </c>
      <c r="F1037" s="21">
        <v>1</v>
      </c>
      <c r="G1037" s="2" t="s">
        <v>3954</v>
      </c>
      <c r="H1037" s="23" t="s">
        <v>3955</v>
      </c>
      <c r="I1037" s="101" t="s">
        <v>3956</v>
      </c>
      <c r="J1037" s="2" t="s">
        <v>24</v>
      </c>
      <c r="K1037" s="2" t="s">
        <v>25</v>
      </c>
      <c r="M1037" s="2" t="s">
        <v>24</v>
      </c>
      <c r="N1037" s="2" t="s">
        <v>25</v>
      </c>
      <c r="O1037" s="2" t="s">
        <v>3957</v>
      </c>
      <c r="P1037" s="7">
        <v>1</v>
      </c>
      <c r="Q1037" s="99" t="s">
        <v>3958</v>
      </c>
    </row>
    <row r="1038" spans="1:17">
      <c r="A1038" s="21">
        <v>20</v>
      </c>
      <c r="B1038" s="2" t="s">
        <v>3762</v>
      </c>
      <c r="C1038" s="21">
        <v>3</v>
      </c>
      <c r="D1038" s="2" t="s">
        <v>3950</v>
      </c>
      <c r="E1038" s="14">
        <v>0</v>
      </c>
      <c r="F1038" s="21">
        <v>2</v>
      </c>
      <c r="G1038" s="2" t="s">
        <v>3959</v>
      </c>
      <c r="H1038" s="23" t="s">
        <v>3960</v>
      </c>
      <c r="I1038" s="101" t="s">
        <v>3961</v>
      </c>
      <c r="J1038" s="2" t="s">
        <v>24</v>
      </c>
      <c r="K1038" s="2" t="s">
        <v>25</v>
      </c>
      <c r="M1038" s="2" t="s">
        <v>24</v>
      </c>
      <c r="N1038" s="2" t="s">
        <v>25</v>
      </c>
      <c r="O1038" s="2" t="s">
        <v>2556</v>
      </c>
      <c r="P1038" s="7">
        <v>1</v>
      </c>
      <c r="Q1038" s="99" t="s">
        <v>3962</v>
      </c>
    </row>
    <row r="1039" spans="1:17">
      <c r="A1039" s="21">
        <v>20</v>
      </c>
      <c r="B1039" s="2" t="s">
        <v>3762</v>
      </c>
      <c r="C1039" s="21">
        <v>3</v>
      </c>
      <c r="D1039" s="2" t="s">
        <v>3950</v>
      </c>
      <c r="E1039" s="14">
        <v>0</v>
      </c>
      <c r="F1039" s="21">
        <v>3</v>
      </c>
      <c r="G1039" s="2" t="s">
        <v>3963</v>
      </c>
      <c r="H1039" s="23" t="s">
        <v>3964</v>
      </c>
      <c r="I1039" s="101" t="s">
        <v>3965</v>
      </c>
      <c r="J1039" s="2" t="s">
        <v>24</v>
      </c>
      <c r="K1039" s="2" t="s">
        <v>121</v>
      </c>
      <c r="M1039" s="2" t="s">
        <v>24</v>
      </c>
      <c r="N1039" s="2" t="s">
        <v>121</v>
      </c>
      <c r="P1039" s="7">
        <v>1</v>
      </c>
      <c r="Q1039" s="99" t="s">
        <v>3966</v>
      </c>
    </row>
    <row r="1040" spans="1:17">
      <c r="A1040" s="21">
        <v>20</v>
      </c>
      <c r="B1040" s="2" t="s">
        <v>3762</v>
      </c>
      <c r="C1040" s="21">
        <v>3</v>
      </c>
      <c r="D1040" s="2" t="s">
        <v>3950</v>
      </c>
      <c r="E1040" s="14">
        <v>0</v>
      </c>
      <c r="F1040" s="21">
        <v>4</v>
      </c>
      <c r="G1040" s="2" t="s">
        <v>2881</v>
      </c>
      <c r="H1040" s="23" t="s">
        <v>3967</v>
      </c>
      <c r="I1040" s="101" t="s">
        <v>3968</v>
      </c>
      <c r="J1040" s="2" t="s">
        <v>24</v>
      </c>
      <c r="K1040" s="2" t="s">
        <v>25</v>
      </c>
      <c r="L1040" s="2" t="s">
        <v>3799</v>
      </c>
      <c r="M1040" s="2" t="s">
        <v>24</v>
      </c>
      <c r="N1040" s="2" t="s">
        <v>25</v>
      </c>
      <c r="O1040" s="2" t="s">
        <v>3799</v>
      </c>
      <c r="P1040" s="7">
        <v>1</v>
      </c>
      <c r="Q1040" s="99" t="s">
        <v>3969</v>
      </c>
    </row>
    <row r="1041" spans="1:17">
      <c r="A1041" s="21">
        <v>20</v>
      </c>
      <c r="B1041" s="2" t="s">
        <v>3762</v>
      </c>
      <c r="C1041" s="21">
        <v>3</v>
      </c>
      <c r="D1041" s="2" t="s">
        <v>3950</v>
      </c>
      <c r="E1041" s="14">
        <v>0</v>
      </c>
      <c r="F1041" s="21">
        <v>5</v>
      </c>
      <c r="G1041" s="2" t="s">
        <v>3970</v>
      </c>
      <c r="H1041" s="23" t="s">
        <v>3971</v>
      </c>
      <c r="I1041" s="101" t="s">
        <v>3972</v>
      </c>
      <c r="J1041" s="2" t="s">
        <v>24</v>
      </c>
      <c r="K1041" s="2" t="s">
        <v>25</v>
      </c>
      <c r="M1041" s="2" t="s">
        <v>24</v>
      </c>
      <c r="N1041" s="2" t="s">
        <v>25</v>
      </c>
      <c r="O1041" s="2" t="s">
        <v>2556</v>
      </c>
      <c r="P1041" s="7">
        <v>1</v>
      </c>
      <c r="Q1041" s="99" t="s">
        <v>3973</v>
      </c>
    </row>
    <row r="1042" spans="1:17">
      <c r="A1042" s="21">
        <v>20</v>
      </c>
      <c r="B1042" s="2" t="s">
        <v>3762</v>
      </c>
      <c r="C1042" s="21">
        <v>3</v>
      </c>
      <c r="D1042" s="2" t="s">
        <v>3950</v>
      </c>
      <c r="E1042" s="14">
        <v>0</v>
      </c>
      <c r="F1042" s="21">
        <v>6</v>
      </c>
      <c r="G1042" s="2" t="s">
        <v>3974</v>
      </c>
      <c r="H1042" s="23" t="s">
        <v>3975</v>
      </c>
      <c r="I1042" s="101" t="s">
        <v>3976</v>
      </c>
      <c r="J1042" s="2" t="s">
        <v>24</v>
      </c>
      <c r="K1042" s="2" t="s">
        <v>121</v>
      </c>
      <c r="M1042" s="2" t="s">
        <v>24</v>
      </c>
      <c r="N1042" s="2" t="s">
        <v>121</v>
      </c>
      <c r="P1042" s="7">
        <v>1</v>
      </c>
      <c r="Q1042" s="99" t="s">
        <v>3977</v>
      </c>
    </row>
    <row r="1043" spans="1:17">
      <c r="A1043" s="21">
        <v>20</v>
      </c>
      <c r="B1043" s="2" t="s">
        <v>3762</v>
      </c>
      <c r="C1043" s="21">
        <v>3</v>
      </c>
      <c r="D1043" s="2" t="s">
        <v>3950</v>
      </c>
      <c r="E1043" s="14">
        <v>0</v>
      </c>
      <c r="F1043" s="21">
        <v>7</v>
      </c>
      <c r="G1043" s="2" t="s">
        <v>3978</v>
      </c>
      <c r="H1043" s="23" t="s">
        <v>3979</v>
      </c>
      <c r="I1043" s="101" t="s">
        <v>3980</v>
      </c>
      <c r="J1043" s="2" t="s">
        <v>24</v>
      </c>
      <c r="K1043" s="2" t="s">
        <v>25</v>
      </c>
      <c r="L1043" s="2" t="s">
        <v>3799</v>
      </c>
      <c r="M1043" s="2" t="s">
        <v>24</v>
      </c>
      <c r="N1043" s="2" t="s">
        <v>25</v>
      </c>
      <c r="O1043" s="2" t="s">
        <v>3799</v>
      </c>
      <c r="P1043" s="7">
        <v>1</v>
      </c>
      <c r="Q1043" s="99" t="s">
        <v>3981</v>
      </c>
    </row>
    <row r="1044" spans="1:17">
      <c r="A1044" s="21">
        <v>20</v>
      </c>
      <c r="B1044" s="2" t="s">
        <v>3762</v>
      </c>
      <c r="C1044" s="21">
        <v>4</v>
      </c>
      <c r="D1044" s="2" t="s">
        <v>3982</v>
      </c>
      <c r="E1044" s="14">
        <v>0</v>
      </c>
      <c r="F1044" s="21">
        <v>0</v>
      </c>
      <c r="G1044" s="2" t="s">
        <v>20</v>
      </c>
      <c r="H1044" s="23" t="s">
        <v>3983</v>
      </c>
      <c r="I1044" s="34" t="s">
        <v>3984</v>
      </c>
      <c r="J1044" s="2" t="s">
        <v>23</v>
      </c>
      <c r="K1044" s="2" t="s">
        <v>23</v>
      </c>
      <c r="M1044" s="2" t="s">
        <v>24</v>
      </c>
      <c r="N1044" s="2" t="s">
        <v>25</v>
      </c>
      <c r="O1044" s="27" t="s">
        <v>26</v>
      </c>
      <c r="P1044" s="26">
        <v>1</v>
      </c>
      <c r="Q1044" s="1" t="s">
        <v>3985</v>
      </c>
    </row>
    <row r="1045" spans="1:17">
      <c r="A1045" s="21">
        <v>20</v>
      </c>
      <c r="B1045" s="2" t="s">
        <v>3762</v>
      </c>
      <c r="C1045" s="21">
        <v>4</v>
      </c>
      <c r="D1045" s="2" t="s">
        <v>3982</v>
      </c>
      <c r="E1045" s="14">
        <v>0</v>
      </c>
      <c r="F1045" s="21">
        <v>1</v>
      </c>
      <c r="G1045" s="2" t="s">
        <v>2939</v>
      </c>
      <c r="H1045" s="23" t="s">
        <v>3986</v>
      </c>
      <c r="I1045" s="101" t="s">
        <v>3987</v>
      </c>
      <c r="J1045" s="2" t="s">
        <v>38</v>
      </c>
      <c r="K1045" s="2" t="s">
        <v>23</v>
      </c>
      <c r="M1045" s="2" t="s">
        <v>38</v>
      </c>
      <c r="N1045" s="2" t="s">
        <v>23</v>
      </c>
      <c r="P1045" s="7">
        <v>1</v>
      </c>
      <c r="Q1045" s="99" t="s">
        <v>3988</v>
      </c>
    </row>
    <row r="1046" spans="1:17">
      <c r="A1046" s="21">
        <v>20</v>
      </c>
      <c r="B1046" s="2" t="s">
        <v>3762</v>
      </c>
      <c r="C1046" s="21">
        <v>4</v>
      </c>
      <c r="D1046" s="2" t="s">
        <v>3982</v>
      </c>
      <c r="E1046" s="14">
        <v>0</v>
      </c>
      <c r="F1046" s="21">
        <v>2</v>
      </c>
      <c r="G1046" s="2" t="s">
        <v>859</v>
      </c>
      <c r="H1046" s="23" t="s">
        <v>3989</v>
      </c>
      <c r="I1046" s="101" t="s">
        <v>3990</v>
      </c>
      <c r="J1046" s="2" t="s">
        <v>24</v>
      </c>
      <c r="K1046" s="2" t="s">
        <v>3640</v>
      </c>
      <c r="M1046" s="2" t="s">
        <v>24</v>
      </c>
      <c r="N1046" s="2" t="s">
        <v>3640</v>
      </c>
      <c r="P1046" s="7">
        <v>1</v>
      </c>
      <c r="Q1046" s="99" t="s">
        <v>3991</v>
      </c>
    </row>
    <row r="1047" spans="1:17">
      <c r="A1047" s="21">
        <v>20</v>
      </c>
      <c r="B1047" s="2" t="s">
        <v>3762</v>
      </c>
      <c r="C1047" s="21">
        <v>4</v>
      </c>
      <c r="D1047" s="2" t="s">
        <v>3982</v>
      </c>
      <c r="E1047" s="14">
        <v>0</v>
      </c>
      <c r="F1047" s="21">
        <v>3</v>
      </c>
      <c r="G1047" s="2" t="s">
        <v>3642</v>
      </c>
      <c r="H1047" s="23" t="s">
        <v>3992</v>
      </c>
      <c r="I1047" s="101" t="s">
        <v>3993</v>
      </c>
      <c r="J1047" s="2" t="s">
        <v>24</v>
      </c>
      <c r="K1047" s="2" t="s">
        <v>3640</v>
      </c>
      <c r="M1047" s="2" t="s">
        <v>24</v>
      </c>
      <c r="N1047" s="2" t="s">
        <v>3640</v>
      </c>
      <c r="P1047" s="7">
        <v>1</v>
      </c>
      <c r="Q1047" s="99" t="s">
        <v>3994</v>
      </c>
    </row>
    <row r="1048" spans="1:17">
      <c r="A1048" s="21">
        <v>20</v>
      </c>
      <c r="B1048" s="2" t="s">
        <v>3762</v>
      </c>
      <c r="C1048" s="21">
        <v>4</v>
      </c>
      <c r="D1048" s="2" t="s">
        <v>3982</v>
      </c>
      <c r="E1048" s="14">
        <v>0</v>
      </c>
      <c r="F1048" s="21">
        <v>4</v>
      </c>
      <c r="G1048" s="2" t="s">
        <v>3995</v>
      </c>
      <c r="H1048" s="23" t="s">
        <v>3996</v>
      </c>
      <c r="I1048" s="101" t="s">
        <v>3997</v>
      </c>
      <c r="J1048" s="2" t="s">
        <v>24</v>
      </c>
      <c r="K1048" s="2" t="s">
        <v>25</v>
      </c>
      <c r="L1048" s="2" t="s">
        <v>3957</v>
      </c>
      <c r="M1048" s="2" t="s">
        <v>24</v>
      </c>
      <c r="N1048" s="2" t="s">
        <v>25</v>
      </c>
      <c r="O1048" s="2" t="s">
        <v>3957</v>
      </c>
      <c r="P1048" s="7">
        <v>1</v>
      </c>
      <c r="Q1048" s="99" t="s">
        <v>3998</v>
      </c>
    </row>
    <row r="1049" spans="1:17">
      <c r="A1049" s="21">
        <v>20</v>
      </c>
      <c r="B1049" s="2" t="s">
        <v>3762</v>
      </c>
      <c r="C1049" s="21">
        <v>4</v>
      </c>
      <c r="D1049" s="2" t="s">
        <v>3982</v>
      </c>
      <c r="E1049" s="14">
        <v>0</v>
      </c>
      <c r="F1049" s="21">
        <v>5</v>
      </c>
      <c r="G1049" s="2" t="s">
        <v>3999</v>
      </c>
      <c r="H1049" s="23" t="s">
        <v>4000</v>
      </c>
      <c r="I1049" s="101" t="s">
        <v>4001</v>
      </c>
      <c r="J1049" s="2" t="s">
        <v>24</v>
      </c>
      <c r="K1049" s="2" t="s">
        <v>3743</v>
      </c>
      <c r="M1049" s="2" t="s">
        <v>24</v>
      </c>
      <c r="N1049" s="2" t="s">
        <v>3743</v>
      </c>
      <c r="P1049" s="7">
        <v>1</v>
      </c>
      <c r="Q1049" s="99" t="s">
        <v>4002</v>
      </c>
    </row>
    <row r="1050" spans="1:17">
      <c r="A1050" s="21">
        <v>20</v>
      </c>
      <c r="B1050" s="2" t="s">
        <v>3762</v>
      </c>
      <c r="C1050" s="21">
        <v>4</v>
      </c>
      <c r="D1050" s="2" t="s">
        <v>3982</v>
      </c>
      <c r="E1050" s="14">
        <v>0</v>
      </c>
      <c r="F1050" s="21">
        <v>6</v>
      </c>
      <c r="G1050" s="2" t="s">
        <v>4003</v>
      </c>
      <c r="H1050" s="23" t="s">
        <v>4004</v>
      </c>
      <c r="I1050" s="101" t="s">
        <v>4005</v>
      </c>
      <c r="J1050" s="2" t="s">
        <v>24</v>
      </c>
      <c r="K1050" s="2" t="s">
        <v>121</v>
      </c>
      <c r="M1050" s="2" t="s">
        <v>24</v>
      </c>
      <c r="N1050" s="2" t="s">
        <v>121</v>
      </c>
      <c r="P1050" s="7">
        <v>1</v>
      </c>
      <c r="Q1050" s="99" t="s">
        <v>4006</v>
      </c>
    </row>
    <row r="1051" spans="1:17">
      <c r="A1051" s="21">
        <v>20</v>
      </c>
      <c r="B1051" s="2" t="s">
        <v>3762</v>
      </c>
      <c r="C1051" s="21">
        <v>4</v>
      </c>
      <c r="D1051" s="2" t="s">
        <v>3982</v>
      </c>
      <c r="E1051" s="14">
        <v>0</v>
      </c>
      <c r="F1051" s="21">
        <v>7</v>
      </c>
      <c r="G1051" s="2" t="s">
        <v>4007</v>
      </c>
      <c r="H1051" s="23" t="s">
        <v>4008</v>
      </c>
      <c r="I1051" s="101" t="s">
        <v>4009</v>
      </c>
      <c r="J1051" s="2" t="s">
        <v>24</v>
      </c>
      <c r="K1051" s="2" t="s">
        <v>25</v>
      </c>
      <c r="L1051" s="2" t="s">
        <v>3799</v>
      </c>
      <c r="M1051" s="2" t="s">
        <v>24</v>
      </c>
      <c r="N1051" s="2" t="s">
        <v>25</v>
      </c>
      <c r="O1051" s="2" t="s">
        <v>3799</v>
      </c>
      <c r="P1051" s="7">
        <v>1</v>
      </c>
      <c r="Q1051" s="99" t="s">
        <v>4010</v>
      </c>
    </row>
    <row r="1052" spans="1:17">
      <c r="A1052" s="21">
        <v>20</v>
      </c>
      <c r="B1052" s="2" t="s">
        <v>3762</v>
      </c>
      <c r="C1052" s="21">
        <v>4</v>
      </c>
      <c r="D1052" s="2" t="s">
        <v>3982</v>
      </c>
      <c r="E1052" s="14">
        <v>0</v>
      </c>
      <c r="F1052" s="21">
        <v>8</v>
      </c>
      <c r="G1052" s="2" t="s">
        <v>4011</v>
      </c>
      <c r="H1052" s="23" t="s">
        <v>4012</v>
      </c>
      <c r="I1052" s="101" t="s">
        <v>4013</v>
      </c>
      <c r="J1052" s="2" t="s">
        <v>24</v>
      </c>
      <c r="K1052" s="2" t="s">
        <v>3640</v>
      </c>
      <c r="M1052" s="2" t="s">
        <v>24</v>
      </c>
      <c r="N1052" s="2" t="s">
        <v>3640</v>
      </c>
      <c r="P1052" s="7">
        <v>1</v>
      </c>
      <c r="Q1052" s="99" t="s">
        <v>4014</v>
      </c>
    </row>
    <row r="1053" spans="1:17">
      <c r="A1053" s="21">
        <v>20</v>
      </c>
      <c r="B1053" s="2" t="s">
        <v>3762</v>
      </c>
      <c r="C1053" s="21">
        <v>4</v>
      </c>
      <c r="D1053" s="2" t="s">
        <v>3982</v>
      </c>
      <c r="E1053" s="14">
        <v>0</v>
      </c>
      <c r="F1053" s="21">
        <v>9</v>
      </c>
      <c r="G1053" s="2" t="s">
        <v>4015</v>
      </c>
      <c r="H1053" s="23" t="s">
        <v>4016</v>
      </c>
      <c r="I1053" s="101" t="s">
        <v>4017</v>
      </c>
      <c r="J1053" s="2" t="s">
        <v>24</v>
      </c>
      <c r="K1053" s="2" t="s">
        <v>3640</v>
      </c>
      <c r="M1053" s="2" t="s">
        <v>24</v>
      </c>
      <c r="N1053" s="2" t="s">
        <v>3640</v>
      </c>
      <c r="P1053" s="7">
        <v>1</v>
      </c>
      <c r="Q1053" s="99" t="s">
        <v>4018</v>
      </c>
    </row>
    <row r="1054" spans="1:17">
      <c r="A1054" s="21">
        <v>20</v>
      </c>
      <c r="B1054" s="2" t="s">
        <v>3762</v>
      </c>
      <c r="C1054" s="21">
        <v>5</v>
      </c>
      <c r="D1054" s="2" t="s">
        <v>4019</v>
      </c>
      <c r="E1054" s="14">
        <v>0</v>
      </c>
      <c r="F1054" s="21">
        <v>0</v>
      </c>
      <c r="G1054" s="2" t="s">
        <v>20</v>
      </c>
      <c r="H1054" s="23" t="s">
        <v>4020</v>
      </c>
      <c r="I1054" s="34" t="s">
        <v>4021</v>
      </c>
      <c r="J1054" s="2" t="s">
        <v>23</v>
      </c>
      <c r="K1054" s="2" t="s">
        <v>23</v>
      </c>
      <c r="M1054" s="2" t="s">
        <v>24</v>
      </c>
      <c r="N1054" s="2" t="s">
        <v>25</v>
      </c>
      <c r="O1054" s="27" t="s">
        <v>26</v>
      </c>
      <c r="P1054" s="26">
        <v>1</v>
      </c>
      <c r="Q1054" s="1" t="s">
        <v>4022</v>
      </c>
    </row>
    <row r="1055" spans="1:17">
      <c r="A1055" s="21">
        <v>20</v>
      </c>
      <c r="B1055" s="2" t="s">
        <v>3762</v>
      </c>
      <c r="C1055" s="21">
        <v>5</v>
      </c>
      <c r="D1055" s="2" t="s">
        <v>4019</v>
      </c>
      <c r="E1055" s="14">
        <v>0</v>
      </c>
      <c r="F1055" s="21">
        <v>1</v>
      </c>
      <c r="G1055" s="2" t="s">
        <v>181</v>
      </c>
      <c r="H1055" s="23" t="s">
        <v>4023</v>
      </c>
      <c r="I1055" s="101" t="s">
        <v>4024</v>
      </c>
      <c r="J1055" s="2" t="s">
        <v>38</v>
      </c>
      <c r="K1055" s="2" t="s">
        <v>23</v>
      </c>
      <c r="L1055" s="5"/>
      <c r="M1055" s="2" t="s">
        <v>38</v>
      </c>
      <c r="N1055" s="2" t="s">
        <v>23</v>
      </c>
      <c r="O1055" s="5"/>
      <c r="P1055" s="7">
        <v>1</v>
      </c>
      <c r="Q1055" s="106" t="s">
        <v>2836</v>
      </c>
    </row>
    <row r="1056" spans="1:17">
      <c r="A1056" s="21">
        <v>20</v>
      </c>
      <c r="B1056" s="2" t="s">
        <v>3762</v>
      </c>
      <c r="C1056" s="21">
        <v>5</v>
      </c>
      <c r="D1056" s="2" t="s">
        <v>4019</v>
      </c>
      <c r="E1056" s="14">
        <v>0</v>
      </c>
      <c r="F1056" s="21">
        <v>2</v>
      </c>
      <c r="G1056" s="2" t="s">
        <v>370</v>
      </c>
      <c r="H1056" s="23" t="s">
        <v>4026</v>
      </c>
      <c r="I1056" s="101" t="s">
        <v>4027</v>
      </c>
      <c r="J1056" s="2" t="s">
        <v>24</v>
      </c>
      <c r="K1056" s="2" t="s">
        <v>116</v>
      </c>
      <c r="L1056" s="9" t="s">
        <v>373</v>
      </c>
      <c r="M1056" s="2" t="s">
        <v>24</v>
      </c>
      <c r="N1056" s="2" t="s">
        <v>116</v>
      </c>
      <c r="O1056" s="9" t="s">
        <v>373</v>
      </c>
      <c r="P1056" s="7">
        <v>1</v>
      </c>
      <c r="Q1056" s="99" t="s">
        <v>374</v>
      </c>
    </row>
    <row r="1057" spans="1:18">
      <c r="A1057" s="21">
        <v>20</v>
      </c>
      <c r="B1057" s="2" t="s">
        <v>3762</v>
      </c>
      <c r="C1057" s="21">
        <v>6</v>
      </c>
      <c r="D1057" s="2" t="s">
        <v>4028</v>
      </c>
      <c r="E1057" s="14">
        <v>0</v>
      </c>
      <c r="F1057" s="21">
        <v>0</v>
      </c>
      <c r="G1057" s="2" t="s">
        <v>20</v>
      </c>
      <c r="H1057" s="23" t="s">
        <v>4029</v>
      </c>
      <c r="I1057" s="34" t="s">
        <v>4030</v>
      </c>
      <c r="J1057" s="2" t="s">
        <v>23</v>
      </c>
      <c r="K1057" s="2" t="s">
        <v>23</v>
      </c>
      <c r="M1057" s="2" t="s">
        <v>24</v>
      </c>
      <c r="N1057" s="2" t="s">
        <v>25</v>
      </c>
      <c r="O1057" s="27" t="s">
        <v>26</v>
      </c>
      <c r="P1057" s="26">
        <v>1</v>
      </c>
      <c r="Q1057" s="1" t="s">
        <v>4031</v>
      </c>
    </row>
    <row r="1058" spans="1:18">
      <c r="A1058" s="71">
        <v>20</v>
      </c>
      <c r="B1058" s="2" t="s">
        <v>3762</v>
      </c>
      <c r="C1058" s="71">
        <v>6</v>
      </c>
      <c r="D1058" s="2" t="s">
        <v>4028</v>
      </c>
      <c r="E1058" s="74">
        <v>0</v>
      </c>
      <c r="F1058" s="71">
        <v>1</v>
      </c>
      <c r="G1058" s="2" t="s">
        <v>2798</v>
      </c>
      <c r="H1058" s="73" t="s">
        <v>4032</v>
      </c>
      <c r="I1058" s="100" t="s">
        <v>4033</v>
      </c>
      <c r="J1058" s="2" t="s">
        <v>32</v>
      </c>
      <c r="K1058" s="2" t="s">
        <v>23</v>
      </c>
      <c r="M1058" s="2" t="s">
        <v>32</v>
      </c>
      <c r="N1058" s="2" t="s">
        <v>23</v>
      </c>
      <c r="O1058" s="27"/>
      <c r="P1058" s="26">
        <v>0</v>
      </c>
      <c r="Q1058" s="99" t="s">
        <v>4034</v>
      </c>
    </row>
    <row r="1059" spans="1:18">
      <c r="A1059" s="71">
        <v>20</v>
      </c>
      <c r="B1059" s="2" t="s">
        <v>3762</v>
      </c>
      <c r="C1059" s="71">
        <v>6</v>
      </c>
      <c r="D1059" s="2" t="s">
        <v>4028</v>
      </c>
      <c r="E1059" s="74">
        <v>0</v>
      </c>
      <c r="F1059" s="71">
        <v>2</v>
      </c>
      <c r="G1059" s="2" t="s">
        <v>1191</v>
      </c>
      <c r="H1059" s="73" t="s">
        <v>4036</v>
      </c>
      <c r="I1059" s="100" t="s">
        <v>4037</v>
      </c>
      <c r="J1059" s="2" t="s">
        <v>23</v>
      </c>
      <c r="K1059" s="2" t="s">
        <v>23</v>
      </c>
      <c r="M1059" s="2" t="s">
        <v>24</v>
      </c>
      <c r="N1059" s="2" t="s">
        <v>116</v>
      </c>
      <c r="O1059" s="11" t="s">
        <v>4037</v>
      </c>
      <c r="P1059" s="26">
        <v>0</v>
      </c>
      <c r="Q1059" s="99" t="s">
        <v>852</v>
      </c>
    </row>
    <row r="1060" spans="1:18">
      <c r="A1060" s="71">
        <v>20</v>
      </c>
      <c r="B1060" s="2" t="s">
        <v>3762</v>
      </c>
      <c r="C1060" s="71">
        <v>6</v>
      </c>
      <c r="D1060" s="2" t="s">
        <v>4028</v>
      </c>
      <c r="E1060" s="74">
        <v>0</v>
      </c>
      <c r="F1060" s="71">
        <v>3</v>
      </c>
      <c r="G1060" s="2" t="s">
        <v>4039</v>
      </c>
      <c r="H1060" s="73" t="s">
        <v>4040</v>
      </c>
      <c r="I1060" s="100" t="s">
        <v>4041</v>
      </c>
      <c r="J1060" s="2" t="s">
        <v>23</v>
      </c>
      <c r="K1060" s="2" t="s">
        <v>23</v>
      </c>
      <c r="M1060" s="2" t="s">
        <v>24</v>
      </c>
      <c r="N1060" s="2" t="s">
        <v>206</v>
      </c>
      <c r="O1060" s="27"/>
      <c r="P1060" s="26">
        <v>0</v>
      </c>
      <c r="Q1060" s="99" t="s">
        <v>4042</v>
      </c>
    </row>
    <row r="1061" spans="1:18">
      <c r="A1061" s="71">
        <v>20</v>
      </c>
      <c r="B1061" s="2" t="s">
        <v>3762</v>
      </c>
      <c r="C1061" s="71">
        <v>6</v>
      </c>
      <c r="D1061" s="2" t="s">
        <v>4028</v>
      </c>
      <c r="E1061" s="74">
        <v>0</v>
      </c>
      <c r="F1061" s="71">
        <v>4</v>
      </c>
      <c r="G1061" s="2" t="s">
        <v>4044</v>
      </c>
      <c r="H1061" s="73" t="s">
        <v>4045</v>
      </c>
      <c r="I1061" s="100" t="s">
        <v>4046</v>
      </c>
      <c r="J1061" s="2" t="s">
        <v>23</v>
      </c>
      <c r="K1061" s="2" t="s">
        <v>23</v>
      </c>
      <c r="M1061" s="50" t="s">
        <v>32</v>
      </c>
      <c r="N1061" s="50" t="s">
        <v>23</v>
      </c>
      <c r="O1061" s="27"/>
      <c r="P1061" s="26">
        <v>0</v>
      </c>
      <c r="Q1061" s="99" t="s">
        <v>4047</v>
      </c>
    </row>
    <row r="1062" spans="1:18">
      <c r="A1062" s="71">
        <v>20</v>
      </c>
      <c r="B1062" s="2" t="s">
        <v>3762</v>
      </c>
      <c r="C1062" s="71">
        <v>6</v>
      </c>
      <c r="D1062" s="2" t="s">
        <v>4028</v>
      </c>
      <c r="E1062" s="74">
        <v>0</v>
      </c>
      <c r="F1062" s="71">
        <v>5</v>
      </c>
      <c r="G1062" s="2" t="s">
        <v>4049</v>
      </c>
      <c r="H1062" s="73" t="s">
        <v>4050</v>
      </c>
      <c r="I1062" s="100" t="s">
        <v>4051</v>
      </c>
      <c r="J1062" s="50" t="s">
        <v>32</v>
      </c>
      <c r="K1062" s="50" t="s">
        <v>23</v>
      </c>
      <c r="M1062" s="50" t="s">
        <v>32</v>
      </c>
      <c r="N1062" s="50" t="s">
        <v>23</v>
      </c>
      <c r="O1062" s="27"/>
      <c r="P1062" s="26">
        <v>0</v>
      </c>
      <c r="Q1062" s="99" t="s">
        <v>4052</v>
      </c>
    </row>
    <row r="1063" spans="1:18">
      <c r="A1063" s="71">
        <v>20</v>
      </c>
      <c r="B1063" s="2" t="s">
        <v>3762</v>
      </c>
      <c r="C1063" s="71">
        <v>6</v>
      </c>
      <c r="D1063" s="2" t="s">
        <v>4028</v>
      </c>
      <c r="E1063" s="74">
        <v>0</v>
      </c>
      <c r="F1063" s="71">
        <v>6</v>
      </c>
      <c r="G1063" s="2" t="s">
        <v>4054</v>
      </c>
      <c r="H1063" s="73" t="s">
        <v>4055</v>
      </c>
      <c r="I1063" s="100" t="s">
        <v>4056</v>
      </c>
      <c r="J1063" s="2" t="s">
        <v>23</v>
      </c>
      <c r="K1063" s="50" t="s">
        <v>23</v>
      </c>
      <c r="M1063" s="2" t="s">
        <v>24</v>
      </c>
      <c r="N1063" s="50" t="s">
        <v>23</v>
      </c>
      <c r="O1063" s="27"/>
      <c r="P1063" s="26">
        <v>0</v>
      </c>
      <c r="Q1063" s="99" t="s">
        <v>4057</v>
      </c>
    </row>
    <row r="1064" spans="1:18">
      <c r="A1064" s="71">
        <v>20</v>
      </c>
      <c r="B1064" s="2" t="s">
        <v>3762</v>
      </c>
      <c r="C1064" s="71">
        <v>6</v>
      </c>
      <c r="D1064" s="2" t="s">
        <v>4028</v>
      </c>
      <c r="E1064" s="74">
        <v>0</v>
      </c>
      <c r="F1064" s="71">
        <v>7</v>
      </c>
      <c r="G1064" s="2" t="s">
        <v>1221</v>
      </c>
      <c r="H1064" s="73" t="s">
        <v>8872</v>
      </c>
      <c r="I1064" s="100" t="s">
        <v>8873</v>
      </c>
      <c r="J1064" s="2" t="s">
        <v>23</v>
      </c>
      <c r="K1064" s="50" t="s">
        <v>23</v>
      </c>
      <c r="M1064" s="2" t="s">
        <v>38</v>
      </c>
      <c r="N1064" s="2" t="s">
        <v>23</v>
      </c>
      <c r="P1064" s="26">
        <v>0</v>
      </c>
      <c r="Q1064" s="99" t="s">
        <v>8871</v>
      </c>
      <c r="R1064" s="2" t="s">
        <v>8874</v>
      </c>
    </row>
    <row r="1065" spans="1:18">
      <c r="A1065" s="71">
        <v>20</v>
      </c>
      <c r="B1065" s="2" t="s">
        <v>3762</v>
      </c>
      <c r="C1065" s="71">
        <v>6</v>
      </c>
      <c r="D1065" s="2" t="s">
        <v>4028</v>
      </c>
      <c r="E1065" s="74">
        <v>0</v>
      </c>
      <c r="F1065" s="71">
        <v>8</v>
      </c>
      <c r="G1065" s="2" t="s">
        <v>35</v>
      </c>
      <c r="H1065" s="73" t="s">
        <v>10841</v>
      </c>
      <c r="I1065" s="100" t="s">
        <v>10842</v>
      </c>
      <c r="J1065" s="2" t="s">
        <v>24</v>
      </c>
      <c r="K1065" s="50" t="s">
        <v>23</v>
      </c>
      <c r="M1065" s="2" t="s">
        <v>24</v>
      </c>
      <c r="N1065" s="2" t="s">
        <v>23</v>
      </c>
      <c r="P1065" s="26">
        <v>0</v>
      </c>
      <c r="Q1065" s="99" t="s">
        <v>10840</v>
      </c>
    </row>
    <row r="1066" spans="1:18">
      <c r="A1066" s="71">
        <v>20</v>
      </c>
      <c r="B1066" s="2" t="s">
        <v>3762</v>
      </c>
      <c r="C1066" s="71">
        <v>6</v>
      </c>
      <c r="D1066" s="2" t="s">
        <v>4028</v>
      </c>
      <c r="E1066" s="74">
        <v>0</v>
      </c>
      <c r="F1066" s="71">
        <v>9</v>
      </c>
      <c r="G1066" s="2" t="s">
        <v>1490</v>
      </c>
      <c r="H1066" s="73" t="s">
        <v>10844</v>
      </c>
      <c r="I1066" s="100" t="s">
        <v>10845</v>
      </c>
      <c r="J1066" s="2" t="s">
        <v>24</v>
      </c>
      <c r="K1066" s="50" t="s">
        <v>116</v>
      </c>
      <c r="L1066" s="16" t="s">
        <v>10845</v>
      </c>
      <c r="M1066" s="2" t="s">
        <v>24</v>
      </c>
      <c r="N1066" s="50" t="s">
        <v>116</v>
      </c>
      <c r="O1066" s="16" t="s">
        <v>10845</v>
      </c>
      <c r="P1066" s="26">
        <v>0</v>
      </c>
      <c r="Q1066" s="99" t="s">
        <v>10843</v>
      </c>
    </row>
    <row r="1067" spans="1:18">
      <c r="A1067" s="71">
        <v>20</v>
      </c>
      <c r="B1067" s="2" t="s">
        <v>3762</v>
      </c>
      <c r="C1067" s="71">
        <v>6</v>
      </c>
      <c r="D1067" s="2" t="s">
        <v>4028</v>
      </c>
      <c r="E1067" s="74">
        <v>0</v>
      </c>
      <c r="F1067" s="71">
        <v>10</v>
      </c>
      <c r="G1067" s="2" t="s">
        <v>1552</v>
      </c>
      <c r="H1067" s="73" t="s">
        <v>10847</v>
      </c>
      <c r="I1067" s="100" t="s">
        <v>10848</v>
      </c>
      <c r="J1067" s="2" t="s">
        <v>24</v>
      </c>
      <c r="K1067" s="2" t="s">
        <v>116</v>
      </c>
      <c r="L1067" s="16" t="s">
        <v>10848</v>
      </c>
      <c r="M1067" s="2" t="s">
        <v>24</v>
      </c>
      <c r="N1067" s="2" t="s">
        <v>116</v>
      </c>
      <c r="O1067" s="16" t="s">
        <v>10848</v>
      </c>
      <c r="P1067" s="26">
        <v>0</v>
      </c>
      <c r="Q1067" s="99" t="s">
        <v>10849</v>
      </c>
    </row>
    <row r="1068" spans="1:18">
      <c r="A1068" s="21">
        <v>20</v>
      </c>
      <c r="B1068" s="2" t="s">
        <v>3762</v>
      </c>
      <c r="C1068" s="21">
        <v>7</v>
      </c>
      <c r="D1068" s="2" t="s">
        <v>4058</v>
      </c>
      <c r="E1068" s="14">
        <v>0</v>
      </c>
      <c r="F1068" s="21">
        <v>0</v>
      </c>
      <c r="G1068" s="2" t="s">
        <v>20</v>
      </c>
      <c r="H1068" s="23" t="s">
        <v>4059</v>
      </c>
      <c r="I1068" s="34" t="s">
        <v>4060</v>
      </c>
      <c r="J1068" s="2" t="s">
        <v>23</v>
      </c>
      <c r="K1068" s="2" t="s">
        <v>23</v>
      </c>
      <c r="M1068" s="2" t="s">
        <v>24</v>
      </c>
      <c r="N1068" s="2" t="s">
        <v>25</v>
      </c>
      <c r="O1068" s="27" t="s">
        <v>26</v>
      </c>
      <c r="P1068" s="26">
        <v>1</v>
      </c>
      <c r="Q1068" s="1" t="s">
        <v>4061</v>
      </c>
    </row>
    <row r="1069" spans="1:18">
      <c r="A1069" s="71">
        <v>20</v>
      </c>
      <c r="B1069" s="2" t="s">
        <v>3762</v>
      </c>
      <c r="C1069" s="71">
        <v>7</v>
      </c>
      <c r="D1069" s="2" t="s">
        <v>4058</v>
      </c>
      <c r="E1069" s="74">
        <v>0</v>
      </c>
      <c r="F1069" s="71">
        <v>1</v>
      </c>
      <c r="G1069" s="2" t="s">
        <v>4049</v>
      </c>
      <c r="H1069" s="73" t="s">
        <v>4062</v>
      </c>
      <c r="I1069" s="100" t="s">
        <v>4063</v>
      </c>
      <c r="J1069" s="50" t="s">
        <v>32</v>
      </c>
      <c r="K1069" s="50" t="s">
        <v>23</v>
      </c>
      <c r="M1069" s="50" t="s">
        <v>32</v>
      </c>
      <c r="N1069" s="50" t="s">
        <v>23</v>
      </c>
      <c r="P1069" s="7">
        <v>0</v>
      </c>
      <c r="Q1069" s="99" t="s">
        <v>4052</v>
      </c>
    </row>
    <row r="1070" spans="1:18">
      <c r="A1070" s="71">
        <v>20</v>
      </c>
      <c r="B1070" s="2" t="s">
        <v>3762</v>
      </c>
      <c r="C1070" s="71">
        <v>7</v>
      </c>
      <c r="D1070" s="2" t="s">
        <v>4058</v>
      </c>
      <c r="E1070" s="74">
        <v>0</v>
      </c>
      <c r="F1070" s="71">
        <v>2</v>
      </c>
      <c r="G1070" s="2" t="s">
        <v>1191</v>
      </c>
      <c r="H1070" s="73" t="s">
        <v>4065</v>
      </c>
      <c r="I1070" s="100" t="s">
        <v>4066</v>
      </c>
      <c r="J1070" s="2" t="s">
        <v>23</v>
      </c>
      <c r="K1070" s="2" t="s">
        <v>23</v>
      </c>
      <c r="M1070" s="2" t="s">
        <v>24</v>
      </c>
      <c r="N1070" s="2" t="s">
        <v>23</v>
      </c>
      <c r="O1070" s="27"/>
      <c r="P1070" s="26">
        <v>0</v>
      </c>
      <c r="Q1070" s="99" t="s">
        <v>852</v>
      </c>
    </row>
    <row r="1071" spans="1:18">
      <c r="A1071" s="71">
        <v>20</v>
      </c>
      <c r="B1071" s="2" t="s">
        <v>3762</v>
      </c>
      <c r="C1071" s="71">
        <v>7</v>
      </c>
      <c r="D1071" s="2" t="s">
        <v>4058</v>
      </c>
      <c r="E1071" s="74">
        <v>0</v>
      </c>
      <c r="F1071" s="71">
        <v>3</v>
      </c>
      <c r="G1071" s="2" t="s">
        <v>1221</v>
      </c>
      <c r="H1071" s="73" t="s">
        <v>4067</v>
      </c>
      <c r="I1071" s="100" t="s">
        <v>4068</v>
      </c>
      <c r="J1071" s="2" t="s">
        <v>23</v>
      </c>
      <c r="K1071" s="2" t="s">
        <v>23</v>
      </c>
      <c r="M1071" s="2" t="s">
        <v>38</v>
      </c>
      <c r="N1071" s="2" t="s">
        <v>23</v>
      </c>
      <c r="O1071" s="27"/>
      <c r="P1071" s="26">
        <v>0</v>
      </c>
      <c r="Q1071" s="99" t="s">
        <v>4069</v>
      </c>
      <c r="R1071" s="2" t="s">
        <v>4025</v>
      </c>
    </row>
    <row r="1072" spans="1:18">
      <c r="A1072" s="71">
        <v>20</v>
      </c>
      <c r="B1072" s="2" t="s">
        <v>3762</v>
      </c>
      <c r="C1072" s="71">
        <v>7</v>
      </c>
      <c r="D1072" s="2" t="s">
        <v>4058</v>
      </c>
      <c r="E1072" s="74">
        <v>0</v>
      </c>
      <c r="F1072" s="71">
        <v>4</v>
      </c>
      <c r="G1072" s="2" t="s">
        <v>4070</v>
      </c>
      <c r="H1072" s="73" t="s">
        <v>4071</v>
      </c>
      <c r="I1072" s="100" t="s">
        <v>4072</v>
      </c>
      <c r="J1072" s="2" t="s">
        <v>24</v>
      </c>
      <c r="K1072" s="2" t="s">
        <v>23</v>
      </c>
      <c r="M1072" s="2" t="s">
        <v>24</v>
      </c>
      <c r="N1072" s="2" t="s">
        <v>23</v>
      </c>
      <c r="O1072" s="27"/>
      <c r="P1072" s="26">
        <v>0</v>
      </c>
      <c r="Q1072" s="99" t="s">
        <v>4073</v>
      </c>
    </row>
    <row r="1073" spans="1:18">
      <c r="A1073" s="71">
        <v>20</v>
      </c>
      <c r="B1073" s="2" t="s">
        <v>3762</v>
      </c>
      <c r="C1073" s="71">
        <v>7</v>
      </c>
      <c r="D1073" s="2" t="s">
        <v>4058</v>
      </c>
      <c r="E1073" s="74">
        <v>0</v>
      </c>
      <c r="F1073" s="71">
        <v>5</v>
      </c>
      <c r="G1073" s="2" t="s">
        <v>4044</v>
      </c>
      <c r="H1073" s="73" t="s">
        <v>4074</v>
      </c>
      <c r="I1073" s="100" t="s">
        <v>4075</v>
      </c>
      <c r="J1073" s="2" t="s">
        <v>23</v>
      </c>
      <c r="K1073" s="2" t="s">
        <v>23</v>
      </c>
      <c r="M1073" s="50" t="s">
        <v>32</v>
      </c>
      <c r="N1073" s="50" t="s">
        <v>23</v>
      </c>
      <c r="O1073" s="27"/>
      <c r="P1073" s="26">
        <v>0</v>
      </c>
      <c r="Q1073" s="99" t="s">
        <v>4047</v>
      </c>
    </row>
    <row r="1074" spans="1:18">
      <c r="A1074" s="71">
        <v>20</v>
      </c>
      <c r="B1074" s="2" t="s">
        <v>3762</v>
      </c>
      <c r="C1074" s="71">
        <v>7</v>
      </c>
      <c r="D1074" s="2" t="s">
        <v>4058</v>
      </c>
      <c r="E1074" s="74">
        <v>0</v>
      </c>
      <c r="F1074" s="71">
        <v>6</v>
      </c>
      <c r="G1074" s="2" t="s">
        <v>4039</v>
      </c>
      <c r="H1074" s="73" t="s">
        <v>10854</v>
      </c>
      <c r="I1074" s="100" t="s">
        <v>10855</v>
      </c>
      <c r="J1074" s="2" t="s">
        <v>23</v>
      </c>
      <c r="K1074" s="2" t="s">
        <v>23</v>
      </c>
      <c r="M1074" s="2" t="s">
        <v>24</v>
      </c>
      <c r="N1074" s="2" t="s">
        <v>206</v>
      </c>
      <c r="O1074" s="27"/>
      <c r="P1074" s="26">
        <v>0</v>
      </c>
      <c r="Q1074" s="99" t="s">
        <v>4042</v>
      </c>
      <c r="R1074" s="2" t="s">
        <v>10856</v>
      </c>
    </row>
    <row r="1075" spans="1:18">
      <c r="A1075" s="21">
        <v>20</v>
      </c>
      <c r="B1075" s="2" t="s">
        <v>3762</v>
      </c>
      <c r="C1075" s="21">
        <v>8</v>
      </c>
      <c r="D1075" s="2" t="s">
        <v>4076</v>
      </c>
      <c r="E1075" s="14">
        <v>0</v>
      </c>
      <c r="F1075" s="21">
        <v>0</v>
      </c>
      <c r="G1075" s="2" t="s">
        <v>20</v>
      </c>
      <c r="H1075" s="23" t="s">
        <v>4077</v>
      </c>
      <c r="I1075" s="34" t="s">
        <v>4078</v>
      </c>
      <c r="J1075" s="2" t="s">
        <v>23</v>
      </c>
      <c r="K1075" s="2" t="s">
        <v>23</v>
      </c>
      <c r="M1075" s="2" t="s">
        <v>24</v>
      </c>
      <c r="N1075" s="2" t="s">
        <v>25</v>
      </c>
      <c r="O1075" s="2" t="s">
        <v>26</v>
      </c>
      <c r="P1075" s="7">
        <v>1</v>
      </c>
      <c r="Q1075" s="1" t="s">
        <v>4079</v>
      </c>
      <c r="R1075" s="16" t="s">
        <v>4035</v>
      </c>
    </row>
    <row r="1076" spans="1:18">
      <c r="A1076" s="71">
        <v>20</v>
      </c>
      <c r="B1076" s="2" t="s">
        <v>3762</v>
      </c>
      <c r="C1076" s="71">
        <v>8</v>
      </c>
      <c r="D1076" s="2" t="s">
        <v>4076</v>
      </c>
      <c r="E1076" s="74">
        <v>0</v>
      </c>
      <c r="F1076" s="71">
        <v>1</v>
      </c>
      <c r="G1076" s="2" t="s">
        <v>1922</v>
      </c>
      <c r="H1076" s="73" t="s">
        <v>4080</v>
      </c>
      <c r="I1076" s="100" t="s">
        <v>4081</v>
      </c>
      <c r="J1076" s="2" t="s">
        <v>24</v>
      </c>
      <c r="K1076" s="2" t="s">
        <v>4082</v>
      </c>
      <c r="M1076" s="2" t="s">
        <v>24</v>
      </c>
      <c r="N1076" s="2" t="s">
        <v>4082</v>
      </c>
      <c r="P1076" s="7">
        <v>0</v>
      </c>
      <c r="Q1076" s="99" t="s">
        <v>4083</v>
      </c>
      <c r="R1076" s="2" t="s">
        <v>4038</v>
      </c>
    </row>
    <row r="1077" spans="1:18">
      <c r="A1077" s="21">
        <v>20</v>
      </c>
      <c r="B1077" s="2" t="s">
        <v>3762</v>
      </c>
      <c r="C1077" s="21">
        <v>8</v>
      </c>
      <c r="D1077" s="2" t="s">
        <v>4076</v>
      </c>
      <c r="E1077" s="14">
        <v>0</v>
      </c>
      <c r="F1077" s="21">
        <v>2</v>
      </c>
      <c r="G1077" s="2" t="s">
        <v>4084</v>
      </c>
      <c r="H1077" s="23" t="s">
        <v>4085</v>
      </c>
      <c r="I1077" s="101" t="s">
        <v>4086</v>
      </c>
      <c r="J1077" s="2" t="s">
        <v>24</v>
      </c>
      <c r="K1077" s="2" t="s">
        <v>121</v>
      </c>
      <c r="M1077" s="2" t="s">
        <v>24</v>
      </c>
      <c r="N1077" s="2" t="s">
        <v>121</v>
      </c>
      <c r="P1077" s="7">
        <v>1</v>
      </c>
      <c r="Q1077" s="99" t="s">
        <v>4087</v>
      </c>
      <c r="R1077" s="2" t="s">
        <v>4043</v>
      </c>
    </row>
    <row r="1078" spans="1:18">
      <c r="A1078" s="21">
        <v>20</v>
      </c>
      <c r="B1078" s="2" t="s">
        <v>3762</v>
      </c>
      <c r="C1078" s="21">
        <v>8</v>
      </c>
      <c r="D1078" s="2" t="s">
        <v>4076</v>
      </c>
      <c r="E1078" s="14">
        <v>0</v>
      </c>
      <c r="F1078" s="21">
        <v>3</v>
      </c>
      <c r="G1078" s="2" t="s">
        <v>4088</v>
      </c>
      <c r="H1078" s="23" t="s">
        <v>4089</v>
      </c>
      <c r="I1078" s="101" t="s">
        <v>4090</v>
      </c>
      <c r="J1078" s="2" t="s">
        <v>38</v>
      </c>
      <c r="K1078" s="2" t="s">
        <v>23</v>
      </c>
      <c r="M1078" s="2" t="s">
        <v>38</v>
      </c>
      <c r="N1078" s="2" t="s">
        <v>23</v>
      </c>
      <c r="P1078" s="7">
        <v>1</v>
      </c>
      <c r="Q1078" s="99" t="s">
        <v>4091</v>
      </c>
      <c r="R1078" s="2" t="s">
        <v>4048</v>
      </c>
    </row>
    <row r="1079" spans="1:18">
      <c r="A1079" s="71">
        <v>20</v>
      </c>
      <c r="B1079" s="2" t="s">
        <v>3762</v>
      </c>
      <c r="C1079" s="71">
        <v>8</v>
      </c>
      <c r="D1079" s="2" t="s">
        <v>4076</v>
      </c>
      <c r="E1079" s="74">
        <v>0</v>
      </c>
      <c r="F1079" s="71">
        <v>4</v>
      </c>
      <c r="G1079" s="2" t="s">
        <v>4092</v>
      </c>
      <c r="H1079" s="73" t="s">
        <v>4093</v>
      </c>
      <c r="I1079" s="100" t="s">
        <v>4094</v>
      </c>
      <c r="J1079" s="2" t="s">
        <v>23</v>
      </c>
      <c r="K1079" s="2" t="s">
        <v>23</v>
      </c>
      <c r="M1079" s="2" t="s">
        <v>24</v>
      </c>
      <c r="N1079" s="2" t="s">
        <v>116</v>
      </c>
      <c r="O1079" s="16" t="s">
        <v>4094</v>
      </c>
      <c r="P1079" s="7">
        <v>0</v>
      </c>
      <c r="Q1079" s="99" t="s">
        <v>4095</v>
      </c>
      <c r="R1079" s="2" t="s">
        <v>4053</v>
      </c>
    </row>
    <row r="1080" spans="1:18">
      <c r="A1080" s="71">
        <v>20</v>
      </c>
      <c r="B1080" s="2" t="s">
        <v>3762</v>
      </c>
      <c r="C1080" s="71">
        <v>8</v>
      </c>
      <c r="D1080" s="2" t="s">
        <v>4076</v>
      </c>
      <c r="E1080" s="74">
        <v>0</v>
      </c>
      <c r="F1080" s="71">
        <v>5</v>
      </c>
      <c r="G1080" s="2" t="s">
        <v>5752</v>
      </c>
      <c r="H1080" s="73" t="s">
        <v>5754</v>
      </c>
      <c r="I1080" s="100" t="s">
        <v>5755</v>
      </c>
      <c r="J1080" s="2" t="s">
        <v>24</v>
      </c>
      <c r="K1080" s="2" t="s">
        <v>23</v>
      </c>
      <c r="L1080" s="2" t="s">
        <v>5760</v>
      </c>
      <c r="M1080" s="2" t="s">
        <v>24</v>
      </c>
      <c r="N1080" s="2" t="s">
        <v>116</v>
      </c>
      <c r="O1080" s="16" t="s">
        <v>5755</v>
      </c>
      <c r="P1080" s="7">
        <v>0</v>
      </c>
      <c r="Q1080" s="99" t="s">
        <v>5758</v>
      </c>
      <c r="R1080" s="2" t="s">
        <v>5772</v>
      </c>
    </row>
    <row r="1081" spans="1:18">
      <c r="A1081" s="71">
        <v>20</v>
      </c>
      <c r="B1081" s="2" t="s">
        <v>3762</v>
      </c>
      <c r="C1081" s="71">
        <v>8</v>
      </c>
      <c r="D1081" s="2" t="s">
        <v>4076</v>
      </c>
      <c r="E1081" s="74">
        <v>0</v>
      </c>
      <c r="F1081" s="71">
        <v>6</v>
      </c>
      <c r="G1081" s="2" t="s">
        <v>5753</v>
      </c>
      <c r="H1081" s="73" t="s">
        <v>5756</v>
      </c>
      <c r="I1081" s="100" t="s">
        <v>5757</v>
      </c>
      <c r="J1081" s="2" t="s">
        <v>24</v>
      </c>
      <c r="K1081" s="2" t="s">
        <v>23</v>
      </c>
      <c r="L1081" s="2" t="s">
        <v>5766</v>
      </c>
      <c r="M1081" s="2" t="s">
        <v>24</v>
      </c>
      <c r="N1081" s="2" t="s">
        <v>116</v>
      </c>
      <c r="O1081" s="16" t="s">
        <v>5755</v>
      </c>
      <c r="P1081" s="7">
        <v>0</v>
      </c>
      <c r="Q1081" s="99" t="s">
        <v>5759</v>
      </c>
      <c r="R1081" s="2" t="s">
        <v>5771</v>
      </c>
    </row>
    <row r="1082" spans="1:18">
      <c r="A1082" s="71">
        <v>20</v>
      </c>
      <c r="B1082" s="2" t="s">
        <v>3762</v>
      </c>
      <c r="C1082" s="71">
        <v>8</v>
      </c>
      <c r="D1082" s="2" t="s">
        <v>4076</v>
      </c>
      <c r="E1082" s="74">
        <v>0</v>
      </c>
      <c r="F1082" s="71">
        <v>7</v>
      </c>
      <c r="G1082" s="2" t="s">
        <v>9474</v>
      </c>
      <c r="H1082" s="73" t="s">
        <v>9477</v>
      </c>
      <c r="I1082" s="100" t="s">
        <v>9478</v>
      </c>
      <c r="J1082" s="2" t="s">
        <v>23</v>
      </c>
      <c r="K1082" s="2" t="s">
        <v>23</v>
      </c>
      <c r="M1082" s="2" t="s">
        <v>24</v>
      </c>
      <c r="N1082" s="2" t="s">
        <v>4082</v>
      </c>
      <c r="O1082" s="16"/>
      <c r="P1082" s="7">
        <v>0</v>
      </c>
      <c r="Q1082" s="99" t="s">
        <v>9475</v>
      </c>
      <c r="R1082" s="2" t="s">
        <v>9476</v>
      </c>
    </row>
    <row r="1083" spans="1:18">
      <c r="A1083" s="71">
        <v>20</v>
      </c>
      <c r="B1083" s="2" t="s">
        <v>3762</v>
      </c>
      <c r="C1083" s="71">
        <v>9</v>
      </c>
      <c r="D1083" s="2" t="s">
        <v>5796</v>
      </c>
      <c r="E1083" s="74">
        <v>0</v>
      </c>
      <c r="F1083" s="71">
        <v>0</v>
      </c>
      <c r="G1083" s="2" t="s">
        <v>20</v>
      </c>
      <c r="H1083" s="73" t="s">
        <v>5797</v>
      </c>
      <c r="I1083" s="76" t="s">
        <v>5798</v>
      </c>
      <c r="J1083" s="2" t="s">
        <v>23</v>
      </c>
      <c r="K1083" s="2" t="s">
        <v>23</v>
      </c>
      <c r="M1083" s="2" t="s">
        <v>24</v>
      </c>
      <c r="N1083" s="2" t="s">
        <v>25</v>
      </c>
      <c r="O1083" s="2" t="s">
        <v>26</v>
      </c>
      <c r="P1083" s="7">
        <v>0</v>
      </c>
      <c r="Q1083" s="1" t="s">
        <v>5799</v>
      </c>
    </row>
    <row r="1084" spans="1:18">
      <c r="A1084" s="71">
        <v>20</v>
      </c>
      <c r="B1084" s="2" t="s">
        <v>3762</v>
      </c>
      <c r="C1084" s="71">
        <v>9</v>
      </c>
      <c r="D1084" s="2" t="s">
        <v>5796</v>
      </c>
      <c r="E1084" s="74">
        <v>0</v>
      </c>
      <c r="F1084" s="71">
        <v>1</v>
      </c>
      <c r="G1084" s="2" t="s">
        <v>599</v>
      </c>
      <c r="H1084" s="73" t="s">
        <v>5800</v>
      </c>
      <c r="I1084" s="100" t="s">
        <v>5801</v>
      </c>
      <c r="J1084" s="2" t="s">
        <v>24</v>
      </c>
      <c r="K1084" s="2" t="s">
        <v>25</v>
      </c>
      <c r="M1084" s="2" t="s">
        <v>24</v>
      </c>
      <c r="N1084" s="2" t="s">
        <v>25</v>
      </c>
      <c r="P1084" s="7">
        <v>0</v>
      </c>
      <c r="Q1084" s="99" t="s">
        <v>1867</v>
      </c>
    </row>
    <row r="1085" spans="1:18">
      <c r="A1085" s="71">
        <v>20</v>
      </c>
      <c r="B1085" s="2" t="s">
        <v>3762</v>
      </c>
      <c r="C1085" s="71">
        <v>9</v>
      </c>
      <c r="D1085" s="2" t="s">
        <v>5796</v>
      </c>
      <c r="E1085" s="74">
        <v>0</v>
      </c>
      <c r="F1085" s="71">
        <v>2</v>
      </c>
      <c r="G1085" s="2" t="s">
        <v>2392</v>
      </c>
      <c r="H1085" s="73" t="s">
        <v>5802</v>
      </c>
      <c r="I1085" s="100" t="s">
        <v>5803</v>
      </c>
      <c r="J1085" s="2" t="s">
        <v>24</v>
      </c>
      <c r="K1085" s="2" t="s">
        <v>116</v>
      </c>
      <c r="L1085" s="16" t="s">
        <v>5803</v>
      </c>
      <c r="M1085" s="2" t="s">
        <v>24</v>
      </c>
      <c r="N1085" s="2" t="s">
        <v>116</v>
      </c>
      <c r="O1085" s="16" t="s">
        <v>5803</v>
      </c>
      <c r="P1085" s="7">
        <v>0</v>
      </c>
      <c r="Q1085" s="99" t="s">
        <v>5804</v>
      </c>
    </row>
    <row r="1086" spans="1:18">
      <c r="A1086" s="71">
        <v>20</v>
      </c>
      <c r="B1086" s="2" t="s">
        <v>3762</v>
      </c>
      <c r="C1086" s="71">
        <v>9</v>
      </c>
      <c r="D1086" s="2" t="s">
        <v>5796</v>
      </c>
      <c r="E1086" s="74">
        <v>0</v>
      </c>
      <c r="F1086" s="71">
        <v>3</v>
      </c>
      <c r="G1086" s="2" t="s">
        <v>5807</v>
      </c>
      <c r="H1086" s="73" t="s">
        <v>5808</v>
      </c>
      <c r="I1086" s="100" t="s">
        <v>5809</v>
      </c>
      <c r="J1086" s="2" t="s">
        <v>8100</v>
      </c>
      <c r="K1086" s="2" t="s">
        <v>8098</v>
      </c>
      <c r="L1086" s="16"/>
      <c r="M1086" s="2" t="s">
        <v>8100</v>
      </c>
      <c r="N1086" s="2" t="s">
        <v>8098</v>
      </c>
      <c r="O1086" s="16"/>
      <c r="P1086" s="7">
        <v>0</v>
      </c>
      <c r="Q1086" s="99" t="s">
        <v>5810</v>
      </c>
    </row>
    <row r="1087" spans="1:18">
      <c r="A1087" s="71">
        <v>20</v>
      </c>
      <c r="B1087" s="2" t="s">
        <v>3762</v>
      </c>
      <c r="C1087" s="71">
        <v>9</v>
      </c>
      <c r="D1087" s="2" t="s">
        <v>5796</v>
      </c>
      <c r="E1087" s="74">
        <v>0</v>
      </c>
      <c r="F1087" s="71">
        <v>4</v>
      </c>
      <c r="G1087" s="2" t="s">
        <v>5811</v>
      </c>
      <c r="H1087" s="73" t="s">
        <v>5812</v>
      </c>
      <c r="I1087" s="100" t="s">
        <v>5813</v>
      </c>
      <c r="J1087" s="2" t="s">
        <v>24</v>
      </c>
      <c r="K1087" s="2" t="s">
        <v>116</v>
      </c>
      <c r="L1087" s="16" t="s">
        <v>5813</v>
      </c>
      <c r="M1087" s="2" t="s">
        <v>24</v>
      </c>
      <c r="N1087" s="2" t="s">
        <v>116</v>
      </c>
      <c r="O1087" s="16" t="s">
        <v>5813</v>
      </c>
      <c r="P1087" s="7">
        <v>0</v>
      </c>
      <c r="Q1087" s="99" t="s">
        <v>5814</v>
      </c>
    </row>
    <row r="1088" spans="1:18">
      <c r="A1088" s="71">
        <v>20</v>
      </c>
      <c r="B1088" s="2" t="s">
        <v>3762</v>
      </c>
      <c r="C1088" s="71">
        <v>9</v>
      </c>
      <c r="D1088" s="2" t="s">
        <v>5796</v>
      </c>
      <c r="E1088" s="74">
        <v>0</v>
      </c>
      <c r="F1088" s="71">
        <v>5</v>
      </c>
      <c r="G1088" s="2" t="s">
        <v>5818</v>
      </c>
      <c r="H1088" s="73" t="s">
        <v>5819</v>
      </c>
      <c r="I1088" s="100" t="s">
        <v>5820</v>
      </c>
      <c r="J1088" s="2" t="s">
        <v>24</v>
      </c>
      <c r="K1088" s="2" t="s">
        <v>23</v>
      </c>
      <c r="L1088" s="16"/>
      <c r="M1088" s="2" t="s">
        <v>24</v>
      </c>
      <c r="N1088" s="2" t="s">
        <v>23</v>
      </c>
      <c r="O1088" s="16"/>
      <c r="P1088" s="7">
        <v>0</v>
      </c>
      <c r="Q1088" s="99" t="s">
        <v>5821</v>
      </c>
    </row>
    <row r="1089" spans="1:18">
      <c r="A1089" s="71">
        <v>20</v>
      </c>
      <c r="B1089" s="2" t="s">
        <v>3762</v>
      </c>
      <c r="C1089" s="71">
        <v>9</v>
      </c>
      <c r="D1089" s="2" t="s">
        <v>5796</v>
      </c>
      <c r="E1089" s="74">
        <v>0</v>
      </c>
      <c r="F1089" s="71">
        <v>6</v>
      </c>
      <c r="G1089" s="2" t="s">
        <v>5822</v>
      </c>
      <c r="H1089" s="73" t="s">
        <v>5823</v>
      </c>
      <c r="I1089" s="100" t="s">
        <v>5824</v>
      </c>
      <c r="J1089" s="2" t="s">
        <v>24</v>
      </c>
      <c r="K1089" s="2" t="s">
        <v>23</v>
      </c>
      <c r="L1089" s="16"/>
      <c r="M1089" s="2" t="s">
        <v>24</v>
      </c>
      <c r="N1089" s="2" t="s">
        <v>23</v>
      </c>
      <c r="O1089" s="16"/>
      <c r="P1089" s="7">
        <v>0</v>
      </c>
      <c r="Q1089" s="99" t="s">
        <v>5825</v>
      </c>
    </row>
    <row r="1090" spans="1:18">
      <c r="A1090" s="71">
        <v>20</v>
      </c>
      <c r="B1090" s="2" t="s">
        <v>3762</v>
      </c>
      <c r="C1090" s="71">
        <v>9</v>
      </c>
      <c r="D1090" s="2" t="s">
        <v>5796</v>
      </c>
      <c r="E1090" s="74">
        <v>0</v>
      </c>
      <c r="F1090" s="71">
        <v>7</v>
      </c>
      <c r="G1090" s="2" t="s">
        <v>5826</v>
      </c>
      <c r="H1090" s="73" t="s">
        <v>5827</v>
      </c>
      <c r="I1090" s="100" t="s">
        <v>5828</v>
      </c>
      <c r="J1090" s="2" t="s">
        <v>24</v>
      </c>
      <c r="K1090" s="2" t="s">
        <v>121</v>
      </c>
      <c r="L1090" s="16"/>
      <c r="M1090" s="2" t="s">
        <v>24</v>
      </c>
      <c r="N1090" s="2" t="s">
        <v>121</v>
      </c>
      <c r="O1090" s="16"/>
      <c r="P1090" s="7">
        <v>0</v>
      </c>
      <c r="Q1090" s="99" t="s">
        <v>5829</v>
      </c>
    </row>
    <row r="1091" spans="1:18">
      <c r="A1091" s="71">
        <v>20</v>
      </c>
      <c r="B1091" s="2" t="s">
        <v>3762</v>
      </c>
      <c r="C1091" s="71">
        <v>9</v>
      </c>
      <c r="D1091" s="2" t="s">
        <v>5796</v>
      </c>
      <c r="E1091" s="74">
        <v>0</v>
      </c>
      <c r="F1091" s="71">
        <v>8</v>
      </c>
      <c r="G1091" s="2" t="s">
        <v>5830</v>
      </c>
      <c r="H1091" s="73" t="s">
        <v>5831</v>
      </c>
      <c r="I1091" s="100" t="s">
        <v>5832</v>
      </c>
      <c r="J1091" s="2" t="s">
        <v>24</v>
      </c>
      <c r="K1091" s="2" t="s">
        <v>121</v>
      </c>
      <c r="L1091" s="16"/>
      <c r="M1091" s="2" t="s">
        <v>24</v>
      </c>
      <c r="N1091" s="2" t="s">
        <v>121</v>
      </c>
      <c r="O1091" s="16"/>
      <c r="P1091" s="7">
        <v>0</v>
      </c>
      <c r="Q1091" s="99" t="s">
        <v>5833</v>
      </c>
    </row>
    <row r="1092" spans="1:18">
      <c r="A1092" s="71">
        <v>20</v>
      </c>
      <c r="B1092" s="2" t="s">
        <v>3762</v>
      </c>
      <c r="C1092" s="71">
        <v>9</v>
      </c>
      <c r="D1092" s="2" t="s">
        <v>5796</v>
      </c>
      <c r="E1092" s="74">
        <v>0</v>
      </c>
      <c r="F1092" s="71">
        <v>9</v>
      </c>
      <c r="G1092" s="2" t="s">
        <v>5834</v>
      </c>
      <c r="H1092" s="73" t="s">
        <v>5835</v>
      </c>
      <c r="I1092" s="100" t="s">
        <v>5836</v>
      </c>
      <c r="J1092" s="2" t="s">
        <v>24</v>
      </c>
      <c r="K1092" s="2" t="s">
        <v>23</v>
      </c>
      <c r="L1092" s="16"/>
      <c r="M1092" s="2" t="s">
        <v>24</v>
      </c>
      <c r="N1092" s="2" t="s">
        <v>23</v>
      </c>
      <c r="O1092" s="16"/>
      <c r="P1092" s="7">
        <v>0</v>
      </c>
      <c r="Q1092" s="99" t="s">
        <v>5837</v>
      </c>
    </row>
    <row r="1093" spans="1:18">
      <c r="A1093" s="71">
        <v>20</v>
      </c>
      <c r="B1093" s="2" t="s">
        <v>3762</v>
      </c>
      <c r="C1093" s="71">
        <v>9</v>
      </c>
      <c r="D1093" s="2" t="s">
        <v>5796</v>
      </c>
      <c r="E1093" s="74">
        <v>0</v>
      </c>
      <c r="F1093" s="71">
        <v>10</v>
      </c>
      <c r="G1093" s="2" t="s">
        <v>5838</v>
      </c>
      <c r="H1093" s="73" t="s">
        <v>5839</v>
      </c>
      <c r="I1093" s="100" t="s">
        <v>5840</v>
      </c>
      <c r="J1093" s="2" t="s">
        <v>24</v>
      </c>
      <c r="K1093" s="2" t="s">
        <v>23</v>
      </c>
      <c r="L1093" s="16"/>
      <c r="M1093" s="2" t="s">
        <v>24</v>
      </c>
      <c r="N1093" s="2" t="s">
        <v>23</v>
      </c>
      <c r="O1093" s="16"/>
      <c r="P1093" s="7">
        <v>0</v>
      </c>
      <c r="Q1093" s="99" t="s">
        <v>5841</v>
      </c>
    </row>
    <row r="1094" spans="1:18">
      <c r="A1094" s="71">
        <v>20</v>
      </c>
      <c r="B1094" s="2" t="s">
        <v>3762</v>
      </c>
      <c r="C1094" s="71">
        <v>9</v>
      </c>
      <c r="D1094" s="2" t="s">
        <v>5796</v>
      </c>
      <c r="E1094" s="74">
        <v>0</v>
      </c>
      <c r="F1094" s="71">
        <v>11</v>
      </c>
      <c r="G1094" s="2" t="s">
        <v>5842</v>
      </c>
      <c r="H1094" s="73" t="s">
        <v>5843</v>
      </c>
      <c r="I1094" s="100" t="s">
        <v>5844</v>
      </c>
      <c r="J1094" s="2" t="s">
        <v>24</v>
      </c>
      <c r="K1094" s="2" t="s">
        <v>23</v>
      </c>
      <c r="L1094" s="16"/>
      <c r="M1094" s="2" t="s">
        <v>24</v>
      </c>
      <c r="N1094" s="2" t="s">
        <v>23</v>
      </c>
      <c r="O1094" s="16"/>
      <c r="P1094" s="7">
        <v>0</v>
      </c>
      <c r="Q1094" s="99" t="s">
        <v>5845</v>
      </c>
    </row>
    <row r="1095" spans="1:18">
      <c r="A1095" s="71">
        <v>20</v>
      </c>
      <c r="B1095" s="2" t="s">
        <v>3762</v>
      </c>
      <c r="C1095" s="71">
        <v>9</v>
      </c>
      <c r="D1095" s="2" t="s">
        <v>5796</v>
      </c>
      <c r="E1095" s="74">
        <v>0</v>
      </c>
      <c r="F1095" s="71">
        <v>12</v>
      </c>
      <c r="G1095" s="2" t="s">
        <v>5846</v>
      </c>
      <c r="H1095" s="73" t="s">
        <v>5847</v>
      </c>
      <c r="I1095" s="100" t="s">
        <v>5848</v>
      </c>
      <c r="J1095" s="2" t="s">
        <v>24</v>
      </c>
      <c r="K1095" s="2" t="s">
        <v>23</v>
      </c>
      <c r="L1095" s="16"/>
      <c r="M1095" s="2" t="s">
        <v>24</v>
      </c>
      <c r="N1095" s="2" t="s">
        <v>23</v>
      </c>
      <c r="O1095" s="16"/>
      <c r="P1095" s="7">
        <v>0</v>
      </c>
      <c r="Q1095" s="99" t="s">
        <v>5849</v>
      </c>
    </row>
    <row r="1096" spans="1:18">
      <c r="A1096" s="71">
        <v>20</v>
      </c>
      <c r="B1096" s="2" t="s">
        <v>3762</v>
      </c>
      <c r="C1096" s="71">
        <v>9</v>
      </c>
      <c r="D1096" s="2" t="s">
        <v>5796</v>
      </c>
      <c r="E1096" s="74">
        <v>0</v>
      </c>
      <c r="F1096" s="71">
        <v>13</v>
      </c>
      <c r="G1096" s="2" t="s">
        <v>5850</v>
      </c>
      <c r="H1096" s="73" t="s">
        <v>5851</v>
      </c>
      <c r="I1096" s="100" t="s">
        <v>5852</v>
      </c>
      <c r="J1096" s="2" t="s">
        <v>24</v>
      </c>
      <c r="K1096" s="2" t="s">
        <v>23</v>
      </c>
      <c r="L1096" s="16"/>
      <c r="M1096" s="2" t="s">
        <v>24</v>
      </c>
      <c r="N1096" s="2" t="s">
        <v>23</v>
      </c>
      <c r="O1096" s="16"/>
      <c r="P1096" s="7">
        <v>0</v>
      </c>
      <c r="Q1096" s="99" t="s">
        <v>5853</v>
      </c>
    </row>
    <row r="1097" spans="1:18">
      <c r="A1097" s="71">
        <v>20</v>
      </c>
      <c r="B1097" s="2" t="s">
        <v>3762</v>
      </c>
      <c r="C1097" s="71">
        <v>9</v>
      </c>
      <c r="D1097" s="2" t="s">
        <v>5796</v>
      </c>
      <c r="E1097" s="74">
        <v>0</v>
      </c>
      <c r="F1097" s="71">
        <v>14</v>
      </c>
      <c r="G1097" s="2" t="s">
        <v>5854</v>
      </c>
      <c r="H1097" s="73" t="s">
        <v>5855</v>
      </c>
      <c r="I1097" s="100" t="s">
        <v>5856</v>
      </c>
      <c r="J1097" s="2" t="s">
        <v>24</v>
      </c>
      <c r="K1097" s="2" t="s">
        <v>121</v>
      </c>
      <c r="L1097" s="16"/>
      <c r="M1097" s="2" t="s">
        <v>24</v>
      </c>
      <c r="N1097" s="2" t="s">
        <v>121</v>
      </c>
      <c r="O1097" s="16"/>
      <c r="P1097" s="7">
        <v>0</v>
      </c>
      <c r="Q1097" s="99" t="s">
        <v>5857</v>
      </c>
    </row>
    <row r="1098" spans="1:18">
      <c r="A1098" s="71">
        <v>20</v>
      </c>
      <c r="B1098" s="2" t="s">
        <v>3762</v>
      </c>
      <c r="C1098" s="71">
        <v>9</v>
      </c>
      <c r="D1098" s="2" t="s">
        <v>5796</v>
      </c>
      <c r="E1098" s="74">
        <v>0</v>
      </c>
      <c r="F1098" s="71">
        <v>15</v>
      </c>
      <c r="G1098" s="2" t="s">
        <v>5869</v>
      </c>
      <c r="H1098" s="73" t="s">
        <v>5870</v>
      </c>
      <c r="I1098" s="100" t="s">
        <v>5871</v>
      </c>
      <c r="J1098" s="2" t="s">
        <v>24</v>
      </c>
      <c r="K1098" s="2" t="s">
        <v>121</v>
      </c>
      <c r="L1098" s="16"/>
      <c r="M1098" s="2" t="s">
        <v>24</v>
      </c>
      <c r="N1098" s="2" t="s">
        <v>121</v>
      </c>
      <c r="O1098" s="16"/>
      <c r="P1098" s="7">
        <v>0</v>
      </c>
      <c r="Q1098" s="99" t="s">
        <v>5872</v>
      </c>
    </row>
    <row r="1099" spans="1:18">
      <c r="A1099" s="71">
        <v>20</v>
      </c>
      <c r="B1099" s="2" t="s">
        <v>3762</v>
      </c>
      <c r="C1099" s="71">
        <v>9</v>
      </c>
      <c r="D1099" s="2" t="s">
        <v>5796</v>
      </c>
      <c r="E1099" s="74">
        <v>0</v>
      </c>
      <c r="F1099" s="71">
        <v>16</v>
      </c>
      <c r="G1099" s="2" t="s">
        <v>5858</v>
      </c>
      <c r="H1099" s="73" t="s">
        <v>5859</v>
      </c>
      <c r="I1099" s="100" t="s">
        <v>5860</v>
      </c>
      <c r="J1099" s="2" t="s">
        <v>24</v>
      </c>
      <c r="K1099" s="2" t="s">
        <v>121</v>
      </c>
      <c r="L1099" s="16"/>
      <c r="M1099" s="2" t="s">
        <v>24</v>
      </c>
      <c r="N1099" s="2" t="s">
        <v>121</v>
      </c>
      <c r="O1099" s="16"/>
      <c r="P1099" s="7">
        <v>0</v>
      </c>
      <c r="Q1099" s="99" t="s">
        <v>5861</v>
      </c>
      <c r="R1099" s="2" t="s">
        <v>5862</v>
      </c>
    </row>
    <row r="1100" spans="1:18">
      <c r="A1100" s="71">
        <v>20</v>
      </c>
      <c r="B1100" s="2" t="s">
        <v>3762</v>
      </c>
      <c r="C1100" s="71">
        <v>9</v>
      </c>
      <c r="D1100" s="2" t="s">
        <v>5796</v>
      </c>
      <c r="E1100" s="74">
        <v>0</v>
      </c>
      <c r="F1100" s="71">
        <v>17</v>
      </c>
      <c r="G1100" s="2" t="s">
        <v>5863</v>
      </c>
      <c r="H1100" s="73" t="s">
        <v>5864</v>
      </c>
      <c r="I1100" s="100" t="s">
        <v>5865</v>
      </c>
      <c r="J1100" s="2" t="s">
        <v>24</v>
      </c>
      <c r="K1100" s="2" t="s">
        <v>23</v>
      </c>
      <c r="L1100" s="16"/>
      <c r="M1100" s="2" t="s">
        <v>24</v>
      </c>
      <c r="N1100" s="2" t="s">
        <v>23</v>
      </c>
      <c r="O1100" s="16"/>
      <c r="P1100" s="7">
        <v>0</v>
      </c>
      <c r="Q1100" s="99" t="s">
        <v>5866</v>
      </c>
    </row>
    <row r="1101" spans="1:18">
      <c r="A1101" s="72"/>
      <c r="C1101" s="72"/>
      <c r="E1101" s="86"/>
      <c r="F1101" s="72"/>
      <c r="H1101" s="87" t="s">
        <v>234</v>
      </c>
      <c r="I1101" s="105"/>
      <c r="L1101" s="16"/>
      <c r="O1101" s="16"/>
      <c r="P1101" s="7"/>
      <c r="Q1101" s="99"/>
    </row>
    <row r="1102" spans="1:18">
      <c r="A1102" s="21">
        <v>21</v>
      </c>
      <c r="B1102" s="2" t="s">
        <v>4096</v>
      </c>
      <c r="C1102" s="21">
        <v>0</v>
      </c>
      <c r="D1102" s="2" t="s">
        <v>4097</v>
      </c>
      <c r="E1102" s="14">
        <v>0</v>
      </c>
      <c r="F1102" s="21">
        <v>0</v>
      </c>
      <c r="G1102" s="2" t="s">
        <v>20</v>
      </c>
      <c r="H1102" s="23" t="s">
        <v>4098</v>
      </c>
      <c r="I1102" s="34" t="s">
        <v>4099</v>
      </c>
      <c r="J1102" s="2" t="s">
        <v>23</v>
      </c>
      <c r="K1102" s="2" t="s">
        <v>23</v>
      </c>
      <c r="M1102" s="2" t="s">
        <v>24</v>
      </c>
      <c r="N1102" s="2" t="s">
        <v>25</v>
      </c>
      <c r="O1102" s="27" t="s">
        <v>26</v>
      </c>
      <c r="P1102" s="26">
        <v>1</v>
      </c>
      <c r="Q1102" s="75" t="s">
        <v>4100</v>
      </c>
    </row>
    <row r="1103" spans="1:18">
      <c r="A1103" s="21">
        <v>21</v>
      </c>
      <c r="B1103" s="2" t="s">
        <v>4096</v>
      </c>
      <c r="C1103" s="21">
        <v>0</v>
      </c>
      <c r="D1103" s="2" t="s">
        <v>4097</v>
      </c>
      <c r="E1103" s="14">
        <v>0</v>
      </c>
      <c r="F1103" s="21">
        <v>1</v>
      </c>
      <c r="G1103" s="2" t="s">
        <v>4101</v>
      </c>
      <c r="H1103" s="23" t="s">
        <v>4102</v>
      </c>
      <c r="I1103" s="101" t="s">
        <v>4103</v>
      </c>
      <c r="J1103" s="2" t="s">
        <v>23</v>
      </c>
      <c r="K1103" s="2" t="s">
        <v>23</v>
      </c>
      <c r="M1103" s="2" t="s">
        <v>24</v>
      </c>
      <c r="N1103" s="2" t="s">
        <v>23</v>
      </c>
      <c r="O1103" s="27"/>
      <c r="P1103" s="7">
        <v>1</v>
      </c>
      <c r="Q1103" s="99" t="s">
        <v>4104</v>
      </c>
      <c r="R1103" s="2" t="s">
        <v>4064</v>
      </c>
    </row>
    <row r="1104" spans="1:18">
      <c r="A1104" s="21">
        <v>21</v>
      </c>
      <c r="B1104" s="2" t="s">
        <v>4096</v>
      </c>
      <c r="C1104" s="21">
        <v>0</v>
      </c>
      <c r="D1104" s="2" t="s">
        <v>4097</v>
      </c>
      <c r="E1104" s="14">
        <v>0</v>
      </c>
      <c r="F1104" s="21">
        <v>2</v>
      </c>
      <c r="G1104" s="2" t="s">
        <v>579</v>
      </c>
      <c r="H1104" s="23" t="s">
        <v>4105</v>
      </c>
      <c r="I1104" s="101" t="s">
        <v>4106</v>
      </c>
      <c r="J1104" s="2" t="s">
        <v>23</v>
      </c>
      <c r="K1104" s="25" t="s">
        <v>23</v>
      </c>
      <c r="M1104" s="25" t="s">
        <v>24</v>
      </c>
      <c r="N1104" s="2" t="s">
        <v>206</v>
      </c>
      <c r="P1104" s="26">
        <v>1</v>
      </c>
      <c r="Q1104" s="99" t="s">
        <v>832</v>
      </c>
    </row>
    <row r="1105" spans="1:18">
      <c r="A1105" s="21">
        <v>21</v>
      </c>
      <c r="B1105" s="2" t="s">
        <v>4096</v>
      </c>
      <c r="C1105" s="21">
        <v>1</v>
      </c>
      <c r="D1105" s="2" t="s">
        <v>4107</v>
      </c>
      <c r="E1105" s="14">
        <v>0</v>
      </c>
      <c r="F1105" s="21">
        <v>0</v>
      </c>
      <c r="G1105" s="2" t="s">
        <v>20</v>
      </c>
      <c r="H1105" s="23" t="s">
        <v>4108</v>
      </c>
      <c r="I1105" s="34" t="s">
        <v>4109</v>
      </c>
      <c r="J1105" s="2" t="s">
        <v>23</v>
      </c>
      <c r="K1105" s="2" t="s">
        <v>23</v>
      </c>
      <c r="M1105" s="2" t="s">
        <v>24</v>
      </c>
      <c r="N1105" s="2" t="s">
        <v>25</v>
      </c>
      <c r="O1105" s="27" t="s">
        <v>26</v>
      </c>
      <c r="P1105" s="26">
        <v>1</v>
      </c>
      <c r="Q1105" s="75" t="s">
        <v>4110</v>
      </c>
    </row>
    <row r="1106" spans="1:18">
      <c r="A1106" s="21">
        <v>21</v>
      </c>
      <c r="B1106" s="2" t="s">
        <v>4096</v>
      </c>
      <c r="C1106" s="21">
        <v>1</v>
      </c>
      <c r="D1106" s="2" t="s">
        <v>4107</v>
      </c>
      <c r="E1106" s="14">
        <v>0</v>
      </c>
      <c r="F1106" s="21">
        <v>1</v>
      </c>
      <c r="G1106" s="2" t="s">
        <v>4101</v>
      </c>
      <c r="H1106" s="23" t="s">
        <v>4111</v>
      </c>
      <c r="I1106" s="101" t="s">
        <v>4112</v>
      </c>
      <c r="J1106" s="2" t="s">
        <v>23</v>
      </c>
      <c r="K1106" s="2" t="s">
        <v>23</v>
      </c>
      <c r="M1106" s="2" t="s">
        <v>24</v>
      </c>
      <c r="N1106" s="2" t="s">
        <v>23</v>
      </c>
      <c r="O1106" s="27"/>
      <c r="P1106" s="7">
        <v>1</v>
      </c>
      <c r="Q1106" s="99" t="s">
        <v>4104</v>
      </c>
      <c r="R1106" s="2" t="s">
        <v>4064</v>
      </c>
    </row>
    <row r="1107" spans="1:18">
      <c r="A1107" s="21">
        <v>21</v>
      </c>
      <c r="B1107" s="2" t="s">
        <v>4096</v>
      </c>
      <c r="C1107" s="21">
        <v>1</v>
      </c>
      <c r="D1107" s="2" t="s">
        <v>4107</v>
      </c>
      <c r="E1107" s="14">
        <v>0</v>
      </c>
      <c r="F1107" s="21">
        <v>2</v>
      </c>
      <c r="G1107" s="2" t="s">
        <v>579</v>
      </c>
      <c r="H1107" s="23" t="s">
        <v>4113</v>
      </c>
      <c r="I1107" s="101" t="s">
        <v>4114</v>
      </c>
      <c r="J1107" s="2" t="s">
        <v>23</v>
      </c>
      <c r="K1107" s="2" t="s">
        <v>23</v>
      </c>
      <c r="M1107" s="25" t="s">
        <v>24</v>
      </c>
      <c r="N1107" s="2" t="s">
        <v>206</v>
      </c>
      <c r="P1107" s="26">
        <v>1</v>
      </c>
      <c r="Q1107" s="99" t="s">
        <v>832</v>
      </c>
    </row>
    <row r="1108" spans="1:18">
      <c r="A1108" s="21">
        <v>21</v>
      </c>
      <c r="B1108" s="2" t="s">
        <v>4096</v>
      </c>
      <c r="C1108" s="21">
        <v>1</v>
      </c>
      <c r="D1108" s="2" t="s">
        <v>4107</v>
      </c>
      <c r="E1108" s="14">
        <v>0</v>
      </c>
      <c r="F1108" s="21">
        <v>3</v>
      </c>
      <c r="G1108" s="2" t="s">
        <v>4115</v>
      </c>
      <c r="H1108" s="23" t="s">
        <v>4116</v>
      </c>
      <c r="I1108" s="101" t="s">
        <v>4117</v>
      </c>
      <c r="J1108" s="2" t="s">
        <v>23</v>
      </c>
      <c r="K1108" s="2" t="s">
        <v>23</v>
      </c>
      <c r="M1108" s="2" t="s">
        <v>24</v>
      </c>
      <c r="N1108" s="2" t="s">
        <v>133</v>
      </c>
      <c r="P1108" s="7">
        <v>1</v>
      </c>
      <c r="Q1108" s="99" t="s">
        <v>250</v>
      </c>
    </row>
    <row r="1109" spans="1:18">
      <c r="A1109" s="21">
        <v>21</v>
      </c>
      <c r="B1109" s="2" t="s">
        <v>4096</v>
      </c>
      <c r="C1109" s="21">
        <v>2</v>
      </c>
      <c r="D1109" s="2" t="s">
        <v>4118</v>
      </c>
      <c r="E1109" s="14">
        <v>0</v>
      </c>
      <c r="F1109" s="21">
        <v>0</v>
      </c>
      <c r="G1109" s="2" t="s">
        <v>20</v>
      </c>
      <c r="H1109" s="23" t="s">
        <v>4119</v>
      </c>
      <c r="I1109" s="34" t="s">
        <v>4120</v>
      </c>
      <c r="J1109" s="2" t="s">
        <v>23</v>
      </c>
      <c r="K1109" s="2" t="s">
        <v>23</v>
      </c>
      <c r="M1109" s="2" t="s">
        <v>24</v>
      </c>
      <c r="N1109" s="2" t="s">
        <v>25</v>
      </c>
      <c r="O1109" s="27" t="s">
        <v>26</v>
      </c>
      <c r="P1109" s="26">
        <v>1</v>
      </c>
      <c r="Q1109" s="1" t="s">
        <v>4121</v>
      </c>
    </row>
    <row r="1110" spans="1:18">
      <c r="A1110" s="21">
        <v>21</v>
      </c>
      <c r="B1110" s="2" t="s">
        <v>4096</v>
      </c>
      <c r="C1110" s="21">
        <v>2</v>
      </c>
      <c r="D1110" s="2" t="s">
        <v>4118</v>
      </c>
      <c r="E1110" s="14">
        <v>0</v>
      </c>
      <c r="F1110" s="21">
        <v>1</v>
      </c>
      <c r="G1110" s="2" t="s">
        <v>854</v>
      </c>
      <c r="H1110" s="23" t="s">
        <v>4122</v>
      </c>
      <c r="I1110" s="101" t="s">
        <v>4123</v>
      </c>
      <c r="J1110" s="2" t="s">
        <v>38</v>
      </c>
      <c r="K1110" s="2" t="s">
        <v>23</v>
      </c>
      <c r="L1110" s="5"/>
      <c r="M1110" s="2" t="s">
        <v>38</v>
      </c>
      <c r="N1110" s="2" t="s">
        <v>23</v>
      </c>
      <c r="O1110" s="5"/>
      <c r="P1110" s="7">
        <v>1</v>
      </c>
      <c r="Q1110" s="99" t="s">
        <v>4124</v>
      </c>
    </row>
    <row r="1111" spans="1:18">
      <c r="A1111" s="21">
        <v>21</v>
      </c>
      <c r="B1111" s="2" t="s">
        <v>4096</v>
      </c>
      <c r="C1111" s="21">
        <v>3</v>
      </c>
      <c r="D1111" s="2" t="s">
        <v>4125</v>
      </c>
      <c r="E1111" s="14">
        <v>0</v>
      </c>
      <c r="F1111" s="21">
        <v>0</v>
      </c>
      <c r="G1111" s="2" t="s">
        <v>20</v>
      </c>
      <c r="H1111" s="23" t="s">
        <v>5891</v>
      </c>
      <c r="I1111" s="34" t="s">
        <v>4126</v>
      </c>
      <c r="J1111" s="2" t="s">
        <v>23</v>
      </c>
      <c r="K1111" s="2" t="s">
        <v>23</v>
      </c>
      <c r="M1111" s="2" t="s">
        <v>24</v>
      </c>
      <c r="N1111" s="2" t="s">
        <v>25</v>
      </c>
      <c r="O1111" s="27" t="s">
        <v>26</v>
      </c>
      <c r="P1111" s="26">
        <v>1</v>
      </c>
      <c r="Q1111" s="1" t="s">
        <v>4127</v>
      </c>
    </row>
    <row r="1112" spans="1:18">
      <c r="A1112" s="21">
        <v>21</v>
      </c>
      <c r="B1112" s="2" t="s">
        <v>4096</v>
      </c>
      <c r="C1112" s="21">
        <v>3</v>
      </c>
      <c r="D1112" s="2" t="s">
        <v>4125</v>
      </c>
      <c r="E1112" s="14">
        <v>0</v>
      </c>
      <c r="F1112" s="21">
        <v>1</v>
      </c>
      <c r="G1112" s="2" t="s">
        <v>265</v>
      </c>
      <c r="H1112" s="23" t="s">
        <v>5892</v>
      </c>
      <c r="I1112" s="101" t="s">
        <v>4128</v>
      </c>
      <c r="J1112" s="2" t="s">
        <v>23</v>
      </c>
      <c r="K1112" s="2" t="s">
        <v>23</v>
      </c>
      <c r="M1112" s="2" t="s">
        <v>24</v>
      </c>
      <c r="N1112" s="2" t="s">
        <v>133</v>
      </c>
      <c r="O1112" s="27"/>
      <c r="P1112" s="26">
        <v>1</v>
      </c>
      <c r="Q1112" s="99" t="s">
        <v>4129</v>
      </c>
      <c r="R1112" s="2" t="s">
        <v>5751</v>
      </c>
    </row>
    <row r="1113" spans="1:18">
      <c r="A1113" s="21">
        <v>21</v>
      </c>
      <c r="B1113" s="2" t="s">
        <v>4096</v>
      </c>
      <c r="C1113" s="21">
        <v>3</v>
      </c>
      <c r="D1113" s="2" t="s">
        <v>4125</v>
      </c>
      <c r="E1113" s="14">
        <v>0</v>
      </c>
      <c r="F1113" s="21">
        <v>2</v>
      </c>
      <c r="G1113" s="2" t="s">
        <v>273</v>
      </c>
      <c r="H1113" s="23" t="s">
        <v>5893</v>
      </c>
      <c r="I1113" s="101" t="s">
        <v>4130</v>
      </c>
      <c r="J1113" s="2" t="s">
        <v>23</v>
      </c>
      <c r="K1113" s="2" t="s">
        <v>23</v>
      </c>
      <c r="M1113" s="2" t="s">
        <v>24</v>
      </c>
      <c r="N1113" s="2" t="s">
        <v>139</v>
      </c>
      <c r="P1113" s="26">
        <v>1</v>
      </c>
      <c r="Q1113" s="99" t="s">
        <v>3053</v>
      </c>
      <c r="R1113" s="2" t="s">
        <v>5750</v>
      </c>
    </row>
    <row r="1114" spans="1:18">
      <c r="A1114" s="21">
        <v>21</v>
      </c>
      <c r="B1114" s="2" t="s">
        <v>4096</v>
      </c>
      <c r="C1114" s="21">
        <v>3</v>
      </c>
      <c r="D1114" s="2" t="s">
        <v>4125</v>
      </c>
      <c r="E1114" s="14">
        <v>0</v>
      </c>
      <c r="F1114" s="21">
        <v>3</v>
      </c>
      <c r="G1114" s="2" t="s">
        <v>4131</v>
      </c>
      <c r="H1114" s="23" t="s">
        <v>5894</v>
      </c>
      <c r="I1114" s="101" t="s">
        <v>4132</v>
      </c>
      <c r="J1114" s="2" t="s">
        <v>23</v>
      </c>
      <c r="K1114" s="2" t="s">
        <v>23</v>
      </c>
      <c r="M1114" s="2" t="s">
        <v>24</v>
      </c>
      <c r="N1114" s="2" t="s">
        <v>25</v>
      </c>
      <c r="O1114" s="27" t="s">
        <v>4133</v>
      </c>
      <c r="P1114" s="26">
        <v>1</v>
      </c>
      <c r="Q1114" s="99" t="s">
        <v>1451</v>
      </c>
      <c r="R1114" s="2" t="s">
        <v>5749</v>
      </c>
    </row>
    <row r="1115" spans="1:18">
      <c r="A1115" s="21">
        <v>21</v>
      </c>
      <c r="B1115" s="2" t="s">
        <v>4096</v>
      </c>
      <c r="C1115" s="21">
        <v>3</v>
      </c>
      <c r="D1115" s="2" t="s">
        <v>4125</v>
      </c>
      <c r="E1115" s="14">
        <v>0</v>
      </c>
      <c r="F1115" s="21">
        <v>4</v>
      </c>
      <c r="G1115" s="2" t="s">
        <v>4134</v>
      </c>
      <c r="H1115" s="23" t="s">
        <v>5895</v>
      </c>
      <c r="I1115" s="101" t="s">
        <v>4135</v>
      </c>
      <c r="J1115" s="2" t="s">
        <v>23</v>
      </c>
      <c r="K1115" s="2" t="s">
        <v>23</v>
      </c>
      <c r="M1115" s="2" t="s">
        <v>24</v>
      </c>
      <c r="N1115" s="2" t="s">
        <v>23</v>
      </c>
      <c r="O1115" s="27"/>
      <c r="P1115" s="26">
        <v>1</v>
      </c>
      <c r="Q1115" s="99" t="s">
        <v>4136</v>
      </c>
      <c r="R1115" s="2" t="s">
        <v>5748</v>
      </c>
    </row>
    <row r="1116" spans="1:18">
      <c r="A1116" s="21">
        <v>21</v>
      </c>
      <c r="B1116" s="2" t="s">
        <v>4096</v>
      </c>
      <c r="C1116" s="21">
        <v>3</v>
      </c>
      <c r="D1116" s="2" t="s">
        <v>4125</v>
      </c>
      <c r="E1116" s="14">
        <v>0</v>
      </c>
      <c r="F1116" s="21">
        <v>5</v>
      </c>
      <c r="G1116" s="2" t="s">
        <v>4137</v>
      </c>
      <c r="H1116" s="23" t="s">
        <v>5896</v>
      </c>
      <c r="I1116" s="101" t="s">
        <v>4138</v>
      </c>
      <c r="J1116" s="2" t="s">
        <v>23</v>
      </c>
      <c r="K1116" s="2" t="s">
        <v>23</v>
      </c>
      <c r="M1116" s="2" t="s">
        <v>24</v>
      </c>
      <c r="N1116" s="2" t="s">
        <v>23</v>
      </c>
      <c r="O1116" s="27"/>
      <c r="P1116" s="26">
        <v>1</v>
      </c>
      <c r="Q1116" s="99" t="s">
        <v>4139</v>
      </c>
      <c r="R1116" s="2" t="s">
        <v>5747</v>
      </c>
    </row>
    <row r="1117" spans="1:18">
      <c r="A1117" s="21">
        <v>21</v>
      </c>
      <c r="B1117" s="2" t="s">
        <v>4096</v>
      </c>
      <c r="C1117" s="21">
        <v>3</v>
      </c>
      <c r="D1117" s="2" t="s">
        <v>4125</v>
      </c>
      <c r="E1117" s="14">
        <v>0</v>
      </c>
      <c r="F1117" s="21">
        <v>6</v>
      </c>
      <c r="G1117" s="2" t="s">
        <v>2901</v>
      </c>
      <c r="H1117" s="23" t="s">
        <v>5897</v>
      </c>
      <c r="I1117" s="101" t="s">
        <v>4140</v>
      </c>
      <c r="J1117" s="2" t="s">
        <v>23</v>
      </c>
      <c r="K1117" s="2" t="s">
        <v>23</v>
      </c>
      <c r="M1117" s="2" t="s">
        <v>32</v>
      </c>
      <c r="N1117" s="2" t="s">
        <v>23</v>
      </c>
      <c r="O1117" s="27"/>
      <c r="P1117" s="26">
        <v>1</v>
      </c>
      <c r="Q1117" s="99" t="s">
        <v>4141</v>
      </c>
      <c r="R1117" s="2" t="s">
        <v>5746</v>
      </c>
    </row>
    <row r="1118" spans="1:18">
      <c r="A1118" s="21">
        <v>21</v>
      </c>
      <c r="B1118" s="2" t="s">
        <v>4096</v>
      </c>
      <c r="C1118" s="21">
        <v>3</v>
      </c>
      <c r="D1118" s="2" t="s">
        <v>4125</v>
      </c>
      <c r="E1118" s="14">
        <v>0</v>
      </c>
      <c r="F1118" s="21">
        <v>7</v>
      </c>
      <c r="G1118" s="2" t="s">
        <v>4143</v>
      </c>
      <c r="H1118" s="23" t="s">
        <v>5898</v>
      </c>
      <c r="I1118" s="101" t="s">
        <v>4144</v>
      </c>
      <c r="J1118" s="2" t="s">
        <v>23</v>
      </c>
      <c r="K1118" s="2" t="s">
        <v>23</v>
      </c>
      <c r="M1118" s="2" t="s">
        <v>24</v>
      </c>
      <c r="N1118" s="2" t="s">
        <v>3033</v>
      </c>
      <c r="O1118" s="27"/>
      <c r="P1118" s="26">
        <v>1</v>
      </c>
      <c r="Q1118" s="99" t="s">
        <v>4145</v>
      </c>
      <c r="R1118" s="2" t="s">
        <v>5745</v>
      </c>
    </row>
    <row r="1119" spans="1:18">
      <c r="A1119" s="21">
        <v>21</v>
      </c>
      <c r="B1119" s="2" t="s">
        <v>4096</v>
      </c>
      <c r="C1119" s="21">
        <v>3</v>
      </c>
      <c r="D1119" s="2" t="s">
        <v>4125</v>
      </c>
      <c r="E1119" s="14">
        <v>0</v>
      </c>
      <c r="F1119" s="21">
        <v>8</v>
      </c>
      <c r="G1119" s="2" t="s">
        <v>4147</v>
      </c>
      <c r="H1119" s="23" t="s">
        <v>5899</v>
      </c>
      <c r="I1119" s="101" t="s">
        <v>4148</v>
      </c>
      <c r="J1119" s="2" t="s">
        <v>23</v>
      </c>
      <c r="K1119" s="2" t="s">
        <v>23</v>
      </c>
      <c r="M1119" s="2" t="s">
        <v>24</v>
      </c>
      <c r="N1119" s="2" t="s">
        <v>3033</v>
      </c>
      <c r="O1119" s="27"/>
      <c r="P1119" s="26">
        <v>1</v>
      </c>
      <c r="Q1119" s="99" t="s">
        <v>4149</v>
      </c>
      <c r="R1119" s="2" t="s">
        <v>5744</v>
      </c>
    </row>
    <row r="1120" spans="1:18">
      <c r="A1120" s="21">
        <v>21</v>
      </c>
      <c r="B1120" s="2" t="s">
        <v>4096</v>
      </c>
      <c r="C1120" s="21">
        <v>3</v>
      </c>
      <c r="D1120" s="2" t="s">
        <v>4125</v>
      </c>
      <c r="E1120" s="14">
        <v>0</v>
      </c>
      <c r="F1120" s="21">
        <v>9</v>
      </c>
      <c r="G1120" s="2" t="s">
        <v>4151</v>
      </c>
      <c r="H1120" s="23" t="s">
        <v>5900</v>
      </c>
      <c r="I1120" s="101" t="s">
        <v>4152</v>
      </c>
      <c r="J1120" s="2" t="s">
        <v>23</v>
      </c>
      <c r="K1120" s="2" t="s">
        <v>23</v>
      </c>
      <c r="M1120" s="2" t="s">
        <v>32</v>
      </c>
      <c r="N1120" s="2" t="s">
        <v>23</v>
      </c>
      <c r="O1120" s="27"/>
      <c r="P1120" s="26">
        <v>1</v>
      </c>
      <c r="Q1120" s="99" t="s">
        <v>4153</v>
      </c>
      <c r="R1120" s="2" t="s">
        <v>5743</v>
      </c>
    </row>
    <row r="1121" spans="1:18">
      <c r="A1121" s="21">
        <v>21</v>
      </c>
      <c r="B1121" s="2" t="s">
        <v>4096</v>
      </c>
      <c r="C1121" s="21">
        <v>3</v>
      </c>
      <c r="D1121" s="2" t="s">
        <v>4125</v>
      </c>
      <c r="E1121" s="14">
        <v>0</v>
      </c>
      <c r="F1121" s="21">
        <v>10</v>
      </c>
      <c r="G1121" s="2" t="s">
        <v>1441</v>
      </c>
      <c r="H1121" s="23" t="s">
        <v>5901</v>
      </c>
      <c r="I1121" s="101" t="s">
        <v>4154</v>
      </c>
      <c r="J1121" s="2" t="s">
        <v>23</v>
      </c>
      <c r="K1121" s="2" t="s">
        <v>23</v>
      </c>
      <c r="M1121" s="2" t="s">
        <v>24</v>
      </c>
      <c r="N1121" s="2" t="s">
        <v>3743</v>
      </c>
      <c r="O1121" s="27"/>
      <c r="P1121" s="26">
        <v>1</v>
      </c>
      <c r="Q1121" s="99" t="s">
        <v>4155</v>
      </c>
      <c r="R1121" s="2" t="s">
        <v>5742</v>
      </c>
    </row>
    <row r="1122" spans="1:18">
      <c r="A1122" s="21">
        <v>21</v>
      </c>
      <c r="B1122" s="2" t="s">
        <v>4096</v>
      </c>
      <c r="C1122" s="21">
        <v>3</v>
      </c>
      <c r="D1122" s="2" t="s">
        <v>4125</v>
      </c>
      <c r="E1122" s="14">
        <v>0</v>
      </c>
      <c r="F1122" s="21">
        <v>11</v>
      </c>
      <c r="G1122" s="2" t="s">
        <v>181</v>
      </c>
      <c r="H1122" s="23" t="s">
        <v>5902</v>
      </c>
      <c r="I1122" s="101" t="s">
        <v>4156</v>
      </c>
      <c r="J1122" s="2" t="s">
        <v>38</v>
      </c>
      <c r="K1122" s="2" t="s">
        <v>23</v>
      </c>
      <c r="M1122" s="2" t="s">
        <v>38</v>
      </c>
      <c r="N1122" s="2" t="s">
        <v>23</v>
      </c>
      <c r="P1122" s="7">
        <v>1</v>
      </c>
      <c r="Q1122" s="99" t="s">
        <v>4157</v>
      </c>
      <c r="R1122" s="2" t="s">
        <v>5740</v>
      </c>
    </row>
    <row r="1123" spans="1:18">
      <c r="A1123" s="21">
        <v>21</v>
      </c>
      <c r="B1123" s="2" t="s">
        <v>4096</v>
      </c>
      <c r="C1123" s="21">
        <v>3</v>
      </c>
      <c r="D1123" s="2" t="s">
        <v>4125</v>
      </c>
      <c r="E1123" s="14">
        <v>0</v>
      </c>
      <c r="F1123" s="21">
        <v>12</v>
      </c>
      <c r="G1123" s="2" t="s">
        <v>4158</v>
      </c>
      <c r="H1123" s="23" t="s">
        <v>5903</v>
      </c>
      <c r="I1123" s="101" t="s">
        <v>4159</v>
      </c>
      <c r="J1123" s="2" t="s">
        <v>24</v>
      </c>
      <c r="K1123" s="2" t="s">
        <v>116</v>
      </c>
      <c r="L1123" s="16" t="s">
        <v>4160</v>
      </c>
      <c r="M1123" s="2" t="s">
        <v>24</v>
      </c>
      <c r="N1123" s="2" t="s">
        <v>116</v>
      </c>
      <c r="O1123" s="16" t="s">
        <v>4160</v>
      </c>
      <c r="P1123" s="7">
        <v>1</v>
      </c>
      <c r="Q1123" s="99" t="s">
        <v>4161</v>
      </c>
      <c r="R1123" s="2" t="s">
        <v>5741</v>
      </c>
    </row>
    <row r="1124" spans="1:18">
      <c r="A1124" s="21">
        <v>21</v>
      </c>
      <c r="B1124" s="2" t="s">
        <v>4096</v>
      </c>
      <c r="C1124" s="21">
        <v>3</v>
      </c>
      <c r="D1124" s="2" t="s">
        <v>4125</v>
      </c>
      <c r="E1124" s="14">
        <v>0</v>
      </c>
      <c r="F1124" s="21">
        <v>13</v>
      </c>
      <c r="G1124" s="2" t="s">
        <v>4162</v>
      </c>
      <c r="H1124" s="23" t="s">
        <v>5904</v>
      </c>
      <c r="I1124" s="101" t="s">
        <v>4163</v>
      </c>
      <c r="J1124" s="2" t="s">
        <v>24</v>
      </c>
      <c r="K1124" s="2" t="s">
        <v>116</v>
      </c>
      <c r="L1124" s="16" t="s">
        <v>4164</v>
      </c>
      <c r="M1124" s="2" t="s">
        <v>24</v>
      </c>
      <c r="N1124" s="2" t="s">
        <v>116</v>
      </c>
      <c r="O1124" s="16" t="s">
        <v>4164</v>
      </c>
      <c r="P1124" s="7">
        <v>1</v>
      </c>
      <c r="Q1124" s="99" t="s">
        <v>4165</v>
      </c>
      <c r="R1124" s="2" t="s">
        <v>5740</v>
      </c>
    </row>
    <row r="1125" spans="1:18">
      <c r="A1125" s="21">
        <v>21</v>
      </c>
      <c r="B1125" s="2" t="s">
        <v>4096</v>
      </c>
      <c r="C1125" s="21">
        <v>3</v>
      </c>
      <c r="D1125" s="2" t="s">
        <v>4125</v>
      </c>
      <c r="E1125" s="14">
        <v>0</v>
      </c>
      <c r="F1125" s="21">
        <v>14</v>
      </c>
      <c r="G1125" s="2" t="s">
        <v>4167</v>
      </c>
      <c r="H1125" s="23" t="s">
        <v>5905</v>
      </c>
      <c r="I1125" s="101" t="s">
        <v>4168</v>
      </c>
      <c r="J1125" s="2" t="s">
        <v>24</v>
      </c>
      <c r="K1125" s="2" t="s">
        <v>206</v>
      </c>
      <c r="M1125" s="2" t="s">
        <v>24</v>
      </c>
      <c r="N1125" s="2" t="s">
        <v>206</v>
      </c>
      <c r="P1125" s="7">
        <v>1</v>
      </c>
      <c r="Q1125" s="99" t="s">
        <v>4169</v>
      </c>
      <c r="R1125" s="2" t="s">
        <v>5740</v>
      </c>
    </row>
    <row r="1126" spans="1:18">
      <c r="A1126" s="21">
        <v>21</v>
      </c>
      <c r="B1126" s="2" t="s">
        <v>4096</v>
      </c>
      <c r="C1126" s="21">
        <v>3</v>
      </c>
      <c r="D1126" s="2" t="s">
        <v>4125</v>
      </c>
      <c r="E1126" s="14">
        <v>0</v>
      </c>
      <c r="F1126" s="21">
        <v>15</v>
      </c>
      <c r="G1126" s="2" t="s">
        <v>4170</v>
      </c>
      <c r="H1126" s="23" t="s">
        <v>5906</v>
      </c>
      <c r="I1126" s="101" t="s">
        <v>4171</v>
      </c>
      <c r="J1126" s="2" t="s">
        <v>24</v>
      </c>
      <c r="K1126" s="2" t="s">
        <v>116</v>
      </c>
      <c r="L1126" s="16" t="s">
        <v>4172</v>
      </c>
      <c r="M1126" s="2" t="s">
        <v>24</v>
      </c>
      <c r="N1126" s="2" t="s">
        <v>116</v>
      </c>
      <c r="O1126" s="16" t="s">
        <v>4172</v>
      </c>
      <c r="P1126" s="7">
        <v>1</v>
      </c>
      <c r="Q1126" s="99" t="s">
        <v>4173</v>
      </c>
      <c r="R1126" s="2" t="s">
        <v>5740</v>
      </c>
    </row>
    <row r="1127" spans="1:18">
      <c r="A1127" s="72"/>
      <c r="C1127" s="72"/>
      <c r="E1127" s="86"/>
      <c r="F1127" s="72"/>
      <c r="H1127" s="87" t="s">
        <v>234</v>
      </c>
      <c r="I1127" s="105"/>
      <c r="P1127" s="7"/>
      <c r="Q1127" s="99"/>
    </row>
    <row r="1128" spans="1:18">
      <c r="A1128" s="82">
        <v>22</v>
      </c>
      <c r="B1128" s="50" t="s">
        <v>4176</v>
      </c>
      <c r="C1128" s="82">
        <v>0</v>
      </c>
      <c r="D1128" s="50" t="s">
        <v>4177</v>
      </c>
      <c r="E1128" s="82">
        <v>0</v>
      </c>
      <c r="F1128" s="21">
        <v>0</v>
      </c>
      <c r="G1128" s="50" t="s">
        <v>20</v>
      </c>
      <c r="H1128" s="23" t="s">
        <v>4178</v>
      </c>
      <c r="I1128" s="84" t="s">
        <v>4179</v>
      </c>
      <c r="J1128" s="50" t="s">
        <v>23</v>
      </c>
      <c r="K1128" s="50" t="s">
        <v>23</v>
      </c>
      <c r="L1128" s="50"/>
      <c r="M1128" s="50" t="s">
        <v>24</v>
      </c>
      <c r="N1128" s="50" t="s">
        <v>25</v>
      </c>
      <c r="O1128" s="50" t="s">
        <v>26</v>
      </c>
      <c r="P1128" s="51">
        <v>1</v>
      </c>
      <c r="Q1128" s="81" t="s">
        <v>4180</v>
      </c>
    </row>
    <row r="1129" spans="1:18">
      <c r="A1129" s="82">
        <v>22</v>
      </c>
      <c r="B1129" s="50" t="s">
        <v>4176</v>
      </c>
      <c r="C1129" s="82">
        <v>0</v>
      </c>
      <c r="D1129" s="50" t="s">
        <v>4177</v>
      </c>
      <c r="E1129" s="82">
        <v>0</v>
      </c>
      <c r="F1129" s="21">
        <v>1</v>
      </c>
      <c r="G1129" s="50" t="s">
        <v>4182</v>
      </c>
      <c r="H1129" s="23" t="s">
        <v>4183</v>
      </c>
      <c r="I1129" s="83" t="s">
        <v>4184</v>
      </c>
      <c r="J1129" s="50" t="s">
        <v>38</v>
      </c>
      <c r="K1129" s="50" t="s">
        <v>23</v>
      </c>
      <c r="L1129" s="50"/>
      <c r="M1129" s="50" t="s">
        <v>38</v>
      </c>
      <c r="N1129" s="50" t="s">
        <v>23</v>
      </c>
      <c r="O1129" s="50"/>
      <c r="P1129" s="51">
        <v>1</v>
      </c>
      <c r="Q1129" s="99" t="s">
        <v>4185</v>
      </c>
      <c r="R1129" s="50" t="s">
        <v>4142</v>
      </c>
    </row>
    <row r="1130" spans="1:18">
      <c r="A1130" s="82">
        <v>22</v>
      </c>
      <c r="B1130" s="50" t="s">
        <v>4176</v>
      </c>
      <c r="C1130" s="82">
        <v>0</v>
      </c>
      <c r="D1130" s="50" t="s">
        <v>4177</v>
      </c>
      <c r="E1130" s="82">
        <v>0</v>
      </c>
      <c r="F1130" s="21">
        <v>2</v>
      </c>
      <c r="G1130" s="50" t="s">
        <v>4186</v>
      </c>
      <c r="H1130" s="23" t="s">
        <v>4187</v>
      </c>
      <c r="I1130" s="83" t="s">
        <v>4188</v>
      </c>
      <c r="J1130" s="2" t="s">
        <v>24</v>
      </c>
      <c r="K1130" s="50" t="s">
        <v>23</v>
      </c>
      <c r="L1130" s="50"/>
      <c r="M1130" s="50" t="s">
        <v>24</v>
      </c>
      <c r="N1130" s="50" t="s">
        <v>23</v>
      </c>
      <c r="O1130" s="50"/>
      <c r="P1130" s="51">
        <v>1</v>
      </c>
      <c r="Q1130" s="99" t="s">
        <v>4189</v>
      </c>
      <c r="R1130" s="2" t="s">
        <v>4146</v>
      </c>
    </row>
    <row r="1131" spans="1:18">
      <c r="A1131" s="82">
        <v>22</v>
      </c>
      <c r="B1131" s="50" t="s">
        <v>4176</v>
      </c>
      <c r="C1131" s="82">
        <v>0</v>
      </c>
      <c r="D1131" s="50" t="s">
        <v>4177</v>
      </c>
      <c r="E1131" s="82">
        <v>0</v>
      </c>
      <c r="F1131" s="21">
        <v>3</v>
      </c>
      <c r="G1131" s="50" t="s">
        <v>4191</v>
      </c>
      <c r="H1131" s="23" t="s">
        <v>5907</v>
      </c>
      <c r="I1131" s="83" t="s">
        <v>4192</v>
      </c>
      <c r="J1131" s="2" t="s">
        <v>24</v>
      </c>
      <c r="K1131" s="50" t="s">
        <v>23</v>
      </c>
      <c r="L1131" s="50"/>
      <c r="M1131" s="50" t="s">
        <v>24</v>
      </c>
      <c r="N1131" s="50" t="s">
        <v>23</v>
      </c>
      <c r="O1131" s="50"/>
      <c r="P1131" s="51">
        <v>1</v>
      </c>
      <c r="Q1131" s="99" t="s">
        <v>4193</v>
      </c>
      <c r="R1131" t="s">
        <v>4150</v>
      </c>
    </row>
    <row r="1132" spans="1:18">
      <c r="A1132" s="82">
        <v>22</v>
      </c>
      <c r="B1132" s="50" t="s">
        <v>4176</v>
      </c>
      <c r="C1132" s="82">
        <v>0</v>
      </c>
      <c r="D1132" s="50" t="s">
        <v>4177</v>
      </c>
      <c r="E1132" s="82">
        <v>0</v>
      </c>
      <c r="F1132" s="21">
        <v>4</v>
      </c>
      <c r="G1132" s="50" t="s">
        <v>1042</v>
      </c>
      <c r="H1132" s="23" t="s">
        <v>5908</v>
      </c>
      <c r="I1132" s="83" t="s">
        <v>4194</v>
      </c>
      <c r="J1132" s="50" t="s">
        <v>32</v>
      </c>
      <c r="K1132" s="50" t="s">
        <v>23</v>
      </c>
      <c r="L1132" s="50"/>
      <c r="M1132" s="50" t="s">
        <v>24</v>
      </c>
      <c r="N1132" s="50" t="s">
        <v>23</v>
      </c>
      <c r="O1132" s="50" t="s">
        <v>8284</v>
      </c>
      <c r="P1132" s="51">
        <v>1</v>
      </c>
      <c r="Q1132" s="50" t="s">
        <v>1046</v>
      </c>
    </row>
    <row r="1133" spans="1:18">
      <c r="A1133" s="82">
        <v>22</v>
      </c>
      <c r="B1133" s="50" t="s">
        <v>4176</v>
      </c>
      <c r="C1133" s="82">
        <v>1</v>
      </c>
      <c r="D1133" s="50" t="s">
        <v>4196</v>
      </c>
      <c r="E1133" s="82">
        <v>0</v>
      </c>
      <c r="F1133" s="21">
        <v>0</v>
      </c>
      <c r="G1133" s="50" t="s">
        <v>20</v>
      </c>
      <c r="H1133" s="23" t="s">
        <v>4197</v>
      </c>
      <c r="I1133" s="84" t="s">
        <v>4198</v>
      </c>
      <c r="J1133" s="50" t="s">
        <v>23</v>
      </c>
      <c r="K1133" s="50" t="s">
        <v>23</v>
      </c>
      <c r="L1133" s="50"/>
      <c r="M1133" s="50" t="s">
        <v>24</v>
      </c>
      <c r="N1133" s="50" t="s">
        <v>25</v>
      </c>
      <c r="O1133" s="50" t="s">
        <v>26</v>
      </c>
      <c r="P1133" s="51">
        <v>1</v>
      </c>
      <c r="Q1133" s="81" t="s">
        <v>4199</v>
      </c>
    </row>
    <row r="1134" spans="1:18">
      <c r="A1134" s="82">
        <v>22</v>
      </c>
      <c r="B1134" s="50" t="s">
        <v>4176</v>
      </c>
      <c r="C1134" s="82">
        <v>1</v>
      </c>
      <c r="D1134" s="50" t="s">
        <v>4196</v>
      </c>
      <c r="E1134" s="82">
        <v>0</v>
      </c>
      <c r="F1134" s="21">
        <v>1</v>
      </c>
      <c r="G1134" s="50" t="s">
        <v>1077</v>
      </c>
      <c r="H1134" s="23" t="s">
        <v>4201</v>
      </c>
      <c r="I1134" s="83" t="s">
        <v>4202</v>
      </c>
      <c r="J1134" s="2" t="s">
        <v>24</v>
      </c>
      <c r="K1134" s="2" t="s">
        <v>25</v>
      </c>
      <c r="L1134" s="50"/>
      <c r="M1134" s="2" t="s">
        <v>24</v>
      </c>
      <c r="N1134" s="2" t="s">
        <v>25</v>
      </c>
      <c r="O1134" s="50"/>
      <c r="P1134" s="51">
        <v>1</v>
      </c>
      <c r="Q1134" s="50" t="s">
        <v>1080</v>
      </c>
    </row>
    <row r="1135" spans="1:18">
      <c r="A1135" s="82">
        <v>22</v>
      </c>
      <c r="B1135" s="50" t="s">
        <v>4176</v>
      </c>
      <c r="C1135" s="82">
        <v>1</v>
      </c>
      <c r="D1135" s="50" t="s">
        <v>4196</v>
      </c>
      <c r="E1135" s="82">
        <v>0</v>
      </c>
      <c r="F1135" s="21">
        <v>2</v>
      </c>
      <c r="G1135" s="50" t="s">
        <v>181</v>
      </c>
      <c r="H1135" s="23" t="s">
        <v>5909</v>
      </c>
      <c r="I1135" s="83" t="s">
        <v>4203</v>
      </c>
      <c r="J1135" s="50" t="s">
        <v>38</v>
      </c>
      <c r="K1135" s="50" t="s">
        <v>23</v>
      </c>
      <c r="L1135" s="50"/>
      <c r="M1135" s="50" t="s">
        <v>38</v>
      </c>
      <c r="N1135" s="50" t="s">
        <v>23</v>
      </c>
      <c r="O1135" s="50"/>
      <c r="P1135" s="51">
        <v>1</v>
      </c>
      <c r="Q1135" s="50" t="s">
        <v>2836</v>
      </c>
    </row>
    <row r="1136" spans="1:18">
      <c r="A1136" s="82">
        <v>22</v>
      </c>
      <c r="B1136" s="50" t="s">
        <v>4176</v>
      </c>
      <c r="C1136" s="82">
        <v>1</v>
      </c>
      <c r="D1136" s="50" t="s">
        <v>4196</v>
      </c>
      <c r="E1136" s="82">
        <v>0</v>
      </c>
      <c r="F1136" s="21">
        <v>3</v>
      </c>
      <c r="G1136" s="50" t="s">
        <v>4204</v>
      </c>
      <c r="H1136" s="23" t="s">
        <v>5910</v>
      </c>
      <c r="I1136" s="83" t="s">
        <v>4205</v>
      </c>
      <c r="J1136" s="2" t="s">
        <v>24</v>
      </c>
      <c r="K1136" s="2" t="s">
        <v>25</v>
      </c>
      <c r="M1136" s="2" t="s">
        <v>24</v>
      </c>
      <c r="N1136" s="2" t="s">
        <v>25</v>
      </c>
      <c r="O1136" s="2" t="s">
        <v>2556</v>
      </c>
      <c r="P1136" s="51">
        <v>1</v>
      </c>
      <c r="Q1136" s="99" t="s">
        <v>4206</v>
      </c>
      <c r="R1136" t="s">
        <v>4166</v>
      </c>
    </row>
    <row r="1137" spans="1:18">
      <c r="A1137" s="82">
        <v>22</v>
      </c>
      <c r="B1137" s="50" t="s">
        <v>4176</v>
      </c>
      <c r="C1137" s="82">
        <v>1</v>
      </c>
      <c r="D1137" s="50" t="s">
        <v>4196</v>
      </c>
      <c r="E1137" s="82">
        <v>0</v>
      </c>
      <c r="F1137" s="21">
        <v>4</v>
      </c>
      <c r="G1137" s="50" t="s">
        <v>4208</v>
      </c>
      <c r="H1137" s="23" t="s">
        <v>5911</v>
      </c>
      <c r="I1137" s="83" t="s">
        <v>4209</v>
      </c>
      <c r="J1137" s="50" t="s">
        <v>24</v>
      </c>
      <c r="K1137" s="50" t="s">
        <v>116</v>
      </c>
      <c r="L1137" s="9" t="s">
        <v>4209</v>
      </c>
      <c r="M1137" s="50" t="s">
        <v>24</v>
      </c>
      <c r="N1137" s="50" t="s">
        <v>116</v>
      </c>
      <c r="O1137" s="9" t="s">
        <v>4209</v>
      </c>
      <c r="P1137" s="51">
        <v>1</v>
      </c>
      <c r="Q1137" s="50" t="s">
        <v>4210</v>
      </c>
    </row>
    <row r="1138" spans="1:18">
      <c r="A1138" s="82">
        <v>22</v>
      </c>
      <c r="B1138" s="50" t="s">
        <v>4176</v>
      </c>
      <c r="C1138" s="82">
        <v>1</v>
      </c>
      <c r="D1138" s="50" t="s">
        <v>4196</v>
      </c>
      <c r="E1138" s="82">
        <v>0</v>
      </c>
      <c r="F1138" s="21">
        <v>5</v>
      </c>
      <c r="G1138" s="50" t="s">
        <v>4211</v>
      </c>
      <c r="H1138" s="23" t="s">
        <v>5912</v>
      </c>
      <c r="I1138" s="83" t="s">
        <v>4212</v>
      </c>
      <c r="J1138" s="2" t="s">
        <v>24</v>
      </c>
      <c r="K1138" s="50" t="s">
        <v>23</v>
      </c>
      <c r="L1138" s="9"/>
      <c r="M1138" s="50" t="s">
        <v>24</v>
      </c>
      <c r="N1138" s="50" t="s">
        <v>23</v>
      </c>
      <c r="O1138" s="9"/>
      <c r="P1138" s="51">
        <v>1</v>
      </c>
      <c r="Q1138" s="50" t="s">
        <v>4213</v>
      </c>
      <c r="R1138" s="2" t="s">
        <v>4174</v>
      </c>
    </row>
    <row r="1139" spans="1:18">
      <c r="A1139" s="82">
        <v>22</v>
      </c>
      <c r="B1139" s="50" t="s">
        <v>4176</v>
      </c>
      <c r="C1139" s="82">
        <v>1</v>
      </c>
      <c r="D1139" s="50" t="s">
        <v>4196</v>
      </c>
      <c r="E1139" s="82">
        <v>0</v>
      </c>
      <c r="F1139" s="21">
        <v>6</v>
      </c>
      <c r="G1139" s="50" t="s">
        <v>4214</v>
      </c>
      <c r="H1139" s="23" t="s">
        <v>5913</v>
      </c>
      <c r="I1139" s="83" t="s">
        <v>4215</v>
      </c>
      <c r="J1139" s="50" t="s">
        <v>24</v>
      </c>
      <c r="K1139" s="50" t="s">
        <v>23</v>
      </c>
      <c r="L1139" s="50"/>
      <c r="M1139" s="50" t="s">
        <v>24</v>
      </c>
      <c r="N1139" s="50" t="s">
        <v>23</v>
      </c>
      <c r="O1139" s="50"/>
      <c r="P1139" s="51">
        <v>1</v>
      </c>
      <c r="Q1139" s="99" t="s">
        <v>4216</v>
      </c>
      <c r="R1139" s="50" t="s">
        <v>4175</v>
      </c>
    </row>
    <row r="1140" spans="1:18">
      <c r="A1140" s="82">
        <v>22</v>
      </c>
      <c r="B1140" s="50" t="s">
        <v>4176</v>
      </c>
      <c r="C1140" s="82">
        <v>1</v>
      </c>
      <c r="D1140" s="50" t="s">
        <v>4196</v>
      </c>
      <c r="E1140" s="82">
        <v>0</v>
      </c>
      <c r="F1140" s="21">
        <v>7</v>
      </c>
      <c r="G1140" s="50" t="s">
        <v>4218</v>
      </c>
      <c r="H1140" s="23" t="s">
        <v>5914</v>
      </c>
      <c r="I1140" s="83" t="s">
        <v>4219</v>
      </c>
      <c r="J1140" s="50" t="s">
        <v>24</v>
      </c>
      <c r="K1140" s="50" t="s">
        <v>23</v>
      </c>
      <c r="L1140" s="50"/>
      <c r="M1140" s="50" t="s">
        <v>24</v>
      </c>
      <c r="N1140" s="50" t="s">
        <v>23</v>
      </c>
      <c r="O1140" s="50"/>
      <c r="P1140" s="51">
        <v>1</v>
      </c>
      <c r="Q1140" s="99" t="s">
        <v>4220</v>
      </c>
      <c r="R1140" s="50" t="s">
        <v>4181</v>
      </c>
    </row>
    <row r="1141" spans="1:18">
      <c r="A1141" s="82">
        <v>22</v>
      </c>
      <c r="B1141" s="50" t="s">
        <v>4176</v>
      </c>
      <c r="C1141" s="82">
        <v>1</v>
      </c>
      <c r="D1141" s="50" t="s">
        <v>4196</v>
      </c>
      <c r="E1141" s="82">
        <v>0</v>
      </c>
      <c r="F1141" s="21">
        <v>8</v>
      </c>
      <c r="G1141" s="50" t="s">
        <v>2931</v>
      </c>
      <c r="H1141" s="23" t="s">
        <v>5915</v>
      </c>
      <c r="I1141" s="83" t="s">
        <v>4221</v>
      </c>
      <c r="J1141" s="50" t="s">
        <v>38</v>
      </c>
      <c r="K1141" s="50" t="s">
        <v>23</v>
      </c>
      <c r="L1141" s="50"/>
      <c r="M1141" s="50" t="s">
        <v>38</v>
      </c>
      <c r="N1141" s="50" t="s">
        <v>23</v>
      </c>
      <c r="O1141" s="50"/>
      <c r="P1141" s="51">
        <v>1</v>
      </c>
      <c r="Q1141" s="50" t="s">
        <v>4222</v>
      </c>
      <c r="R1141" s="2" t="s">
        <v>4142</v>
      </c>
    </row>
    <row r="1142" spans="1:18">
      <c r="A1142" s="82">
        <v>22</v>
      </c>
      <c r="B1142" s="50" t="s">
        <v>4176</v>
      </c>
      <c r="C1142" s="82">
        <v>1</v>
      </c>
      <c r="D1142" s="50" t="s">
        <v>4196</v>
      </c>
      <c r="E1142" s="82">
        <v>0</v>
      </c>
      <c r="F1142" s="21">
        <v>9</v>
      </c>
      <c r="G1142" s="50" t="s">
        <v>4223</v>
      </c>
      <c r="H1142" s="23" t="s">
        <v>5916</v>
      </c>
      <c r="I1142" s="83" t="s">
        <v>4224</v>
      </c>
      <c r="J1142" s="2" t="s">
        <v>24</v>
      </c>
      <c r="K1142" s="2" t="s">
        <v>25</v>
      </c>
      <c r="M1142" s="2" t="s">
        <v>24</v>
      </c>
      <c r="N1142" s="2" t="s">
        <v>25</v>
      </c>
      <c r="O1142" s="2" t="s">
        <v>2556</v>
      </c>
      <c r="P1142" s="51">
        <v>1</v>
      </c>
      <c r="Q1142" s="50" t="s">
        <v>4225</v>
      </c>
      <c r="R1142" s="15" t="s">
        <v>4190</v>
      </c>
    </row>
    <row r="1143" spans="1:18">
      <c r="A1143" s="82">
        <v>22</v>
      </c>
      <c r="B1143" s="50" t="s">
        <v>4176</v>
      </c>
      <c r="C1143" s="82">
        <v>2</v>
      </c>
      <c r="D1143" s="50" t="s">
        <v>4226</v>
      </c>
      <c r="E1143" s="82">
        <v>0</v>
      </c>
      <c r="F1143" s="21">
        <v>0</v>
      </c>
      <c r="G1143" s="50" t="s">
        <v>20</v>
      </c>
      <c r="H1143" s="23" t="s">
        <v>4227</v>
      </c>
      <c r="I1143" s="84" t="s">
        <v>4228</v>
      </c>
      <c r="J1143" s="50" t="s">
        <v>23</v>
      </c>
      <c r="K1143" s="50" t="s">
        <v>23</v>
      </c>
      <c r="L1143" s="50"/>
      <c r="M1143" s="50" t="s">
        <v>24</v>
      </c>
      <c r="N1143" s="50" t="s">
        <v>25</v>
      </c>
      <c r="O1143" s="50" t="s">
        <v>26</v>
      </c>
      <c r="P1143" s="51">
        <v>1</v>
      </c>
      <c r="Q1143" s="1" t="s">
        <v>4229</v>
      </c>
    </row>
    <row r="1144" spans="1:18">
      <c r="A1144" s="21">
        <v>22</v>
      </c>
      <c r="B1144" s="50" t="s">
        <v>4176</v>
      </c>
      <c r="C1144" s="21">
        <v>2</v>
      </c>
      <c r="D1144" s="50" t="s">
        <v>4226</v>
      </c>
      <c r="E1144" s="14">
        <v>0</v>
      </c>
      <c r="F1144" s="21">
        <v>1</v>
      </c>
      <c r="G1144" s="50" t="s">
        <v>4230</v>
      </c>
      <c r="H1144" s="23" t="s">
        <v>4231</v>
      </c>
      <c r="I1144" s="101" t="s">
        <v>4232</v>
      </c>
      <c r="J1144" s="2" t="s">
        <v>24</v>
      </c>
      <c r="K1144" s="2" t="s">
        <v>25</v>
      </c>
      <c r="M1144" s="2" t="s">
        <v>24</v>
      </c>
      <c r="N1144" s="2" t="s">
        <v>25</v>
      </c>
      <c r="O1144" s="2" t="s">
        <v>2556</v>
      </c>
      <c r="P1144" s="51">
        <v>1</v>
      </c>
      <c r="Q1144" s="99" t="s">
        <v>4233</v>
      </c>
      <c r="R1144" s="2" t="s">
        <v>4195</v>
      </c>
    </row>
    <row r="1145" spans="1:18">
      <c r="A1145" s="21">
        <v>22</v>
      </c>
      <c r="B1145" s="50" t="s">
        <v>4176</v>
      </c>
      <c r="C1145" s="21">
        <v>2</v>
      </c>
      <c r="D1145" s="50" t="s">
        <v>4226</v>
      </c>
      <c r="E1145" s="14">
        <v>0</v>
      </c>
      <c r="F1145" s="21">
        <v>2</v>
      </c>
      <c r="G1145" s="50" t="s">
        <v>4234</v>
      </c>
      <c r="H1145" s="23" t="s">
        <v>4235</v>
      </c>
      <c r="I1145" s="101" t="s">
        <v>4236</v>
      </c>
      <c r="J1145" s="50" t="s">
        <v>24</v>
      </c>
      <c r="K1145" s="50" t="s">
        <v>23</v>
      </c>
      <c r="L1145" s="50"/>
      <c r="M1145" s="50" t="s">
        <v>24</v>
      </c>
      <c r="N1145" s="50" t="s">
        <v>23</v>
      </c>
      <c r="O1145" s="50"/>
      <c r="P1145" s="51">
        <v>1</v>
      </c>
      <c r="Q1145" s="99" t="s">
        <v>4237</v>
      </c>
      <c r="R1145" s="2" t="s">
        <v>4200</v>
      </c>
    </row>
    <row r="1146" spans="1:18">
      <c r="A1146" s="72"/>
      <c r="B1146" s="50"/>
      <c r="C1146" s="72"/>
      <c r="D1146" s="50"/>
      <c r="E1146" s="86"/>
      <c r="F1146" s="72"/>
      <c r="G1146" s="50"/>
      <c r="H1146" s="87" t="s">
        <v>234</v>
      </c>
      <c r="I1146" s="105"/>
      <c r="J1146" s="50"/>
      <c r="K1146" s="50"/>
      <c r="L1146" s="50"/>
      <c r="M1146" s="50"/>
      <c r="N1146" s="50"/>
      <c r="O1146" s="50"/>
      <c r="P1146" s="51"/>
      <c r="Q1146" s="99"/>
    </row>
    <row r="1147" spans="1:18">
      <c r="A1147" s="90">
        <v>23</v>
      </c>
      <c r="B1147" s="50" t="s">
        <v>4238</v>
      </c>
      <c r="C1147" s="90">
        <v>0</v>
      </c>
      <c r="D1147" s="50" t="s">
        <v>4239</v>
      </c>
      <c r="E1147" s="90">
        <v>0</v>
      </c>
      <c r="F1147" s="71">
        <v>0</v>
      </c>
      <c r="G1147" s="50" t="s">
        <v>20</v>
      </c>
      <c r="H1147" s="73" t="s">
        <v>4240</v>
      </c>
      <c r="I1147" s="91" t="s">
        <v>4241</v>
      </c>
      <c r="J1147" s="50" t="s">
        <v>23</v>
      </c>
      <c r="K1147" s="50" t="s">
        <v>23</v>
      </c>
      <c r="L1147" s="50"/>
      <c r="M1147" s="50" t="s">
        <v>24</v>
      </c>
      <c r="N1147" s="50" t="s">
        <v>25</v>
      </c>
      <c r="O1147" s="50" t="s">
        <v>26</v>
      </c>
      <c r="P1147" s="51">
        <v>0</v>
      </c>
      <c r="Q1147" s="1" t="s">
        <v>4242</v>
      </c>
    </row>
    <row r="1148" spans="1:18">
      <c r="A1148" s="71">
        <v>23</v>
      </c>
      <c r="B1148" s="50" t="s">
        <v>4238</v>
      </c>
      <c r="C1148" s="71">
        <v>0</v>
      </c>
      <c r="D1148" s="50" t="s">
        <v>4239</v>
      </c>
      <c r="E1148" s="74">
        <v>0</v>
      </c>
      <c r="F1148" s="71">
        <v>1</v>
      </c>
      <c r="G1148" s="50" t="s">
        <v>4243</v>
      </c>
      <c r="H1148" s="73" t="s">
        <v>4244</v>
      </c>
      <c r="I1148" s="100" t="s">
        <v>4245</v>
      </c>
      <c r="J1148" s="50" t="s">
        <v>24</v>
      </c>
      <c r="K1148" s="50" t="s">
        <v>23</v>
      </c>
      <c r="L1148" s="50"/>
      <c r="M1148" s="50" t="s">
        <v>24</v>
      </c>
      <c r="N1148" s="50" t="s">
        <v>23</v>
      </c>
      <c r="O1148" s="50"/>
      <c r="P1148" s="51">
        <v>0</v>
      </c>
      <c r="Q1148" s="99" t="s">
        <v>4199</v>
      </c>
      <c r="R1148" s="2" t="s">
        <v>4207</v>
      </c>
    </row>
    <row r="1149" spans="1:18">
      <c r="A1149" s="71">
        <v>23</v>
      </c>
      <c r="B1149" s="50" t="s">
        <v>4238</v>
      </c>
      <c r="C1149" s="71">
        <v>0</v>
      </c>
      <c r="D1149" s="50" t="s">
        <v>4239</v>
      </c>
      <c r="E1149" s="74">
        <v>0</v>
      </c>
      <c r="F1149" s="71">
        <v>2</v>
      </c>
      <c r="G1149" s="50" t="s">
        <v>4247</v>
      </c>
      <c r="H1149" s="73" t="s">
        <v>4248</v>
      </c>
      <c r="I1149" s="100" t="s">
        <v>4249</v>
      </c>
      <c r="J1149" s="50" t="s">
        <v>24</v>
      </c>
      <c r="K1149" s="50" t="s">
        <v>23</v>
      </c>
      <c r="L1149" s="50"/>
      <c r="M1149" s="50" t="s">
        <v>24</v>
      </c>
      <c r="N1149" s="50" t="s">
        <v>23</v>
      </c>
      <c r="O1149" s="50"/>
      <c r="P1149" s="51">
        <v>0</v>
      </c>
      <c r="Q1149" s="99" t="s">
        <v>4250</v>
      </c>
    </row>
    <row r="1150" spans="1:18">
      <c r="A1150" s="90">
        <v>23</v>
      </c>
      <c r="B1150" s="50" t="s">
        <v>4238</v>
      </c>
      <c r="C1150" s="90">
        <v>1</v>
      </c>
      <c r="D1150" s="50" t="s">
        <v>4251</v>
      </c>
      <c r="E1150" s="90">
        <v>0</v>
      </c>
      <c r="F1150" s="71">
        <v>0</v>
      </c>
      <c r="G1150" s="50" t="s">
        <v>20</v>
      </c>
      <c r="H1150" s="73" t="s">
        <v>4252</v>
      </c>
      <c r="I1150" s="91" t="s">
        <v>4253</v>
      </c>
      <c r="J1150" s="50" t="s">
        <v>23</v>
      </c>
      <c r="K1150" s="50" t="s">
        <v>23</v>
      </c>
      <c r="L1150" s="50"/>
      <c r="M1150" s="50" t="s">
        <v>24</v>
      </c>
      <c r="N1150" s="50" t="s">
        <v>25</v>
      </c>
      <c r="O1150" s="50" t="s">
        <v>26</v>
      </c>
      <c r="P1150" s="51">
        <v>0</v>
      </c>
      <c r="Q1150" s="81" t="s">
        <v>4254</v>
      </c>
    </row>
    <row r="1151" spans="1:18">
      <c r="A1151" s="90">
        <v>23</v>
      </c>
      <c r="B1151" s="50" t="s">
        <v>4238</v>
      </c>
      <c r="C1151" s="90">
        <v>1</v>
      </c>
      <c r="D1151" s="50" t="s">
        <v>4251</v>
      </c>
      <c r="E1151" s="90">
        <v>0</v>
      </c>
      <c r="F1151" s="71">
        <v>1</v>
      </c>
      <c r="G1151" s="50" t="s">
        <v>3364</v>
      </c>
      <c r="H1151" s="73" t="s">
        <v>4255</v>
      </c>
      <c r="I1151" s="92" t="s">
        <v>4256</v>
      </c>
      <c r="J1151" s="50" t="s">
        <v>24</v>
      </c>
      <c r="K1151" s="50" t="s">
        <v>121</v>
      </c>
      <c r="L1151" s="50"/>
      <c r="M1151" s="50" t="s">
        <v>24</v>
      </c>
      <c r="N1151" s="50" t="s">
        <v>121</v>
      </c>
      <c r="O1151" s="50"/>
      <c r="P1151" s="51">
        <v>0</v>
      </c>
      <c r="Q1151" s="50" t="s">
        <v>1062</v>
      </c>
      <c r="R1151" s="2" t="s">
        <v>4217</v>
      </c>
    </row>
    <row r="1152" spans="1:18">
      <c r="A1152" s="90">
        <v>23</v>
      </c>
      <c r="B1152" s="50" t="s">
        <v>4238</v>
      </c>
      <c r="C1152" s="90">
        <v>2</v>
      </c>
      <c r="D1152" s="50" t="s">
        <v>4257</v>
      </c>
      <c r="E1152" s="90">
        <v>0</v>
      </c>
      <c r="F1152" s="71">
        <v>0</v>
      </c>
      <c r="G1152" s="50" t="s">
        <v>20</v>
      </c>
      <c r="H1152" s="73" t="s">
        <v>5917</v>
      </c>
      <c r="I1152" s="91" t="s">
        <v>4258</v>
      </c>
      <c r="J1152" s="50" t="s">
        <v>23</v>
      </c>
      <c r="K1152" s="50" t="s">
        <v>23</v>
      </c>
      <c r="L1152" s="50"/>
      <c r="M1152" s="50" t="s">
        <v>24</v>
      </c>
      <c r="N1152" s="50" t="s">
        <v>25</v>
      </c>
      <c r="O1152" s="50" t="s">
        <v>26</v>
      </c>
      <c r="P1152" s="51">
        <v>0</v>
      </c>
      <c r="Q1152" s="81" t="s">
        <v>4259</v>
      </c>
    </row>
    <row r="1153" spans="1:18">
      <c r="A1153" s="90">
        <v>23</v>
      </c>
      <c r="B1153" s="50" t="s">
        <v>4238</v>
      </c>
      <c r="C1153" s="90">
        <v>2</v>
      </c>
      <c r="D1153" s="50" t="s">
        <v>4257</v>
      </c>
      <c r="E1153" s="90">
        <v>0</v>
      </c>
      <c r="F1153" s="71">
        <v>1</v>
      </c>
      <c r="G1153" s="50" t="s">
        <v>4260</v>
      </c>
      <c r="H1153" s="73" t="s">
        <v>5918</v>
      </c>
      <c r="I1153" s="92" t="s">
        <v>4261</v>
      </c>
      <c r="J1153" s="50" t="s">
        <v>24</v>
      </c>
      <c r="K1153" s="50" t="s">
        <v>23</v>
      </c>
      <c r="L1153" s="50"/>
      <c r="M1153" s="50" t="s">
        <v>24</v>
      </c>
      <c r="N1153" s="50" t="s">
        <v>23</v>
      </c>
      <c r="O1153" s="50"/>
      <c r="P1153" s="51">
        <v>0</v>
      </c>
      <c r="Q1153" s="50" t="s">
        <v>411</v>
      </c>
    </row>
    <row r="1154" spans="1:18">
      <c r="A1154" s="90">
        <v>23</v>
      </c>
      <c r="B1154" s="50" t="s">
        <v>4238</v>
      </c>
      <c r="C1154" s="90">
        <v>2</v>
      </c>
      <c r="D1154" s="50" t="s">
        <v>4257</v>
      </c>
      <c r="E1154" s="90">
        <v>0</v>
      </c>
      <c r="F1154" s="71">
        <v>2</v>
      </c>
      <c r="G1154" s="50" t="s">
        <v>4262</v>
      </c>
      <c r="H1154" s="73" t="s">
        <v>5919</v>
      </c>
      <c r="I1154" s="92" t="s">
        <v>4263</v>
      </c>
      <c r="J1154" s="50" t="s">
        <v>24</v>
      </c>
      <c r="K1154" s="50" t="s">
        <v>23</v>
      </c>
      <c r="L1154" s="50"/>
      <c r="M1154" s="50" t="s">
        <v>24</v>
      </c>
      <c r="N1154" s="50" t="s">
        <v>23</v>
      </c>
      <c r="O1154" s="50"/>
      <c r="P1154" s="51">
        <v>0</v>
      </c>
      <c r="Q1154" s="50" t="s">
        <v>4264</v>
      </c>
    </row>
    <row r="1155" spans="1:18">
      <c r="A1155" s="90">
        <v>23</v>
      </c>
      <c r="B1155" s="50" t="s">
        <v>4238</v>
      </c>
      <c r="C1155" s="90">
        <v>2</v>
      </c>
      <c r="D1155" s="50" t="s">
        <v>4257</v>
      </c>
      <c r="E1155" s="90">
        <v>0</v>
      </c>
      <c r="F1155" s="71">
        <v>3</v>
      </c>
      <c r="G1155" s="50" t="s">
        <v>4265</v>
      </c>
      <c r="H1155" s="73" t="s">
        <v>5920</v>
      </c>
      <c r="I1155" s="92" t="s">
        <v>4266</v>
      </c>
      <c r="J1155" s="50" t="s">
        <v>24</v>
      </c>
      <c r="K1155" s="50" t="s">
        <v>23</v>
      </c>
      <c r="L1155" s="50"/>
      <c r="M1155" s="50" t="s">
        <v>24</v>
      </c>
      <c r="N1155" s="50" t="s">
        <v>23</v>
      </c>
      <c r="O1155" s="50"/>
      <c r="P1155" s="51">
        <v>0</v>
      </c>
      <c r="Q1155" s="50" t="s">
        <v>4267</v>
      </c>
    </row>
    <row r="1156" spans="1:18">
      <c r="A1156" s="82">
        <v>23</v>
      </c>
      <c r="B1156" s="50" t="s">
        <v>4238</v>
      </c>
      <c r="C1156" s="82">
        <v>3</v>
      </c>
      <c r="D1156" s="2" t="s">
        <v>8120</v>
      </c>
      <c r="E1156" s="14">
        <v>0</v>
      </c>
      <c r="F1156" s="21">
        <v>0</v>
      </c>
      <c r="G1156" s="2" t="s">
        <v>20</v>
      </c>
      <c r="H1156" s="23" t="s">
        <v>8123</v>
      </c>
      <c r="I1156" s="94" t="s">
        <v>8121</v>
      </c>
      <c r="J1156" s="2" t="s">
        <v>23</v>
      </c>
      <c r="K1156" s="2" t="s">
        <v>23</v>
      </c>
      <c r="M1156" s="2" t="s">
        <v>24</v>
      </c>
      <c r="N1156" s="2" t="s">
        <v>25</v>
      </c>
      <c r="O1156" s="2" t="s">
        <v>26</v>
      </c>
      <c r="P1156" s="51">
        <v>1</v>
      </c>
      <c r="Q1156" s="1" t="s">
        <v>8122</v>
      </c>
    </row>
    <row r="1157" spans="1:18">
      <c r="A1157" s="90">
        <v>23</v>
      </c>
      <c r="B1157" s="50" t="s">
        <v>4238</v>
      </c>
      <c r="C1157" s="90">
        <v>3</v>
      </c>
      <c r="D1157" s="2" t="s">
        <v>8120</v>
      </c>
      <c r="E1157" s="90">
        <v>0</v>
      </c>
      <c r="F1157" s="71">
        <v>1</v>
      </c>
      <c r="G1157" s="2" t="s">
        <v>35</v>
      </c>
      <c r="H1157" s="73" t="s">
        <v>8130</v>
      </c>
      <c r="I1157" s="100" t="s">
        <v>8124</v>
      </c>
      <c r="J1157" s="2" t="s">
        <v>38</v>
      </c>
      <c r="K1157" s="2" t="s">
        <v>23</v>
      </c>
      <c r="M1157" s="2" t="s">
        <v>38</v>
      </c>
      <c r="N1157" s="2" t="s">
        <v>23</v>
      </c>
      <c r="P1157" s="51">
        <v>0</v>
      </c>
      <c r="Q1157" s="99" t="s">
        <v>8125</v>
      </c>
    </row>
    <row r="1158" spans="1:18">
      <c r="A1158" s="90">
        <v>23</v>
      </c>
      <c r="B1158" s="50" t="s">
        <v>4238</v>
      </c>
      <c r="C1158" s="90">
        <v>3</v>
      </c>
      <c r="D1158" s="2" t="s">
        <v>8120</v>
      </c>
      <c r="E1158" s="90">
        <v>0</v>
      </c>
      <c r="F1158" s="71">
        <v>2</v>
      </c>
      <c r="G1158" s="2" t="s">
        <v>6003</v>
      </c>
      <c r="H1158" s="73" t="s">
        <v>8131</v>
      </c>
      <c r="I1158" s="100" t="s">
        <v>8126</v>
      </c>
      <c r="J1158" s="2" t="s">
        <v>24</v>
      </c>
      <c r="K1158" s="2" t="s">
        <v>116</v>
      </c>
      <c r="L1158" s="16" t="s">
        <v>8126</v>
      </c>
      <c r="M1158" s="2" t="s">
        <v>24</v>
      </c>
      <c r="N1158" s="2" t="s">
        <v>116</v>
      </c>
      <c r="O1158" s="16" t="s">
        <v>8126</v>
      </c>
      <c r="P1158" s="51">
        <v>0</v>
      </c>
      <c r="Q1158" s="103" t="s">
        <v>8127</v>
      </c>
    </row>
    <row r="1159" spans="1:18">
      <c r="A1159" s="90">
        <v>23</v>
      </c>
      <c r="B1159" s="50" t="s">
        <v>4238</v>
      </c>
      <c r="C1159" s="90">
        <v>3</v>
      </c>
      <c r="D1159" s="2" t="s">
        <v>8120</v>
      </c>
      <c r="E1159" s="90">
        <v>0</v>
      </c>
      <c r="F1159" s="71">
        <v>3</v>
      </c>
      <c r="G1159" s="2" t="s">
        <v>8138</v>
      </c>
      <c r="H1159" s="73" t="s">
        <v>8145</v>
      </c>
      <c r="I1159" s="100" t="s">
        <v>8132</v>
      </c>
      <c r="J1159" s="2" t="s">
        <v>24</v>
      </c>
      <c r="K1159" s="2" t="s">
        <v>206</v>
      </c>
      <c r="M1159" s="2" t="s">
        <v>24</v>
      </c>
      <c r="N1159" s="2" t="s">
        <v>206</v>
      </c>
      <c r="P1159" s="51">
        <v>0</v>
      </c>
      <c r="Q1159" s="99" t="s">
        <v>8133</v>
      </c>
    </row>
    <row r="1160" spans="1:18">
      <c r="A1160" s="90">
        <v>23</v>
      </c>
      <c r="B1160" s="50" t="s">
        <v>4238</v>
      </c>
      <c r="C1160" s="90">
        <v>3</v>
      </c>
      <c r="D1160" s="2" t="s">
        <v>8120</v>
      </c>
      <c r="E1160" s="90">
        <v>0</v>
      </c>
      <c r="F1160" s="71">
        <v>4</v>
      </c>
      <c r="G1160" s="2" t="s">
        <v>8139</v>
      </c>
      <c r="H1160" s="73" t="s">
        <v>8146</v>
      </c>
      <c r="I1160" s="100" t="s">
        <v>8134</v>
      </c>
      <c r="J1160" s="2" t="s">
        <v>24</v>
      </c>
      <c r="K1160" s="2" t="s">
        <v>116</v>
      </c>
      <c r="L1160" s="16" t="s">
        <v>8134</v>
      </c>
      <c r="M1160" s="2" t="s">
        <v>24</v>
      </c>
      <c r="N1160" s="2" t="s">
        <v>116</v>
      </c>
      <c r="O1160" s="16" t="s">
        <v>8134</v>
      </c>
      <c r="P1160" s="51">
        <v>0</v>
      </c>
      <c r="Q1160" s="99" t="s">
        <v>8135</v>
      </c>
    </row>
    <row r="1161" spans="1:18">
      <c r="A1161" s="90">
        <v>23</v>
      </c>
      <c r="B1161" s="50" t="s">
        <v>4238</v>
      </c>
      <c r="C1161" s="90">
        <v>3</v>
      </c>
      <c r="D1161" s="2" t="s">
        <v>8120</v>
      </c>
      <c r="E1161" s="90">
        <v>0</v>
      </c>
      <c r="F1161" s="71">
        <v>5</v>
      </c>
      <c r="G1161" s="2" t="s">
        <v>8140</v>
      </c>
      <c r="H1161" s="73" t="s">
        <v>8147</v>
      </c>
      <c r="I1161" s="100" t="s">
        <v>8136</v>
      </c>
      <c r="J1161" s="2" t="s">
        <v>24</v>
      </c>
      <c r="K1161" s="2" t="s">
        <v>116</v>
      </c>
      <c r="L1161" s="16" t="s">
        <v>8136</v>
      </c>
      <c r="M1161" s="2" t="s">
        <v>24</v>
      </c>
      <c r="N1161" s="2" t="s">
        <v>116</v>
      </c>
      <c r="O1161" s="16" t="s">
        <v>8136</v>
      </c>
      <c r="P1161" s="51">
        <v>0</v>
      </c>
      <c r="Q1161" s="99" t="s">
        <v>8137</v>
      </c>
    </row>
    <row r="1162" spans="1:18">
      <c r="A1162" s="90">
        <v>23</v>
      </c>
      <c r="B1162" s="50" t="s">
        <v>4238</v>
      </c>
      <c r="C1162" s="90">
        <v>3</v>
      </c>
      <c r="D1162" s="2" t="s">
        <v>8120</v>
      </c>
      <c r="E1162" s="90">
        <v>0</v>
      </c>
      <c r="F1162" s="71">
        <v>6</v>
      </c>
      <c r="G1162" s="2" t="s">
        <v>3058</v>
      </c>
      <c r="H1162" s="73" t="s">
        <v>8154</v>
      </c>
      <c r="I1162" s="100" t="s">
        <v>8155</v>
      </c>
      <c r="J1162" s="2" t="s">
        <v>8105</v>
      </c>
      <c r="K1162" s="2" t="s">
        <v>23</v>
      </c>
      <c r="L1162" s="16" t="s">
        <v>8241</v>
      </c>
      <c r="M1162" s="2" t="s">
        <v>8105</v>
      </c>
      <c r="N1162" s="2" t="s">
        <v>23</v>
      </c>
      <c r="O1162" s="16" t="s">
        <v>8241</v>
      </c>
      <c r="P1162" s="51">
        <v>0</v>
      </c>
      <c r="Q1162" s="99" t="s">
        <v>8152</v>
      </c>
      <c r="R1162" s="2" t="s">
        <v>8153</v>
      </c>
    </row>
    <row r="1163" spans="1:18">
      <c r="A1163" s="90">
        <v>23</v>
      </c>
      <c r="B1163" s="50" t="s">
        <v>4238</v>
      </c>
      <c r="C1163" s="90">
        <v>3</v>
      </c>
      <c r="D1163" s="2" t="s">
        <v>8120</v>
      </c>
      <c r="E1163" s="90">
        <v>0</v>
      </c>
      <c r="F1163" s="71">
        <v>7</v>
      </c>
      <c r="G1163" s="2" t="s">
        <v>8156</v>
      </c>
      <c r="H1163" s="73" t="s">
        <v>8158</v>
      </c>
      <c r="I1163" s="100" t="s">
        <v>8159</v>
      </c>
      <c r="J1163" s="2" t="s">
        <v>24</v>
      </c>
      <c r="K1163" s="67" t="s">
        <v>23</v>
      </c>
      <c r="L1163" s="16"/>
      <c r="M1163" s="2" t="s">
        <v>24</v>
      </c>
      <c r="N1163" s="67" t="s">
        <v>23</v>
      </c>
      <c r="O1163" s="16"/>
      <c r="P1163" s="51">
        <v>0</v>
      </c>
      <c r="Q1163" s="99" t="s">
        <v>8157</v>
      </c>
    </row>
    <row r="1164" spans="1:18">
      <c r="A1164" s="90">
        <v>23</v>
      </c>
      <c r="B1164" s="50" t="s">
        <v>4238</v>
      </c>
      <c r="C1164" s="90">
        <v>3</v>
      </c>
      <c r="D1164" s="2" t="s">
        <v>8120</v>
      </c>
      <c r="E1164" s="90">
        <v>0</v>
      </c>
      <c r="F1164" s="71">
        <v>8</v>
      </c>
      <c r="G1164" s="2" t="s">
        <v>9569</v>
      </c>
      <c r="H1164" s="73" t="s">
        <v>9571</v>
      </c>
      <c r="I1164" s="100" t="s">
        <v>9572</v>
      </c>
      <c r="J1164" s="2" t="s">
        <v>24</v>
      </c>
      <c r="K1164" s="2" t="s">
        <v>25</v>
      </c>
      <c r="L1164" s="16"/>
      <c r="M1164" s="2" t="s">
        <v>24</v>
      </c>
      <c r="N1164" s="2" t="s">
        <v>25</v>
      </c>
      <c r="O1164" s="16"/>
      <c r="P1164" s="51">
        <v>0</v>
      </c>
      <c r="Q1164" s="99" t="s">
        <v>9570</v>
      </c>
    </row>
    <row r="1165" spans="1:18">
      <c r="A1165" s="90">
        <v>23</v>
      </c>
      <c r="B1165" s="50" t="s">
        <v>4238</v>
      </c>
      <c r="C1165" s="90">
        <v>3</v>
      </c>
      <c r="D1165" s="2" t="s">
        <v>8120</v>
      </c>
      <c r="E1165" s="90">
        <v>0</v>
      </c>
      <c r="F1165" s="71">
        <v>9</v>
      </c>
      <c r="G1165" s="2" t="s">
        <v>9573</v>
      </c>
      <c r="H1165" s="73" t="s">
        <v>9576</v>
      </c>
      <c r="I1165" s="100" t="s">
        <v>9577</v>
      </c>
      <c r="J1165" s="2" t="s">
        <v>24</v>
      </c>
      <c r="K1165" s="2" t="s">
        <v>25</v>
      </c>
      <c r="L1165" s="16"/>
      <c r="M1165" s="2" t="s">
        <v>24</v>
      </c>
      <c r="N1165" s="2" t="s">
        <v>25</v>
      </c>
      <c r="O1165" s="16"/>
      <c r="P1165" s="51">
        <v>0</v>
      </c>
      <c r="Q1165" s="99" t="s">
        <v>9574</v>
      </c>
    </row>
    <row r="1166" spans="1:18">
      <c r="A1166" s="90">
        <v>23</v>
      </c>
      <c r="B1166" s="50" t="s">
        <v>4238</v>
      </c>
      <c r="C1166" s="90">
        <v>3</v>
      </c>
      <c r="D1166" s="2" t="s">
        <v>8120</v>
      </c>
      <c r="E1166" s="90">
        <v>0</v>
      </c>
      <c r="F1166" s="71">
        <v>10</v>
      </c>
      <c r="G1166" s="2" t="s">
        <v>9579</v>
      </c>
      <c r="H1166" s="73" t="s">
        <v>9578</v>
      </c>
      <c r="I1166" s="100" t="s">
        <v>9580</v>
      </c>
      <c r="J1166" s="2" t="s">
        <v>24</v>
      </c>
      <c r="K1166" s="50" t="s">
        <v>121</v>
      </c>
      <c r="L1166" s="16"/>
      <c r="M1166" s="2" t="s">
        <v>24</v>
      </c>
      <c r="N1166" s="50" t="s">
        <v>121</v>
      </c>
      <c r="O1166" s="16"/>
      <c r="P1166" s="51">
        <v>0</v>
      </c>
      <c r="Q1166" s="99" t="s">
        <v>9575</v>
      </c>
    </row>
    <row r="1167" spans="1:18">
      <c r="A1167" s="72"/>
      <c r="C1167" s="72"/>
      <c r="E1167" s="72"/>
      <c r="F1167" s="72"/>
      <c r="H1167" s="72"/>
      <c r="I1167" s="105"/>
      <c r="Q1167" s="99"/>
    </row>
    <row r="1168" spans="1:18">
      <c r="A1168" s="71">
        <v>24</v>
      </c>
      <c r="B1168" s="2" t="s">
        <v>4268</v>
      </c>
      <c r="C1168" s="71">
        <v>0</v>
      </c>
      <c r="D1168" s="2" t="s">
        <v>4269</v>
      </c>
      <c r="E1168" s="71">
        <v>0</v>
      </c>
      <c r="F1168" s="71">
        <v>0</v>
      </c>
      <c r="G1168" s="2" t="s">
        <v>20</v>
      </c>
      <c r="H1168" s="73" t="s">
        <v>4270</v>
      </c>
      <c r="I1168" s="95" t="s">
        <v>4271</v>
      </c>
      <c r="J1168" s="2" t="s">
        <v>23</v>
      </c>
      <c r="K1168" s="2" t="s">
        <v>23</v>
      </c>
      <c r="L1168" s="50"/>
      <c r="M1168" s="2" t="s">
        <v>24</v>
      </c>
      <c r="N1168" s="50" t="s">
        <v>25</v>
      </c>
      <c r="O1168" s="50" t="s">
        <v>26</v>
      </c>
      <c r="P1168" s="51">
        <v>0</v>
      </c>
      <c r="Q1168" s="81" t="s">
        <v>4272</v>
      </c>
      <c r="R1168" s="2" t="s">
        <v>8884</v>
      </c>
    </row>
    <row r="1169" spans="1:18">
      <c r="A1169" s="71">
        <v>24</v>
      </c>
      <c r="B1169" s="2" t="s">
        <v>4268</v>
      </c>
      <c r="C1169" s="71">
        <v>0</v>
      </c>
      <c r="D1169" s="2" t="s">
        <v>4269</v>
      </c>
      <c r="E1169" s="71">
        <v>0</v>
      </c>
      <c r="F1169" s="71">
        <v>1</v>
      </c>
      <c r="G1169" s="2" t="s">
        <v>1042</v>
      </c>
      <c r="H1169" s="73" t="s">
        <v>4273</v>
      </c>
      <c r="I1169" s="100" t="s">
        <v>4274</v>
      </c>
      <c r="J1169" s="2" t="s">
        <v>38</v>
      </c>
      <c r="K1169" s="50" t="s">
        <v>23</v>
      </c>
      <c r="L1169" s="50"/>
      <c r="M1169" s="50" t="s">
        <v>24</v>
      </c>
      <c r="N1169" s="50" t="s">
        <v>23</v>
      </c>
      <c r="O1169" s="50"/>
      <c r="P1169" s="51">
        <v>0</v>
      </c>
      <c r="Q1169" s="50" t="s">
        <v>4276</v>
      </c>
      <c r="R1169" s="2" t="s">
        <v>8907</v>
      </c>
    </row>
    <row r="1170" spans="1:18">
      <c r="A1170" s="71">
        <v>24</v>
      </c>
      <c r="B1170" s="2" t="s">
        <v>4268</v>
      </c>
      <c r="C1170" s="71">
        <v>0</v>
      </c>
      <c r="D1170" s="2" t="s">
        <v>4269</v>
      </c>
      <c r="E1170" s="71">
        <v>0</v>
      </c>
      <c r="F1170" s="71">
        <v>2</v>
      </c>
      <c r="G1170" s="2" t="s">
        <v>8881</v>
      </c>
      <c r="H1170" s="73" t="s">
        <v>5921</v>
      </c>
      <c r="I1170" s="100" t="s">
        <v>8882</v>
      </c>
      <c r="J1170" s="2" t="s">
        <v>38</v>
      </c>
      <c r="K1170" s="50" t="s">
        <v>23</v>
      </c>
      <c r="L1170" s="50"/>
      <c r="M1170" s="50" t="s">
        <v>32</v>
      </c>
      <c r="N1170" s="50" t="s">
        <v>23</v>
      </c>
      <c r="O1170" s="50"/>
      <c r="P1170" s="51">
        <v>0</v>
      </c>
      <c r="Q1170" s="50" t="s">
        <v>8883</v>
      </c>
      <c r="R1170" s="2" t="s">
        <v>8908</v>
      </c>
    </row>
    <row r="1171" spans="1:18">
      <c r="A1171" s="71">
        <v>24</v>
      </c>
      <c r="B1171" s="2" t="s">
        <v>4268</v>
      </c>
      <c r="C1171" s="71">
        <v>0</v>
      </c>
      <c r="D1171" s="2" t="s">
        <v>4269</v>
      </c>
      <c r="E1171" s="71">
        <v>0</v>
      </c>
      <c r="F1171" s="71">
        <v>3</v>
      </c>
      <c r="G1171" s="2" t="s">
        <v>4281</v>
      </c>
      <c r="H1171" s="73" t="s">
        <v>5922</v>
      </c>
      <c r="I1171" s="100" t="s">
        <v>8887</v>
      </c>
      <c r="J1171" s="2" t="s">
        <v>38</v>
      </c>
      <c r="K1171" s="50" t="s">
        <v>23</v>
      </c>
      <c r="L1171" s="50"/>
      <c r="M1171" s="50" t="s">
        <v>8100</v>
      </c>
      <c r="N1171" s="50" t="s">
        <v>4275</v>
      </c>
      <c r="O1171" s="50"/>
      <c r="P1171" s="51">
        <v>0</v>
      </c>
      <c r="Q1171" s="50" t="s">
        <v>8885</v>
      </c>
      <c r="R1171" s="2" t="s">
        <v>8886</v>
      </c>
    </row>
    <row r="1172" spans="1:18">
      <c r="A1172" s="71">
        <v>24</v>
      </c>
      <c r="B1172" s="2" t="s">
        <v>4268</v>
      </c>
      <c r="C1172" s="71">
        <v>0</v>
      </c>
      <c r="D1172" s="2" t="s">
        <v>4269</v>
      </c>
      <c r="E1172" s="71">
        <v>0</v>
      </c>
      <c r="F1172" s="71">
        <v>4</v>
      </c>
      <c r="G1172" s="2" t="s">
        <v>4277</v>
      </c>
      <c r="H1172" s="73" t="s">
        <v>8888</v>
      </c>
      <c r="I1172" s="100" t="s">
        <v>4278</v>
      </c>
      <c r="J1172" s="2" t="s">
        <v>24</v>
      </c>
      <c r="K1172" s="50" t="s">
        <v>23</v>
      </c>
      <c r="L1172" s="50"/>
      <c r="M1172" s="50" t="s">
        <v>24</v>
      </c>
      <c r="N1172" s="50" t="s">
        <v>23</v>
      </c>
      <c r="O1172" s="50" t="s">
        <v>4279</v>
      </c>
      <c r="P1172" s="51">
        <v>0</v>
      </c>
      <c r="Q1172" s="50" t="s">
        <v>4280</v>
      </c>
      <c r="R1172" s="2" t="s">
        <v>4246</v>
      </c>
    </row>
    <row r="1173" spans="1:18">
      <c r="A1173" s="71">
        <v>24</v>
      </c>
      <c r="B1173" s="2" t="s">
        <v>4268</v>
      </c>
      <c r="C1173" s="71">
        <v>1</v>
      </c>
      <c r="D1173" s="2" t="s">
        <v>4281</v>
      </c>
      <c r="E1173" s="71">
        <v>0</v>
      </c>
      <c r="F1173" s="71">
        <v>0</v>
      </c>
      <c r="G1173" s="2" t="s">
        <v>20</v>
      </c>
      <c r="H1173" s="73" t="s">
        <v>5923</v>
      </c>
      <c r="I1173" s="95" t="s">
        <v>4282</v>
      </c>
      <c r="J1173" s="2" t="s">
        <v>23</v>
      </c>
      <c r="K1173" s="2" t="s">
        <v>23</v>
      </c>
      <c r="M1173" s="2" t="s">
        <v>24</v>
      </c>
      <c r="N1173" s="2" t="s">
        <v>25</v>
      </c>
      <c r="O1173" s="2" t="s">
        <v>26</v>
      </c>
      <c r="P1173" s="51">
        <v>0</v>
      </c>
      <c r="Q1173" s="81" t="s">
        <v>4283</v>
      </c>
    </row>
    <row r="1174" spans="1:18">
      <c r="A1174" s="71">
        <v>24</v>
      </c>
      <c r="B1174" s="2" t="s">
        <v>4268</v>
      </c>
      <c r="C1174" s="71">
        <v>1</v>
      </c>
      <c r="D1174" s="2" t="s">
        <v>4281</v>
      </c>
      <c r="E1174" s="71">
        <v>0</v>
      </c>
      <c r="F1174" s="71">
        <v>1</v>
      </c>
      <c r="G1174" s="2" t="s">
        <v>181</v>
      </c>
      <c r="H1174" s="73" t="s">
        <v>5924</v>
      </c>
      <c r="I1174" s="110" t="s">
        <v>8890</v>
      </c>
      <c r="J1174" s="2" t="s">
        <v>23</v>
      </c>
      <c r="K1174" s="2" t="s">
        <v>23</v>
      </c>
      <c r="M1174" s="2" t="s">
        <v>38</v>
      </c>
      <c r="N1174" s="2" t="s">
        <v>23</v>
      </c>
      <c r="P1174" s="51">
        <v>0</v>
      </c>
      <c r="Q1174" s="50" t="s">
        <v>8889</v>
      </c>
    </row>
    <row r="1175" spans="1:18">
      <c r="A1175" s="71">
        <v>24</v>
      </c>
      <c r="B1175" s="2" t="s">
        <v>4268</v>
      </c>
      <c r="C1175" s="71">
        <v>1</v>
      </c>
      <c r="D1175" s="2" t="s">
        <v>4281</v>
      </c>
      <c r="E1175" s="71">
        <v>0</v>
      </c>
      <c r="F1175" s="71">
        <v>2</v>
      </c>
      <c r="G1175" s="2" t="s">
        <v>185</v>
      </c>
      <c r="H1175" s="73" t="s">
        <v>5925</v>
      </c>
      <c r="I1175" s="110" t="s">
        <v>8894</v>
      </c>
      <c r="J1175" s="2" t="s">
        <v>23</v>
      </c>
      <c r="K1175" s="2" t="s">
        <v>23</v>
      </c>
      <c r="M1175" s="2" t="s">
        <v>38</v>
      </c>
      <c r="N1175" s="2" t="s">
        <v>23</v>
      </c>
      <c r="P1175" s="51">
        <v>0</v>
      </c>
      <c r="Q1175" s="50" t="s">
        <v>9340</v>
      </c>
    </row>
    <row r="1176" spans="1:18">
      <c r="A1176" s="71">
        <v>24</v>
      </c>
      <c r="B1176" s="2" t="s">
        <v>4268</v>
      </c>
      <c r="C1176" s="71">
        <v>1</v>
      </c>
      <c r="D1176" s="2" t="s">
        <v>4281</v>
      </c>
      <c r="E1176" s="71">
        <v>0</v>
      </c>
      <c r="F1176" s="71">
        <v>3</v>
      </c>
      <c r="G1176" s="2" t="s">
        <v>8891</v>
      </c>
      <c r="H1176" s="73" t="s">
        <v>5926</v>
      </c>
      <c r="I1176" s="110" t="s">
        <v>8895</v>
      </c>
      <c r="J1176" s="2" t="s">
        <v>23</v>
      </c>
      <c r="K1176" s="2" t="s">
        <v>23</v>
      </c>
      <c r="M1176" s="2" t="s">
        <v>38</v>
      </c>
      <c r="N1176" s="2" t="s">
        <v>23</v>
      </c>
      <c r="O1176" s="16"/>
      <c r="P1176" s="51">
        <v>0</v>
      </c>
      <c r="Q1176" s="50" t="s">
        <v>8892</v>
      </c>
      <c r="R1176" s="2" t="s">
        <v>8893</v>
      </c>
    </row>
    <row r="1177" spans="1:18">
      <c r="A1177" s="71">
        <v>24</v>
      </c>
      <c r="B1177" s="2" t="s">
        <v>4268</v>
      </c>
      <c r="C1177" s="71">
        <v>1</v>
      </c>
      <c r="D1177" s="2" t="s">
        <v>4281</v>
      </c>
      <c r="E1177" s="71">
        <v>0</v>
      </c>
      <c r="F1177" s="71">
        <v>4</v>
      </c>
      <c r="G1177" s="2" t="s">
        <v>1077</v>
      </c>
      <c r="H1177" s="73" t="s">
        <v>5927</v>
      </c>
      <c r="I1177" s="110" t="s">
        <v>4286</v>
      </c>
      <c r="J1177" s="2" t="s">
        <v>163</v>
      </c>
      <c r="K1177" s="2" t="s">
        <v>23</v>
      </c>
      <c r="M1177" s="2" t="s">
        <v>23</v>
      </c>
      <c r="N1177" s="2" t="s">
        <v>23</v>
      </c>
      <c r="O1177" s="2" t="s">
        <v>23</v>
      </c>
      <c r="P1177" s="51">
        <v>0</v>
      </c>
      <c r="Q1177" s="50" t="s">
        <v>4287</v>
      </c>
      <c r="R1177" s="2" t="s">
        <v>8910</v>
      </c>
    </row>
    <row r="1178" spans="1:18">
      <c r="A1178" s="71">
        <v>24</v>
      </c>
      <c r="B1178" s="2" t="s">
        <v>4268</v>
      </c>
      <c r="C1178" s="71">
        <v>1</v>
      </c>
      <c r="D1178" s="2" t="s">
        <v>4281</v>
      </c>
      <c r="E1178" s="71">
        <v>0</v>
      </c>
      <c r="F1178" s="71">
        <v>5</v>
      </c>
      <c r="G1178" s="2" t="s">
        <v>599</v>
      </c>
      <c r="H1178" s="73" t="s">
        <v>5928</v>
      </c>
      <c r="I1178" s="110" t="s">
        <v>4288</v>
      </c>
      <c r="J1178" s="2" t="s">
        <v>24</v>
      </c>
      <c r="K1178" s="2" t="s">
        <v>25</v>
      </c>
      <c r="M1178" s="2" t="s">
        <v>24</v>
      </c>
      <c r="N1178" s="2" t="s">
        <v>25</v>
      </c>
      <c r="O1178" s="2" t="s">
        <v>3799</v>
      </c>
      <c r="P1178" s="51">
        <v>0</v>
      </c>
      <c r="Q1178" s="50" t="s">
        <v>4289</v>
      </c>
      <c r="R1178" s="2" t="s">
        <v>8909</v>
      </c>
    </row>
    <row r="1179" spans="1:18">
      <c r="A1179" s="71">
        <v>24</v>
      </c>
      <c r="B1179" s="2" t="s">
        <v>4268</v>
      </c>
      <c r="C1179" s="71">
        <v>2</v>
      </c>
      <c r="D1179" s="2" t="s">
        <v>8896</v>
      </c>
      <c r="E1179" s="71">
        <v>0</v>
      </c>
      <c r="F1179" s="71">
        <v>0</v>
      </c>
      <c r="G1179" s="2" t="s">
        <v>20</v>
      </c>
      <c r="H1179" s="73" t="s">
        <v>8899</v>
      </c>
      <c r="I1179" s="95" t="s">
        <v>8900</v>
      </c>
      <c r="J1179" s="2" t="s">
        <v>23</v>
      </c>
      <c r="K1179" s="2" t="s">
        <v>23</v>
      </c>
      <c r="M1179" s="2" t="s">
        <v>24</v>
      </c>
      <c r="N1179" s="2" t="s">
        <v>25</v>
      </c>
      <c r="O1179" s="2" t="s">
        <v>26</v>
      </c>
      <c r="P1179" s="51">
        <v>0</v>
      </c>
      <c r="Q1179" s="81" t="s">
        <v>8897</v>
      </c>
    </row>
    <row r="1180" spans="1:18">
      <c r="A1180" s="71">
        <v>24</v>
      </c>
      <c r="B1180" s="2" t="s">
        <v>4268</v>
      </c>
      <c r="C1180" s="71">
        <v>2</v>
      </c>
      <c r="D1180" s="2" t="s">
        <v>8896</v>
      </c>
      <c r="E1180" s="71">
        <v>0</v>
      </c>
      <c r="F1180" s="71">
        <v>1</v>
      </c>
      <c r="G1180" s="2" t="s">
        <v>181</v>
      </c>
      <c r="H1180" s="73" t="s">
        <v>8901</v>
      </c>
      <c r="I1180" s="110" t="s">
        <v>8902</v>
      </c>
      <c r="J1180" s="2" t="s">
        <v>23</v>
      </c>
      <c r="K1180" s="2" t="s">
        <v>23</v>
      </c>
      <c r="M1180" s="2" t="s">
        <v>38</v>
      </c>
      <c r="N1180" s="2" t="s">
        <v>23</v>
      </c>
      <c r="P1180" s="51">
        <v>0</v>
      </c>
      <c r="Q1180" s="50" t="s">
        <v>8898</v>
      </c>
    </row>
    <row r="1181" spans="1:18">
      <c r="A1181" s="71">
        <v>24</v>
      </c>
      <c r="B1181" s="2" t="s">
        <v>4268</v>
      </c>
      <c r="C1181" s="71">
        <v>2</v>
      </c>
      <c r="D1181" s="2" t="s">
        <v>8896</v>
      </c>
      <c r="E1181" s="71">
        <v>0</v>
      </c>
      <c r="F1181" s="71">
        <v>2</v>
      </c>
      <c r="G1181" s="2" t="s">
        <v>185</v>
      </c>
      <c r="H1181" s="73" t="s">
        <v>8903</v>
      </c>
      <c r="I1181" s="110" t="s">
        <v>8904</v>
      </c>
      <c r="J1181" s="2" t="s">
        <v>23</v>
      </c>
      <c r="K1181" s="2" t="s">
        <v>23</v>
      </c>
      <c r="M1181" s="2" t="s">
        <v>38</v>
      </c>
      <c r="N1181" s="2" t="s">
        <v>23</v>
      </c>
      <c r="P1181" s="51">
        <v>0</v>
      </c>
      <c r="Q1181" s="50" t="s">
        <v>9341</v>
      </c>
    </row>
    <row r="1182" spans="1:18">
      <c r="A1182" s="71">
        <v>24</v>
      </c>
      <c r="B1182" s="2" t="s">
        <v>4268</v>
      </c>
      <c r="C1182" s="71">
        <v>2</v>
      </c>
      <c r="D1182" s="2" t="s">
        <v>8896</v>
      </c>
      <c r="E1182" s="71">
        <v>0</v>
      </c>
      <c r="F1182" s="71">
        <v>3</v>
      </c>
      <c r="G1182" s="2" t="s">
        <v>4049</v>
      </c>
      <c r="H1182" s="73" t="s">
        <v>8905</v>
      </c>
      <c r="I1182" s="110" t="s">
        <v>8906</v>
      </c>
      <c r="J1182" s="2" t="s">
        <v>23</v>
      </c>
      <c r="K1182" s="2" t="s">
        <v>23</v>
      </c>
      <c r="M1182" s="2" t="s">
        <v>38</v>
      </c>
      <c r="N1182" s="2" t="s">
        <v>8951</v>
      </c>
      <c r="P1182" s="51">
        <v>0</v>
      </c>
      <c r="Q1182" s="99" t="s">
        <v>8947</v>
      </c>
      <c r="R1182" s="50" t="s">
        <v>8940</v>
      </c>
    </row>
    <row r="1183" spans="1:18">
      <c r="A1183" s="71">
        <v>24</v>
      </c>
      <c r="B1183" s="2" t="s">
        <v>4268</v>
      </c>
      <c r="C1183" s="71">
        <v>2</v>
      </c>
      <c r="D1183" s="2" t="s">
        <v>8896</v>
      </c>
      <c r="E1183" s="71">
        <v>0</v>
      </c>
      <c r="F1183" s="71">
        <v>4</v>
      </c>
      <c r="G1183" s="2" t="s">
        <v>8941</v>
      </c>
      <c r="H1183" s="73" t="s">
        <v>8942</v>
      </c>
      <c r="I1183" s="110" t="s">
        <v>8943</v>
      </c>
      <c r="J1183" s="2" t="s">
        <v>23</v>
      </c>
      <c r="K1183" s="2" t="s">
        <v>23</v>
      </c>
      <c r="M1183" s="2" t="s">
        <v>8105</v>
      </c>
      <c r="N1183" s="2" t="s">
        <v>23</v>
      </c>
      <c r="O1183" s="16" t="s">
        <v>8944</v>
      </c>
      <c r="P1183" s="51">
        <v>0</v>
      </c>
      <c r="Q1183" s="99" t="s">
        <v>8948</v>
      </c>
      <c r="R1183" s="50" t="s">
        <v>8946</v>
      </c>
    </row>
    <row r="1184" spans="1:18">
      <c r="A1184" s="72"/>
      <c r="C1184" s="72"/>
      <c r="E1184" s="86"/>
      <c r="F1184" s="72"/>
      <c r="H1184" s="87" t="s">
        <v>234</v>
      </c>
      <c r="I1184" s="105"/>
      <c r="P1184" s="51"/>
      <c r="Q1184" s="99"/>
    </row>
    <row r="1185" spans="1:18">
      <c r="A1185" s="71">
        <v>25</v>
      </c>
      <c r="B1185" s="2" t="s">
        <v>4290</v>
      </c>
      <c r="C1185" s="71">
        <v>0</v>
      </c>
      <c r="D1185" s="2" t="s">
        <v>4285</v>
      </c>
      <c r="E1185" s="74">
        <v>0</v>
      </c>
      <c r="F1185" s="71">
        <v>0</v>
      </c>
      <c r="G1185" s="2" t="s">
        <v>20</v>
      </c>
      <c r="H1185" s="73" t="s">
        <v>5884</v>
      </c>
      <c r="I1185" s="95" t="s">
        <v>4291</v>
      </c>
      <c r="J1185" s="2" t="s">
        <v>23</v>
      </c>
      <c r="K1185" s="2" t="s">
        <v>23</v>
      </c>
      <c r="M1185" s="2" t="s">
        <v>24</v>
      </c>
      <c r="N1185" s="2" t="s">
        <v>25</v>
      </c>
      <c r="O1185" s="2" t="s">
        <v>26</v>
      </c>
      <c r="P1185" s="51">
        <v>0</v>
      </c>
      <c r="Q1185" s="1" t="s">
        <v>4292</v>
      </c>
    </row>
    <row r="1186" spans="1:18">
      <c r="A1186" s="71">
        <v>25</v>
      </c>
      <c r="B1186" s="2" t="s">
        <v>4290</v>
      </c>
      <c r="C1186" s="71">
        <v>0</v>
      </c>
      <c r="D1186" s="2" t="s">
        <v>4285</v>
      </c>
      <c r="E1186" s="71">
        <v>0</v>
      </c>
      <c r="F1186" s="71">
        <v>1</v>
      </c>
      <c r="G1186" s="2" t="s">
        <v>181</v>
      </c>
      <c r="H1186" s="73" t="s">
        <v>5885</v>
      </c>
      <c r="I1186" s="100" t="s">
        <v>5867</v>
      </c>
      <c r="J1186" s="2" t="s">
        <v>38</v>
      </c>
      <c r="K1186" s="50" t="s">
        <v>23</v>
      </c>
      <c r="L1186" s="50"/>
      <c r="M1186" s="2" t="s">
        <v>38</v>
      </c>
      <c r="N1186" s="50" t="s">
        <v>23</v>
      </c>
      <c r="O1186" s="50"/>
      <c r="P1186" s="51">
        <v>0</v>
      </c>
      <c r="Q1186" s="50" t="s">
        <v>2836</v>
      </c>
      <c r="R1186" s="2" t="s">
        <v>5868</v>
      </c>
    </row>
    <row r="1187" spans="1:18">
      <c r="A1187" s="71">
        <v>25</v>
      </c>
      <c r="B1187" s="2" t="s">
        <v>4290</v>
      </c>
      <c r="C1187" s="71">
        <v>0</v>
      </c>
      <c r="D1187" s="2" t="s">
        <v>4285</v>
      </c>
      <c r="E1187" s="71">
        <v>0</v>
      </c>
      <c r="F1187" s="71">
        <v>2</v>
      </c>
      <c r="G1187" s="2" t="s">
        <v>1146</v>
      </c>
      <c r="H1187" s="73" t="s">
        <v>6010</v>
      </c>
      <c r="I1187" s="100" t="s">
        <v>6009</v>
      </c>
      <c r="J1187" s="50" t="s">
        <v>23</v>
      </c>
      <c r="K1187" s="50" t="s">
        <v>23</v>
      </c>
      <c r="L1187" s="50"/>
      <c r="M1187" s="2" t="s">
        <v>24</v>
      </c>
      <c r="N1187" s="50" t="s">
        <v>23</v>
      </c>
      <c r="O1187" s="50"/>
      <c r="P1187" s="51">
        <v>0</v>
      </c>
      <c r="Q1187" s="50" t="s">
        <v>6011</v>
      </c>
    </row>
    <row r="1188" spans="1:18">
      <c r="A1188" s="71">
        <v>25</v>
      </c>
      <c r="B1188" s="2" t="s">
        <v>4290</v>
      </c>
      <c r="C1188" s="71">
        <v>0</v>
      </c>
      <c r="D1188" s="2" t="s">
        <v>4285</v>
      </c>
      <c r="E1188" s="71">
        <v>0</v>
      </c>
      <c r="F1188" s="71">
        <v>3</v>
      </c>
      <c r="G1188" s="2" t="s">
        <v>599</v>
      </c>
      <c r="H1188" s="73" t="s">
        <v>9181</v>
      </c>
      <c r="I1188" s="100" t="s">
        <v>9182</v>
      </c>
      <c r="J1188" s="2" t="s">
        <v>24</v>
      </c>
      <c r="K1188" s="2" t="s">
        <v>25</v>
      </c>
      <c r="L1188" s="50"/>
      <c r="M1188" s="2" t="s">
        <v>24</v>
      </c>
      <c r="N1188" s="2" t="s">
        <v>25</v>
      </c>
      <c r="O1188" s="50"/>
      <c r="P1188" s="51">
        <v>0</v>
      </c>
      <c r="Q1188" s="50" t="s">
        <v>1867</v>
      </c>
      <c r="R1188" s="2" t="s">
        <v>9180</v>
      </c>
    </row>
    <row r="1189" spans="1:18">
      <c r="A1189" s="72"/>
      <c r="C1189" s="72"/>
      <c r="E1189" s="86"/>
      <c r="F1189" s="72"/>
      <c r="H1189" s="87" t="s">
        <v>234</v>
      </c>
      <c r="I1189" s="105"/>
      <c r="P1189" s="51"/>
      <c r="Q1189" s="99"/>
    </row>
    <row r="1190" spans="1:18">
      <c r="A1190" s="71">
        <v>26</v>
      </c>
      <c r="B1190" s="2" t="s">
        <v>8160</v>
      </c>
      <c r="C1190" s="71">
        <v>0</v>
      </c>
      <c r="D1190" s="2" t="s">
        <v>8161</v>
      </c>
      <c r="E1190" s="74">
        <v>0</v>
      </c>
      <c r="F1190" s="71">
        <v>0</v>
      </c>
      <c r="G1190" s="2" t="s">
        <v>20</v>
      </c>
      <c r="H1190" s="73" t="s">
        <v>5929</v>
      </c>
      <c r="I1190" s="95" t="s">
        <v>8191</v>
      </c>
      <c r="J1190" s="2" t="s">
        <v>23</v>
      </c>
      <c r="K1190" s="2" t="s">
        <v>23</v>
      </c>
      <c r="M1190" s="2" t="s">
        <v>24</v>
      </c>
      <c r="N1190" s="2" t="s">
        <v>25</v>
      </c>
      <c r="O1190" s="2" t="s">
        <v>26</v>
      </c>
      <c r="P1190" s="51">
        <v>0</v>
      </c>
      <c r="Q1190" s="1" t="s">
        <v>8213</v>
      </c>
    </row>
    <row r="1191" spans="1:18">
      <c r="A1191" s="71">
        <v>26</v>
      </c>
      <c r="B1191" s="2" t="s">
        <v>8160</v>
      </c>
      <c r="C1191" s="71">
        <v>0</v>
      </c>
      <c r="D1191" s="2" t="s">
        <v>8161</v>
      </c>
      <c r="E1191" s="74">
        <v>0</v>
      </c>
      <c r="F1191" s="71">
        <v>1</v>
      </c>
      <c r="G1191" s="2" t="s">
        <v>5882</v>
      </c>
      <c r="H1191" s="73" t="s">
        <v>5930</v>
      </c>
      <c r="I1191" s="100" t="s">
        <v>8192</v>
      </c>
      <c r="J1191" s="2" t="s">
        <v>24</v>
      </c>
      <c r="K1191" s="2" t="s">
        <v>116</v>
      </c>
      <c r="L1191" s="16" t="s">
        <v>5886</v>
      </c>
      <c r="M1191" s="2" t="s">
        <v>24</v>
      </c>
      <c r="N1191" s="2" t="s">
        <v>116</v>
      </c>
      <c r="O1191" s="16" t="s">
        <v>5886</v>
      </c>
      <c r="P1191" s="51">
        <v>0</v>
      </c>
      <c r="Q1191" s="50" t="s">
        <v>5883</v>
      </c>
      <c r="R1191" t="s">
        <v>2897</v>
      </c>
    </row>
    <row r="1192" spans="1:18">
      <c r="A1192" s="71">
        <v>26</v>
      </c>
      <c r="B1192" s="2" t="s">
        <v>8160</v>
      </c>
      <c r="C1192" s="71">
        <v>0</v>
      </c>
      <c r="D1192" s="2" t="s">
        <v>8161</v>
      </c>
      <c r="E1192" s="74">
        <v>0</v>
      </c>
      <c r="F1192" s="71">
        <v>2</v>
      </c>
      <c r="G1192" s="2" t="s">
        <v>8162</v>
      </c>
      <c r="H1192" s="73" t="s">
        <v>5931</v>
      </c>
      <c r="I1192" s="100" t="s">
        <v>8193</v>
      </c>
      <c r="J1192" s="2" t="s">
        <v>24</v>
      </c>
      <c r="K1192" s="2" t="s">
        <v>23</v>
      </c>
      <c r="L1192" s="16"/>
      <c r="M1192" s="2" t="s">
        <v>24</v>
      </c>
      <c r="N1192" s="2" t="s">
        <v>23</v>
      </c>
      <c r="O1192" s="16"/>
      <c r="P1192" s="51">
        <v>0</v>
      </c>
      <c r="Q1192" s="50" t="s">
        <v>8163</v>
      </c>
      <c r="R1192" t="s">
        <v>8164</v>
      </c>
    </row>
    <row r="1193" spans="1:18">
      <c r="A1193" s="71">
        <v>26</v>
      </c>
      <c r="B1193" s="2" t="s">
        <v>8160</v>
      </c>
      <c r="C1193" s="71">
        <v>0</v>
      </c>
      <c r="D1193" s="2" t="s">
        <v>8161</v>
      </c>
      <c r="E1193" s="74">
        <v>0</v>
      </c>
      <c r="F1193" s="71">
        <v>3</v>
      </c>
      <c r="G1193" s="2" t="s">
        <v>8165</v>
      </c>
      <c r="H1193" s="73" t="s">
        <v>5932</v>
      </c>
      <c r="I1193" s="100" t="s">
        <v>8194</v>
      </c>
      <c r="J1193" s="2" t="s">
        <v>8105</v>
      </c>
      <c r="K1193" s="2" t="s">
        <v>25</v>
      </c>
      <c r="L1193" s="16" t="s">
        <v>8880</v>
      </c>
      <c r="M1193" s="2" t="s">
        <v>8105</v>
      </c>
      <c r="N1193" s="2" t="s">
        <v>25</v>
      </c>
      <c r="O1193" s="16" t="s">
        <v>8880</v>
      </c>
      <c r="P1193" s="51">
        <v>0</v>
      </c>
      <c r="Q1193" s="50" t="s">
        <v>8166</v>
      </c>
      <c r="R1193" t="s">
        <v>8167</v>
      </c>
    </row>
    <row r="1194" spans="1:18">
      <c r="A1194" s="71">
        <v>26</v>
      </c>
      <c r="B1194" s="2" t="s">
        <v>8160</v>
      </c>
      <c r="C1194" s="71">
        <v>0</v>
      </c>
      <c r="D1194" s="2" t="s">
        <v>8161</v>
      </c>
      <c r="E1194" s="74">
        <v>0</v>
      </c>
      <c r="F1194" s="71">
        <v>4</v>
      </c>
      <c r="G1194" s="2" t="s">
        <v>8168</v>
      </c>
      <c r="H1194" s="73" t="s">
        <v>5938</v>
      </c>
      <c r="I1194" s="100" t="s">
        <v>8195</v>
      </c>
      <c r="J1194" s="2" t="s">
        <v>23</v>
      </c>
      <c r="K1194" s="2" t="s">
        <v>23</v>
      </c>
      <c r="M1194" s="2" t="s">
        <v>8105</v>
      </c>
      <c r="N1194" s="2" t="s">
        <v>139</v>
      </c>
      <c r="O1194" s="16" t="s">
        <v>8239</v>
      </c>
      <c r="P1194" s="51">
        <v>0</v>
      </c>
      <c r="Q1194" s="50" t="s">
        <v>8169</v>
      </c>
      <c r="R1194" t="s">
        <v>8170</v>
      </c>
    </row>
    <row r="1195" spans="1:18">
      <c r="A1195" s="71">
        <v>26</v>
      </c>
      <c r="B1195" s="2" t="s">
        <v>8160</v>
      </c>
      <c r="C1195" s="71">
        <v>0</v>
      </c>
      <c r="D1195" s="2" t="s">
        <v>8161</v>
      </c>
      <c r="E1195" s="74">
        <v>0</v>
      </c>
      <c r="F1195" s="71">
        <v>5</v>
      </c>
      <c r="G1195" s="2" t="s">
        <v>8171</v>
      </c>
      <c r="H1195" s="73" t="s">
        <v>5939</v>
      </c>
      <c r="I1195" s="100" t="s">
        <v>8196</v>
      </c>
      <c r="J1195" s="2" t="s">
        <v>8105</v>
      </c>
      <c r="K1195" s="2" t="s">
        <v>139</v>
      </c>
      <c r="L1195" s="16" t="s">
        <v>8239</v>
      </c>
      <c r="M1195" s="2" t="s">
        <v>8105</v>
      </c>
      <c r="N1195" s="2" t="s">
        <v>139</v>
      </c>
      <c r="O1195" s="16" t="s">
        <v>8239</v>
      </c>
      <c r="P1195" s="51">
        <v>0</v>
      </c>
      <c r="Q1195" s="50" t="s">
        <v>8172</v>
      </c>
      <c r="R1195" t="s">
        <v>8173</v>
      </c>
    </row>
    <row r="1196" spans="1:18">
      <c r="A1196" s="71">
        <v>26</v>
      </c>
      <c r="B1196" s="2" t="s">
        <v>8160</v>
      </c>
      <c r="C1196" s="71">
        <v>0</v>
      </c>
      <c r="D1196" s="2" t="s">
        <v>8161</v>
      </c>
      <c r="E1196" s="74">
        <v>0</v>
      </c>
      <c r="F1196" s="71">
        <v>6</v>
      </c>
      <c r="G1196" s="2" t="s">
        <v>5937</v>
      </c>
      <c r="H1196" s="73" t="s">
        <v>5940</v>
      </c>
      <c r="I1196" s="100" t="s">
        <v>8197</v>
      </c>
      <c r="J1196" s="2" t="s">
        <v>23</v>
      </c>
      <c r="K1196" s="2" t="s">
        <v>23</v>
      </c>
      <c r="M1196" s="2" t="s">
        <v>24</v>
      </c>
      <c r="N1196" s="2" t="s">
        <v>116</v>
      </c>
      <c r="O1196" s="16" t="s">
        <v>5945</v>
      </c>
      <c r="P1196" s="51">
        <v>0</v>
      </c>
      <c r="Q1196" s="50" t="s">
        <v>5889</v>
      </c>
      <c r="R1196" t="s">
        <v>5890</v>
      </c>
    </row>
    <row r="1197" spans="1:18">
      <c r="A1197" s="71">
        <v>26</v>
      </c>
      <c r="B1197" s="2" t="s">
        <v>8160</v>
      </c>
      <c r="C1197" s="71">
        <v>0</v>
      </c>
      <c r="D1197" s="2" t="s">
        <v>8161</v>
      </c>
      <c r="E1197" s="74">
        <v>0</v>
      </c>
      <c r="F1197" s="71">
        <v>7</v>
      </c>
      <c r="G1197" s="2" t="s">
        <v>8174</v>
      </c>
      <c r="H1197" s="73" t="s">
        <v>5941</v>
      </c>
      <c r="I1197" s="100" t="s">
        <v>8198</v>
      </c>
      <c r="J1197" s="2" t="s">
        <v>23</v>
      </c>
      <c r="K1197" s="2" t="s">
        <v>23</v>
      </c>
      <c r="M1197" s="2" t="s">
        <v>8105</v>
      </c>
      <c r="N1197" s="2" t="s">
        <v>25</v>
      </c>
      <c r="O1197" s="16" t="s">
        <v>8880</v>
      </c>
      <c r="P1197" s="51">
        <v>0</v>
      </c>
      <c r="Q1197" s="50" t="s">
        <v>8175</v>
      </c>
      <c r="R1197" t="s">
        <v>10749</v>
      </c>
    </row>
    <row r="1198" spans="1:18">
      <c r="A1198" s="71">
        <v>26</v>
      </c>
      <c r="B1198" s="2" t="s">
        <v>8160</v>
      </c>
      <c r="C1198" s="71">
        <v>0</v>
      </c>
      <c r="D1198" s="2" t="s">
        <v>8161</v>
      </c>
      <c r="E1198" s="74">
        <v>0</v>
      </c>
      <c r="F1198" s="71">
        <v>8</v>
      </c>
      <c r="G1198" s="2" t="s">
        <v>8176</v>
      </c>
      <c r="H1198" s="73" t="s">
        <v>5942</v>
      </c>
      <c r="I1198" s="100" t="s">
        <v>8199</v>
      </c>
      <c r="J1198" s="2" t="s">
        <v>8105</v>
      </c>
      <c r="K1198" s="2" t="s">
        <v>139</v>
      </c>
      <c r="L1198" s="16" t="s">
        <v>8853</v>
      </c>
      <c r="M1198" s="2" t="s">
        <v>8105</v>
      </c>
      <c r="N1198" s="2" t="s">
        <v>139</v>
      </c>
      <c r="O1198" s="16" t="s">
        <v>8853</v>
      </c>
      <c r="P1198" s="51">
        <v>0</v>
      </c>
      <c r="Q1198" s="50" t="s">
        <v>8177</v>
      </c>
      <c r="R1198" t="s">
        <v>8178</v>
      </c>
    </row>
    <row r="1199" spans="1:18">
      <c r="A1199" s="71">
        <v>26</v>
      </c>
      <c r="B1199" s="2" t="s">
        <v>8160</v>
      </c>
      <c r="C1199" s="71">
        <v>0</v>
      </c>
      <c r="D1199" s="2" t="s">
        <v>8161</v>
      </c>
      <c r="E1199" s="74">
        <v>0</v>
      </c>
      <c r="F1199" s="71">
        <v>9</v>
      </c>
      <c r="G1199" s="2" t="s">
        <v>8179</v>
      </c>
      <c r="H1199" s="73" t="s">
        <v>5943</v>
      </c>
      <c r="I1199" s="100" t="s">
        <v>8200</v>
      </c>
      <c r="J1199" s="2" t="s">
        <v>8105</v>
      </c>
      <c r="K1199" s="2" t="s">
        <v>139</v>
      </c>
      <c r="L1199" s="16" t="s">
        <v>8853</v>
      </c>
      <c r="M1199" s="2" t="s">
        <v>8105</v>
      </c>
      <c r="N1199" s="2" t="s">
        <v>139</v>
      </c>
      <c r="O1199" s="16" t="s">
        <v>8853</v>
      </c>
      <c r="P1199" s="51">
        <v>0</v>
      </c>
      <c r="Q1199" s="50" t="s">
        <v>8180</v>
      </c>
      <c r="R1199" t="s">
        <v>8181</v>
      </c>
    </row>
    <row r="1200" spans="1:18">
      <c r="A1200" s="71">
        <v>26</v>
      </c>
      <c r="B1200" s="2" t="s">
        <v>8160</v>
      </c>
      <c r="C1200" s="71">
        <v>0</v>
      </c>
      <c r="D1200" s="2" t="s">
        <v>8161</v>
      </c>
      <c r="E1200" s="74">
        <v>0</v>
      </c>
      <c r="F1200" s="71">
        <v>10</v>
      </c>
      <c r="G1200" s="2" t="s">
        <v>8182</v>
      </c>
      <c r="H1200" s="73" t="s">
        <v>5944</v>
      </c>
      <c r="I1200" s="100" t="s">
        <v>8201</v>
      </c>
      <c r="J1200" s="2" t="s">
        <v>8105</v>
      </c>
      <c r="K1200" s="2" t="s">
        <v>139</v>
      </c>
      <c r="L1200" s="16" t="s">
        <v>8239</v>
      </c>
      <c r="M1200" s="2" t="s">
        <v>8105</v>
      </c>
      <c r="N1200" s="2" t="s">
        <v>139</v>
      </c>
      <c r="O1200" s="16" t="s">
        <v>8239</v>
      </c>
      <c r="P1200" s="51">
        <v>0</v>
      </c>
      <c r="Q1200" s="50" t="s">
        <v>8183</v>
      </c>
      <c r="R1200" t="s">
        <v>8184</v>
      </c>
    </row>
    <row r="1201" spans="1:18">
      <c r="A1201" s="71">
        <v>26</v>
      </c>
      <c r="B1201" s="2" t="s">
        <v>8160</v>
      </c>
      <c r="C1201" s="71">
        <v>0</v>
      </c>
      <c r="D1201" s="2" t="s">
        <v>8161</v>
      </c>
      <c r="E1201" s="74">
        <v>0</v>
      </c>
      <c r="F1201" s="71">
        <v>11</v>
      </c>
      <c r="G1201" s="2" t="s">
        <v>5970</v>
      </c>
      <c r="H1201" s="73" t="s">
        <v>5946</v>
      </c>
      <c r="I1201" s="100" t="s">
        <v>8202</v>
      </c>
      <c r="J1201" s="2" t="s">
        <v>24</v>
      </c>
      <c r="K1201" s="2" t="s">
        <v>25</v>
      </c>
      <c r="M1201" s="2" t="s">
        <v>24</v>
      </c>
      <c r="N1201" s="2" t="s">
        <v>25</v>
      </c>
      <c r="P1201" s="51">
        <v>0</v>
      </c>
      <c r="Q1201" s="50" t="s">
        <v>5957</v>
      </c>
      <c r="R1201" t="s">
        <v>5958</v>
      </c>
    </row>
    <row r="1202" spans="1:18">
      <c r="A1202" s="71">
        <v>26</v>
      </c>
      <c r="B1202" s="2" t="s">
        <v>8160</v>
      </c>
      <c r="C1202" s="71">
        <v>0</v>
      </c>
      <c r="D1202" s="2" t="s">
        <v>8161</v>
      </c>
      <c r="E1202" s="74">
        <v>0</v>
      </c>
      <c r="F1202" s="71">
        <v>12</v>
      </c>
      <c r="G1202" s="2" t="s">
        <v>265</v>
      </c>
      <c r="H1202" s="73" t="s">
        <v>5947</v>
      </c>
      <c r="I1202" s="100" t="s">
        <v>8203</v>
      </c>
      <c r="J1202" s="2" t="s">
        <v>23</v>
      </c>
      <c r="K1202" s="2" t="s">
        <v>23</v>
      </c>
      <c r="M1202" s="2" t="s">
        <v>24</v>
      </c>
      <c r="N1202" s="5" t="s">
        <v>133</v>
      </c>
      <c r="P1202" s="51">
        <v>0</v>
      </c>
      <c r="Q1202" s="50" t="s">
        <v>5959</v>
      </c>
      <c r="R1202" t="s">
        <v>250</v>
      </c>
    </row>
    <row r="1203" spans="1:18">
      <c r="A1203" s="71">
        <v>26</v>
      </c>
      <c r="B1203" s="2" t="s">
        <v>8160</v>
      </c>
      <c r="C1203" s="71">
        <v>0</v>
      </c>
      <c r="D1203" s="2" t="s">
        <v>8161</v>
      </c>
      <c r="E1203" s="74">
        <v>0</v>
      </c>
      <c r="F1203" s="71">
        <v>13</v>
      </c>
      <c r="G1203" s="2" t="s">
        <v>5971</v>
      </c>
      <c r="H1203" s="73" t="s">
        <v>5951</v>
      </c>
      <c r="I1203" s="100" t="s">
        <v>8204</v>
      </c>
      <c r="J1203" s="2" t="s">
        <v>24</v>
      </c>
      <c r="K1203" s="2" t="s">
        <v>116</v>
      </c>
      <c r="L1203" s="16" t="s">
        <v>5980</v>
      </c>
      <c r="M1203" s="2" t="s">
        <v>24</v>
      </c>
      <c r="N1203" s="2" t="s">
        <v>116</v>
      </c>
      <c r="O1203" s="16" t="s">
        <v>5980</v>
      </c>
      <c r="P1203" s="51">
        <v>0</v>
      </c>
      <c r="Q1203" s="50" t="s">
        <v>5960</v>
      </c>
      <c r="R1203" t="s">
        <v>5961</v>
      </c>
    </row>
    <row r="1204" spans="1:18">
      <c r="A1204" s="71">
        <v>26</v>
      </c>
      <c r="B1204" s="2" t="s">
        <v>8160</v>
      </c>
      <c r="C1204" s="71">
        <v>0</v>
      </c>
      <c r="D1204" s="2" t="s">
        <v>8161</v>
      </c>
      <c r="E1204" s="74">
        <v>0</v>
      </c>
      <c r="F1204" s="71">
        <v>14</v>
      </c>
      <c r="G1204" s="2" t="s">
        <v>5974</v>
      </c>
      <c r="H1204" s="73" t="s">
        <v>5952</v>
      </c>
      <c r="I1204" s="100" t="s">
        <v>8205</v>
      </c>
      <c r="J1204" s="2" t="s">
        <v>23</v>
      </c>
      <c r="K1204" s="2" t="s">
        <v>23</v>
      </c>
      <c r="M1204" s="2" t="s">
        <v>24</v>
      </c>
      <c r="N1204" s="2" t="s">
        <v>25</v>
      </c>
      <c r="P1204" s="51">
        <v>0</v>
      </c>
      <c r="Q1204" s="50" t="s">
        <v>5962</v>
      </c>
      <c r="R1204" t="s">
        <v>5963</v>
      </c>
    </row>
    <row r="1205" spans="1:18">
      <c r="A1205" s="71">
        <v>26</v>
      </c>
      <c r="B1205" s="2" t="s">
        <v>8160</v>
      </c>
      <c r="C1205" s="71">
        <v>0</v>
      </c>
      <c r="D1205" s="2" t="s">
        <v>8161</v>
      </c>
      <c r="E1205" s="74">
        <v>0</v>
      </c>
      <c r="F1205" s="71">
        <v>15</v>
      </c>
      <c r="G1205" s="2" t="s">
        <v>260</v>
      </c>
      <c r="H1205" s="73" t="s">
        <v>5953</v>
      </c>
      <c r="I1205" s="100" t="s">
        <v>8206</v>
      </c>
      <c r="J1205" s="2" t="s">
        <v>23</v>
      </c>
      <c r="K1205" s="2" t="s">
        <v>23</v>
      </c>
      <c r="M1205" s="2" t="s">
        <v>24</v>
      </c>
      <c r="N1205" s="5" t="s">
        <v>263</v>
      </c>
      <c r="P1205" s="51">
        <v>0</v>
      </c>
      <c r="Q1205" s="50" t="s">
        <v>5964</v>
      </c>
      <c r="R1205" t="s">
        <v>5965</v>
      </c>
    </row>
    <row r="1206" spans="1:18">
      <c r="A1206" s="71">
        <v>26</v>
      </c>
      <c r="B1206" s="2" t="s">
        <v>8160</v>
      </c>
      <c r="C1206" s="71">
        <v>0</v>
      </c>
      <c r="D1206" s="2" t="s">
        <v>8161</v>
      </c>
      <c r="E1206" s="74">
        <v>0</v>
      </c>
      <c r="F1206" s="71">
        <v>16</v>
      </c>
      <c r="G1206" s="2" t="s">
        <v>5975</v>
      </c>
      <c r="H1206" s="73" t="s">
        <v>5954</v>
      </c>
      <c r="I1206" s="100" t="s">
        <v>8207</v>
      </c>
      <c r="J1206" s="2" t="s">
        <v>23</v>
      </c>
      <c r="K1206" s="2" t="s">
        <v>23</v>
      </c>
      <c r="M1206" s="2" t="s">
        <v>24</v>
      </c>
      <c r="N1206" s="2" t="s">
        <v>116</v>
      </c>
      <c r="O1206" s="16" t="s">
        <v>5981</v>
      </c>
      <c r="P1206" s="51">
        <v>0</v>
      </c>
      <c r="Q1206" s="50" t="s">
        <v>5966</v>
      </c>
      <c r="R1206" t="s">
        <v>5967</v>
      </c>
    </row>
    <row r="1207" spans="1:18">
      <c r="A1207" s="71">
        <v>26</v>
      </c>
      <c r="B1207" s="2" t="s">
        <v>8160</v>
      </c>
      <c r="C1207" s="71">
        <v>0</v>
      </c>
      <c r="D1207" s="2" t="s">
        <v>8161</v>
      </c>
      <c r="E1207" s="74">
        <v>0</v>
      </c>
      <c r="F1207" s="71">
        <v>17</v>
      </c>
      <c r="G1207" s="2" t="s">
        <v>5976</v>
      </c>
      <c r="H1207" s="73" t="s">
        <v>5955</v>
      </c>
      <c r="I1207" s="100" t="s">
        <v>8208</v>
      </c>
      <c r="J1207" s="2" t="s">
        <v>24</v>
      </c>
      <c r="K1207" s="2" t="s">
        <v>25</v>
      </c>
      <c r="M1207" s="2" t="s">
        <v>24</v>
      </c>
      <c r="N1207" s="2" t="s">
        <v>25</v>
      </c>
      <c r="P1207" s="51">
        <v>0</v>
      </c>
      <c r="Q1207" s="50" t="s">
        <v>5968</v>
      </c>
      <c r="R1207" t="s">
        <v>5969</v>
      </c>
    </row>
    <row r="1208" spans="1:18" ht="120">
      <c r="A1208" s="71">
        <v>26</v>
      </c>
      <c r="B1208" s="2" t="s">
        <v>8160</v>
      </c>
      <c r="C1208" s="71">
        <v>0</v>
      </c>
      <c r="D1208" s="2" t="s">
        <v>8161</v>
      </c>
      <c r="E1208" s="74">
        <v>0</v>
      </c>
      <c r="F1208" s="71">
        <v>18</v>
      </c>
      <c r="G1208" s="2" t="s">
        <v>683</v>
      </c>
      <c r="H1208" s="73" t="s">
        <v>5956</v>
      </c>
      <c r="I1208" s="100" t="s">
        <v>8209</v>
      </c>
      <c r="J1208" s="2" t="s">
        <v>23</v>
      </c>
      <c r="K1208" s="2" t="s">
        <v>23</v>
      </c>
      <c r="L1208" s="16"/>
      <c r="M1208" s="2" t="s">
        <v>8105</v>
      </c>
      <c r="N1208" s="2" t="s">
        <v>8117</v>
      </c>
      <c r="O1208" s="16" t="s">
        <v>8115</v>
      </c>
      <c r="P1208" s="51">
        <v>0</v>
      </c>
      <c r="Q1208" s="50" t="s">
        <v>8185</v>
      </c>
      <c r="R1208" s="6" t="s">
        <v>8186</v>
      </c>
    </row>
    <row r="1209" spans="1:18">
      <c r="A1209" s="71">
        <v>26</v>
      </c>
      <c r="B1209" s="2" t="s">
        <v>8160</v>
      </c>
      <c r="C1209" s="71">
        <v>0</v>
      </c>
      <c r="D1209" s="2" t="s">
        <v>8161</v>
      </c>
      <c r="E1209" s="74">
        <v>0</v>
      </c>
      <c r="F1209" s="71">
        <v>19</v>
      </c>
      <c r="G1209" s="2" t="s">
        <v>2975</v>
      </c>
      <c r="H1209" s="73" t="s">
        <v>5977</v>
      </c>
      <c r="I1209" s="100" t="s">
        <v>8210</v>
      </c>
      <c r="J1209" s="2" t="s">
        <v>38</v>
      </c>
      <c r="K1209" s="2" t="s">
        <v>23</v>
      </c>
      <c r="M1209" s="2" t="s">
        <v>38</v>
      </c>
      <c r="N1209" s="2" t="s">
        <v>23</v>
      </c>
      <c r="P1209" s="51">
        <v>0</v>
      </c>
      <c r="Q1209" s="50" t="s">
        <v>5994</v>
      </c>
      <c r="R1209" t="s">
        <v>8189</v>
      </c>
    </row>
    <row r="1210" spans="1:18">
      <c r="A1210" s="71">
        <v>26</v>
      </c>
      <c r="B1210" s="2" t="s">
        <v>8160</v>
      </c>
      <c r="C1210" s="71">
        <v>0</v>
      </c>
      <c r="D1210" s="2" t="s">
        <v>8161</v>
      </c>
      <c r="E1210" s="74">
        <v>0</v>
      </c>
      <c r="F1210" s="71">
        <v>20</v>
      </c>
      <c r="G1210" s="2" t="s">
        <v>96</v>
      </c>
      <c r="H1210" s="73" t="s">
        <v>5978</v>
      </c>
      <c r="I1210" s="100" t="s">
        <v>8211</v>
      </c>
      <c r="J1210" s="2" t="s">
        <v>38</v>
      </c>
      <c r="K1210" s="2" t="s">
        <v>23</v>
      </c>
      <c r="M1210" s="2" t="s">
        <v>38</v>
      </c>
      <c r="N1210" s="2" t="s">
        <v>23</v>
      </c>
      <c r="P1210" s="51">
        <v>0</v>
      </c>
      <c r="Q1210" s="50" t="s">
        <v>8187</v>
      </c>
      <c r="R1210" s="2" t="s">
        <v>8188</v>
      </c>
    </row>
    <row r="1211" spans="1:18">
      <c r="A1211" s="71">
        <v>26</v>
      </c>
      <c r="B1211" s="2" t="s">
        <v>8160</v>
      </c>
      <c r="C1211" s="71">
        <v>0</v>
      </c>
      <c r="D1211" s="2" t="s">
        <v>8161</v>
      </c>
      <c r="E1211" s="74">
        <v>0</v>
      </c>
      <c r="F1211" s="71">
        <v>21</v>
      </c>
      <c r="G1211" s="2" t="s">
        <v>882</v>
      </c>
      <c r="H1211" s="73" t="s">
        <v>5979</v>
      </c>
      <c r="I1211" s="100" t="s">
        <v>8212</v>
      </c>
      <c r="J1211" s="2" t="s">
        <v>38</v>
      </c>
      <c r="K1211" s="2" t="s">
        <v>23</v>
      </c>
      <c r="M1211" s="2" t="s">
        <v>38</v>
      </c>
      <c r="N1211" s="2" t="s">
        <v>23</v>
      </c>
      <c r="P1211" s="51">
        <v>0</v>
      </c>
      <c r="Q1211" s="50" t="s">
        <v>5995</v>
      </c>
      <c r="R1211" t="s">
        <v>8190</v>
      </c>
    </row>
    <row r="1212" spans="1:18">
      <c r="A1212" s="71">
        <v>26</v>
      </c>
      <c r="B1212" s="2" t="s">
        <v>8160</v>
      </c>
      <c r="C1212" s="71">
        <v>0</v>
      </c>
      <c r="D1212" s="2" t="s">
        <v>8161</v>
      </c>
      <c r="E1212" s="74">
        <v>0</v>
      </c>
      <c r="F1212" s="71">
        <v>22</v>
      </c>
      <c r="G1212" s="2" t="s">
        <v>10551</v>
      </c>
      <c r="H1212" s="73" t="s">
        <v>10550</v>
      </c>
      <c r="I1212" s="100" t="s">
        <v>10554</v>
      </c>
      <c r="J1212" s="2" t="s">
        <v>23</v>
      </c>
      <c r="K1212" s="2" t="s">
        <v>23</v>
      </c>
      <c r="M1212" s="2" t="s">
        <v>24</v>
      </c>
      <c r="N1212" s="2" t="s">
        <v>25</v>
      </c>
      <c r="P1212" s="51">
        <v>0</v>
      </c>
      <c r="Q1212" s="50" t="s">
        <v>10552</v>
      </c>
      <c r="R1212" s="2" t="s">
        <v>10553</v>
      </c>
    </row>
    <row r="1213" spans="1:18">
      <c r="A1213" s="71">
        <v>26</v>
      </c>
      <c r="B1213" s="2" t="s">
        <v>8160</v>
      </c>
      <c r="C1213" s="71">
        <v>0</v>
      </c>
      <c r="D1213" s="2" t="s">
        <v>8161</v>
      </c>
      <c r="E1213" s="74">
        <v>0</v>
      </c>
      <c r="F1213" s="71">
        <v>23</v>
      </c>
      <c r="G1213" s="2" t="s">
        <v>9110</v>
      </c>
      <c r="H1213" s="73" t="s">
        <v>10556</v>
      </c>
      <c r="I1213" s="100" t="s">
        <v>10557</v>
      </c>
      <c r="J1213" s="2" t="s">
        <v>23</v>
      </c>
      <c r="K1213" s="2" t="s">
        <v>23</v>
      </c>
      <c r="M1213" s="2" t="s">
        <v>24</v>
      </c>
      <c r="N1213" s="2" t="s">
        <v>139</v>
      </c>
      <c r="P1213" s="51">
        <v>0</v>
      </c>
      <c r="Q1213" s="50" t="s">
        <v>10555</v>
      </c>
    </row>
    <row r="1214" spans="1:18">
      <c r="A1214" s="71">
        <v>26</v>
      </c>
      <c r="B1214" s="2" t="s">
        <v>8160</v>
      </c>
      <c r="C1214" s="71">
        <v>0</v>
      </c>
      <c r="D1214" s="2" t="s">
        <v>8161</v>
      </c>
      <c r="E1214" s="74">
        <v>0</v>
      </c>
      <c r="F1214" s="71">
        <v>24</v>
      </c>
      <c r="G1214" s="2" t="s">
        <v>10609</v>
      </c>
      <c r="H1214" s="73" t="s">
        <v>10611</v>
      </c>
      <c r="I1214" s="100" t="s">
        <v>10612</v>
      </c>
      <c r="J1214" s="2" t="s">
        <v>24</v>
      </c>
      <c r="K1214" s="2" t="s">
        <v>25</v>
      </c>
      <c r="M1214" s="2" t="s">
        <v>24</v>
      </c>
      <c r="N1214" s="2" t="s">
        <v>25</v>
      </c>
      <c r="P1214" s="51">
        <v>0</v>
      </c>
      <c r="Q1214" s="50" t="s">
        <v>10610</v>
      </c>
      <c r="R1214" s="2" t="s">
        <v>10613</v>
      </c>
    </row>
    <row r="1215" spans="1:18">
      <c r="A1215" s="71">
        <v>26</v>
      </c>
      <c r="B1215" s="2" t="s">
        <v>8160</v>
      </c>
      <c r="C1215" s="71">
        <v>0</v>
      </c>
      <c r="D1215" s="2" t="s">
        <v>8161</v>
      </c>
      <c r="E1215" s="74">
        <v>0</v>
      </c>
      <c r="F1215" s="71">
        <v>25</v>
      </c>
      <c r="G1215" s="2" t="s">
        <v>10614</v>
      </c>
      <c r="H1215" s="73" t="s">
        <v>10616</v>
      </c>
      <c r="I1215" s="100" t="s">
        <v>10617</v>
      </c>
      <c r="J1215" s="2" t="s">
        <v>24</v>
      </c>
      <c r="K1215" s="2" t="s">
        <v>25</v>
      </c>
      <c r="M1215" s="2" t="s">
        <v>24</v>
      </c>
      <c r="N1215" s="2" t="s">
        <v>25</v>
      </c>
      <c r="P1215" s="51">
        <v>0</v>
      </c>
      <c r="Q1215" s="50" t="s">
        <v>10615</v>
      </c>
    </row>
    <row r="1216" spans="1:18">
      <c r="A1216" s="72"/>
      <c r="C1216" s="72"/>
      <c r="E1216" s="86"/>
      <c r="F1216" s="72"/>
      <c r="H1216" s="87" t="s">
        <v>234</v>
      </c>
      <c r="I1216" s="105"/>
      <c r="Q1216" s="99"/>
    </row>
    <row r="1217" spans="1:18">
      <c r="A1217" s="71">
        <v>27</v>
      </c>
      <c r="B1217" s="2" t="s">
        <v>6012</v>
      </c>
      <c r="C1217" s="71">
        <v>0</v>
      </c>
      <c r="D1217" s="2" t="s">
        <v>6013</v>
      </c>
      <c r="E1217" s="74">
        <v>0</v>
      </c>
      <c r="F1217" s="71">
        <v>0</v>
      </c>
      <c r="G1217" s="2" t="s">
        <v>20</v>
      </c>
      <c r="H1217" s="73" t="s">
        <v>6015</v>
      </c>
      <c r="I1217" s="76" t="s">
        <v>6016</v>
      </c>
      <c r="J1217" s="2" t="s">
        <v>23</v>
      </c>
      <c r="K1217" s="2" t="s">
        <v>23</v>
      </c>
      <c r="M1217" s="2" t="s">
        <v>24</v>
      </c>
      <c r="N1217" s="2" t="s">
        <v>25</v>
      </c>
      <c r="O1217" s="2" t="s">
        <v>26</v>
      </c>
      <c r="P1217" s="51">
        <v>0</v>
      </c>
      <c r="Q1217" s="1" t="s">
        <v>6014</v>
      </c>
    </row>
    <row r="1218" spans="1:18">
      <c r="A1218" s="71">
        <v>27</v>
      </c>
      <c r="B1218" s="2" t="s">
        <v>6012</v>
      </c>
      <c r="C1218" s="71">
        <v>0</v>
      </c>
      <c r="D1218" s="2" t="s">
        <v>6013</v>
      </c>
      <c r="E1218" s="74">
        <v>0</v>
      </c>
      <c r="F1218" s="71">
        <v>1</v>
      </c>
      <c r="G1218" s="2" t="s">
        <v>1575</v>
      </c>
      <c r="H1218" s="73" t="s">
        <v>6018</v>
      </c>
      <c r="I1218" s="100" t="s">
        <v>6019</v>
      </c>
      <c r="J1218" s="2" t="s">
        <v>8105</v>
      </c>
      <c r="K1218" s="2" t="s">
        <v>23</v>
      </c>
      <c r="L1218" s="16" t="s">
        <v>10604</v>
      </c>
      <c r="M1218" s="2" t="s">
        <v>24</v>
      </c>
      <c r="N1218" s="2" t="s">
        <v>23</v>
      </c>
      <c r="O1218" s="16"/>
      <c r="P1218" s="51">
        <v>0</v>
      </c>
      <c r="Q1218" s="50" t="s">
        <v>6017</v>
      </c>
    </row>
    <row r="1219" spans="1:18">
      <c r="A1219" s="71">
        <v>27</v>
      </c>
      <c r="B1219" s="2" t="s">
        <v>6012</v>
      </c>
      <c r="C1219" s="71">
        <v>0</v>
      </c>
      <c r="D1219" s="2" t="s">
        <v>6013</v>
      </c>
      <c r="E1219" s="74">
        <v>0</v>
      </c>
      <c r="F1219" s="71">
        <v>2</v>
      </c>
      <c r="G1219" s="2" t="s">
        <v>1111</v>
      </c>
      <c r="H1219" s="73" t="s">
        <v>6022</v>
      </c>
      <c r="I1219" s="100" t="s">
        <v>6023</v>
      </c>
      <c r="J1219" s="2" t="s">
        <v>23</v>
      </c>
      <c r="K1219" s="2" t="s">
        <v>23</v>
      </c>
      <c r="M1219" s="2" t="s">
        <v>24</v>
      </c>
      <c r="N1219" s="2" t="s">
        <v>23</v>
      </c>
      <c r="P1219" s="51">
        <v>0</v>
      </c>
      <c r="Q1219" s="50" t="s">
        <v>6020</v>
      </c>
      <c r="R1219" s="2" t="s">
        <v>6021</v>
      </c>
    </row>
    <row r="1220" spans="1:18">
      <c r="A1220" s="71">
        <v>27</v>
      </c>
      <c r="B1220" s="2" t="s">
        <v>6012</v>
      </c>
      <c r="C1220" s="71">
        <v>0</v>
      </c>
      <c r="D1220" s="2" t="s">
        <v>6013</v>
      </c>
      <c r="E1220" s="74">
        <v>0</v>
      </c>
      <c r="F1220" s="71">
        <v>3</v>
      </c>
      <c r="G1220" s="2" t="s">
        <v>6024</v>
      </c>
      <c r="H1220" s="73" t="s">
        <v>6030</v>
      </c>
      <c r="I1220" s="100" t="s">
        <v>6031</v>
      </c>
      <c r="J1220" s="2" t="s">
        <v>8105</v>
      </c>
      <c r="K1220" s="2" t="s">
        <v>23</v>
      </c>
      <c r="L1220" s="16" t="s">
        <v>10570</v>
      </c>
      <c r="M1220" s="2" t="s">
        <v>8105</v>
      </c>
      <c r="N1220" s="2" t="s">
        <v>23</v>
      </c>
      <c r="O1220" s="16" t="s">
        <v>10570</v>
      </c>
      <c r="P1220" s="51">
        <v>0</v>
      </c>
      <c r="Q1220" s="50" t="s">
        <v>6025</v>
      </c>
      <c r="R1220" s="6"/>
    </row>
    <row r="1221" spans="1:18">
      <c r="A1221" s="71">
        <v>27</v>
      </c>
      <c r="B1221" s="2" t="s">
        <v>6012</v>
      </c>
      <c r="C1221" s="71">
        <v>0</v>
      </c>
      <c r="D1221" s="2" t="s">
        <v>6013</v>
      </c>
      <c r="E1221" s="74">
        <v>0</v>
      </c>
      <c r="F1221" s="71">
        <v>4</v>
      </c>
      <c r="G1221" s="2" t="s">
        <v>6026</v>
      </c>
      <c r="H1221" s="73" t="s">
        <v>6032</v>
      </c>
      <c r="I1221" s="100" t="s">
        <v>6033</v>
      </c>
      <c r="J1221" s="2" t="s">
        <v>8105</v>
      </c>
      <c r="K1221" s="2" t="s">
        <v>23</v>
      </c>
      <c r="L1221" s="16" t="s">
        <v>8113</v>
      </c>
      <c r="M1221" s="2" t="s">
        <v>8105</v>
      </c>
      <c r="N1221" s="2" t="s">
        <v>23</v>
      </c>
      <c r="O1221" s="16" t="s">
        <v>8113</v>
      </c>
      <c r="P1221" s="51">
        <v>0</v>
      </c>
      <c r="Q1221" s="50" t="s">
        <v>8114</v>
      </c>
      <c r="R1221" s="6"/>
    </row>
    <row r="1222" spans="1:18">
      <c r="A1222" s="71">
        <v>27</v>
      </c>
      <c r="B1222" s="2" t="s">
        <v>6012</v>
      </c>
      <c r="C1222" s="71">
        <v>0</v>
      </c>
      <c r="D1222" s="2" t="s">
        <v>6013</v>
      </c>
      <c r="E1222" s="74">
        <v>0</v>
      </c>
      <c r="F1222" s="71">
        <v>5</v>
      </c>
      <c r="G1222" s="2" t="s">
        <v>10577</v>
      </c>
      <c r="H1222" s="73" t="s">
        <v>10572</v>
      </c>
      <c r="I1222" s="100" t="s">
        <v>10580</v>
      </c>
      <c r="J1222" s="2" t="s">
        <v>8100</v>
      </c>
      <c r="K1222" s="2" t="s">
        <v>9287</v>
      </c>
      <c r="L1222" s="16" t="s">
        <v>10580</v>
      </c>
      <c r="M1222" s="2" t="s">
        <v>8100</v>
      </c>
      <c r="N1222" s="2" t="s">
        <v>9287</v>
      </c>
      <c r="O1222" s="16" t="s">
        <v>10580</v>
      </c>
      <c r="P1222" s="51">
        <v>0</v>
      </c>
      <c r="Q1222" s="50" t="s">
        <v>10578</v>
      </c>
      <c r="R1222" s="6"/>
    </row>
    <row r="1223" spans="1:18">
      <c r="A1223" s="71">
        <v>27</v>
      </c>
      <c r="B1223" s="2" t="s">
        <v>6012</v>
      </c>
      <c r="C1223" s="71">
        <v>0</v>
      </c>
      <c r="D1223" s="2" t="s">
        <v>6013</v>
      </c>
      <c r="E1223" s="74">
        <v>0</v>
      </c>
      <c r="F1223" s="71">
        <v>6</v>
      </c>
      <c r="G1223" s="2" t="s">
        <v>10571</v>
      </c>
      <c r="H1223" s="73" t="s">
        <v>10574</v>
      </c>
      <c r="I1223" s="100" t="s">
        <v>10573</v>
      </c>
      <c r="J1223" s="2" t="s">
        <v>24</v>
      </c>
      <c r="K1223" s="2" t="s">
        <v>23</v>
      </c>
      <c r="L1223" s="2" t="s">
        <v>10579</v>
      </c>
      <c r="M1223" s="2" t="s">
        <v>24</v>
      </c>
      <c r="N1223" s="2" t="s">
        <v>23</v>
      </c>
      <c r="P1223" s="51">
        <v>0</v>
      </c>
      <c r="Q1223" s="50" t="s">
        <v>10590</v>
      </c>
      <c r="R1223" s="6" t="s">
        <v>10589</v>
      </c>
    </row>
    <row r="1224" spans="1:18">
      <c r="A1224" s="71">
        <v>27</v>
      </c>
      <c r="B1224" s="2" t="s">
        <v>6012</v>
      </c>
      <c r="C1224" s="71">
        <v>0</v>
      </c>
      <c r="D1224" s="2" t="s">
        <v>6013</v>
      </c>
      <c r="E1224" s="74">
        <v>0</v>
      </c>
      <c r="F1224" s="71">
        <v>7</v>
      </c>
      <c r="G1224" s="2" t="s">
        <v>8247</v>
      </c>
      <c r="H1224" s="73" t="s">
        <v>10581</v>
      </c>
      <c r="I1224" s="100" t="s">
        <v>10575</v>
      </c>
      <c r="J1224" s="2" t="s">
        <v>8105</v>
      </c>
      <c r="K1224" s="2" t="s">
        <v>23</v>
      </c>
      <c r="L1224" s="16" t="s">
        <v>10576</v>
      </c>
      <c r="M1224" s="2" t="s">
        <v>8105</v>
      </c>
      <c r="N1224" s="2" t="s">
        <v>23</v>
      </c>
      <c r="O1224" s="16" t="s">
        <v>10576</v>
      </c>
      <c r="P1224" s="51">
        <v>0</v>
      </c>
      <c r="Q1224" s="50" t="s">
        <v>10592</v>
      </c>
      <c r="R1224" s="6"/>
    </row>
    <row r="1225" spans="1:18">
      <c r="A1225" s="71">
        <v>27</v>
      </c>
      <c r="B1225" s="2" t="s">
        <v>6012</v>
      </c>
      <c r="C1225" s="71">
        <v>0</v>
      </c>
      <c r="D1225" s="2" t="s">
        <v>6013</v>
      </c>
      <c r="E1225" s="74">
        <v>0</v>
      </c>
      <c r="F1225" s="71">
        <v>8</v>
      </c>
      <c r="G1225" s="2" t="s">
        <v>10593</v>
      </c>
      <c r="H1225" s="73" t="s">
        <v>10597</v>
      </c>
      <c r="I1225" s="100" t="s">
        <v>10598</v>
      </c>
      <c r="J1225" s="2" t="s">
        <v>8105</v>
      </c>
      <c r="K1225" s="2" t="s">
        <v>23</v>
      </c>
      <c r="L1225" s="16" t="s">
        <v>10595</v>
      </c>
      <c r="M1225" s="2" t="s">
        <v>8105</v>
      </c>
      <c r="N1225" s="2" t="s">
        <v>23</v>
      </c>
      <c r="O1225" s="16" t="s">
        <v>10595</v>
      </c>
      <c r="P1225" s="51">
        <v>0</v>
      </c>
      <c r="Q1225" s="50" t="s">
        <v>10594</v>
      </c>
      <c r="R1225" s="6"/>
    </row>
    <row r="1226" spans="1:18">
      <c r="A1226" s="71">
        <v>27</v>
      </c>
      <c r="B1226" s="2" t="s">
        <v>6012</v>
      </c>
      <c r="C1226" s="71">
        <v>1</v>
      </c>
      <c r="D1226" s="2" t="s">
        <v>6027</v>
      </c>
      <c r="E1226" s="74">
        <v>0</v>
      </c>
      <c r="F1226" s="71">
        <v>0</v>
      </c>
      <c r="G1226" s="2" t="s">
        <v>20</v>
      </c>
      <c r="H1226" s="73" t="s">
        <v>6034</v>
      </c>
      <c r="I1226" s="95" t="s">
        <v>6028</v>
      </c>
      <c r="J1226" s="2" t="s">
        <v>23</v>
      </c>
      <c r="K1226" s="2" t="s">
        <v>23</v>
      </c>
      <c r="M1226" s="2" t="s">
        <v>24</v>
      </c>
      <c r="N1226" s="2" t="s">
        <v>25</v>
      </c>
      <c r="O1226" s="2" t="s">
        <v>26</v>
      </c>
      <c r="P1226" s="51">
        <v>0</v>
      </c>
      <c r="Q1226" s="1" t="s">
        <v>6029</v>
      </c>
    </row>
    <row r="1227" spans="1:18">
      <c r="A1227" s="71">
        <v>27</v>
      </c>
      <c r="B1227" s="2" t="s">
        <v>6012</v>
      </c>
      <c r="C1227" s="71">
        <v>1</v>
      </c>
      <c r="D1227" s="2" t="s">
        <v>6027</v>
      </c>
      <c r="E1227" s="74">
        <v>0</v>
      </c>
      <c r="F1227" s="71">
        <v>1</v>
      </c>
      <c r="G1227" s="2" t="s">
        <v>6035</v>
      </c>
      <c r="H1227" s="73" t="s">
        <v>6039</v>
      </c>
      <c r="I1227" s="100" t="s">
        <v>6040</v>
      </c>
      <c r="J1227" s="2" t="s">
        <v>24</v>
      </c>
      <c r="K1227" s="2" t="s">
        <v>25</v>
      </c>
      <c r="L1227" s="2" t="s">
        <v>6036</v>
      </c>
      <c r="M1227" s="2" t="s">
        <v>24</v>
      </c>
      <c r="N1227" s="2" t="s">
        <v>25</v>
      </c>
      <c r="O1227" s="2" t="s">
        <v>6037</v>
      </c>
      <c r="P1227" s="51">
        <v>0</v>
      </c>
      <c r="Q1227" s="99" t="s">
        <v>6038</v>
      </c>
    </row>
    <row r="1228" spans="1:18">
      <c r="A1228" s="71">
        <v>27</v>
      </c>
      <c r="B1228" s="2" t="s">
        <v>6012</v>
      </c>
      <c r="C1228" s="71">
        <v>1</v>
      </c>
      <c r="D1228" s="2" t="s">
        <v>6027</v>
      </c>
      <c r="E1228" s="74">
        <v>0</v>
      </c>
      <c r="F1228" s="71">
        <v>2</v>
      </c>
      <c r="G1228" s="2" t="s">
        <v>6041</v>
      </c>
      <c r="H1228" s="73" t="s">
        <v>6046</v>
      </c>
      <c r="I1228" s="100" t="s">
        <v>6047</v>
      </c>
      <c r="J1228" s="2" t="s">
        <v>38</v>
      </c>
      <c r="K1228" s="2" t="s">
        <v>23</v>
      </c>
      <c r="M1228" s="2" t="s">
        <v>38</v>
      </c>
      <c r="N1228" s="2" t="s">
        <v>23</v>
      </c>
      <c r="P1228" s="51">
        <v>0</v>
      </c>
      <c r="Q1228" s="50" t="s">
        <v>6042</v>
      </c>
    </row>
    <row r="1229" spans="1:18">
      <c r="A1229" s="71">
        <v>27</v>
      </c>
      <c r="B1229" s="2" t="s">
        <v>6012</v>
      </c>
      <c r="C1229" s="71">
        <v>1</v>
      </c>
      <c r="D1229" s="2" t="s">
        <v>6027</v>
      </c>
      <c r="E1229" s="74">
        <v>0</v>
      </c>
      <c r="F1229" s="71">
        <v>3</v>
      </c>
      <c r="G1229" s="2" t="s">
        <v>342</v>
      </c>
      <c r="H1229" s="73" t="s">
        <v>6048</v>
      </c>
      <c r="I1229" s="100" t="s">
        <v>6049</v>
      </c>
      <c r="J1229" s="2" t="s">
        <v>38</v>
      </c>
      <c r="K1229" s="2" t="s">
        <v>23</v>
      </c>
      <c r="M1229" s="2" t="s">
        <v>38</v>
      </c>
      <c r="N1229" s="2" t="s">
        <v>23</v>
      </c>
      <c r="P1229" s="51">
        <v>0</v>
      </c>
      <c r="Q1229" s="50" t="s">
        <v>345</v>
      </c>
    </row>
    <row r="1230" spans="1:18">
      <c r="A1230" s="71">
        <v>27</v>
      </c>
      <c r="B1230" s="2" t="s">
        <v>6012</v>
      </c>
      <c r="C1230" s="71">
        <v>1</v>
      </c>
      <c r="D1230" s="2" t="s">
        <v>6027</v>
      </c>
      <c r="E1230" s="74">
        <v>0</v>
      </c>
      <c r="F1230" s="71">
        <v>4</v>
      </c>
      <c r="G1230" s="2" t="s">
        <v>1204</v>
      </c>
      <c r="H1230" s="73" t="s">
        <v>6050</v>
      </c>
      <c r="I1230" s="100" t="s">
        <v>6051</v>
      </c>
      <c r="J1230" s="2" t="s">
        <v>38</v>
      </c>
      <c r="K1230" s="2" t="s">
        <v>23</v>
      </c>
      <c r="M1230" s="2" t="s">
        <v>38</v>
      </c>
      <c r="N1230" s="2" t="s">
        <v>23</v>
      </c>
      <c r="P1230" s="51">
        <v>0</v>
      </c>
      <c r="Q1230" s="50" t="s">
        <v>1207</v>
      </c>
    </row>
    <row r="1231" spans="1:18">
      <c r="A1231" s="71">
        <v>27</v>
      </c>
      <c r="B1231" s="2" t="s">
        <v>6012</v>
      </c>
      <c r="C1231" s="71">
        <v>1</v>
      </c>
      <c r="D1231" s="2" t="s">
        <v>6027</v>
      </c>
      <c r="E1231" s="74">
        <v>0</v>
      </c>
      <c r="F1231" s="71">
        <v>5</v>
      </c>
      <c r="G1231" s="2" t="s">
        <v>4170</v>
      </c>
      <c r="H1231" s="73" t="s">
        <v>6052</v>
      </c>
      <c r="I1231" s="100" t="s">
        <v>6053</v>
      </c>
      <c r="J1231" s="2" t="s">
        <v>38</v>
      </c>
      <c r="K1231" s="2" t="s">
        <v>23</v>
      </c>
      <c r="M1231" s="2" t="s">
        <v>38</v>
      </c>
      <c r="N1231" s="2" t="s">
        <v>23</v>
      </c>
      <c r="P1231" s="51">
        <v>0</v>
      </c>
      <c r="Q1231" s="50" t="s">
        <v>6043</v>
      </c>
    </row>
    <row r="1232" spans="1:18">
      <c r="A1232" s="71">
        <v>27</v>
      </c>
      <c r="B1232" s="2" t="s">
        <v>6012</v>
      </c>
      <c r="C1232" s="71">
        <v>2</v>
      </c>
      <c r="D1232" s="2" t="s">
        <v>6044</v>
      </c>
      <c r="E1232" s="74">
        <v>0</v>
      </c>
      <c r="F1232" s="71">
        <v>0</v>
      </c>
      <c r="G1232" s="2" t="s">
        <v>20</v>
      </c>
      <c r="H1232" s="73" t="s">
        <v>6054</v>
      </c>
      <c r="I1232" s="76" t="s">
        <v>6055</v>
      </c>
      <c r="J1232" s="2" t="s">
        <v>23</v>
      </c>
      <c r="K1232" s="2" t="s">
        <v>23</v>
      </c>
      <c r="M1232" s="2" t="s">
        <v>24</v>
      </c>
      <c r="N1232" s="2" t="s">
        <v>25</v>
      </c>
      <c r="O1232" s="2" t="s">
        <v>26</v>
      </c>
      <c r="P1232" s="51">
        <v>0</v>
      </c>
      <c r="Q1232" s="1" t="s">
        <v>6045</v>
      </c>
    </row>
    <row r="1233" spans="1:17">
      <c r="A1233" s="71">
        <v>27</v>
      </c>
      <c r="B1233" s="2" t="s">
        <v>6012</v>
      </c>
      <c r="C1233" s="71">
        <v>2</v>
      </c>
      <c r="D1233" s="2" t="s">
        <v>6044</v>
      </c>
      <c r="E1233" s="74">
        <v>0</v>
      </c>
      <c r="F1233" s="71">
        <v>1</v>
      </c>
      <c r="G1233" s="2" t="s">
        <v>6035</v>
      </c>
      <c r="H1233" s="73" t="s">
        <v>6068</v>
      </c>
      <c r="I1233" s="100" t="s">
        <v>6069</v>
      </c>
      <c r="J1233" s="2" t="s">
        <v>24</v>
      </c>
      <c r="K1233" s="2" t="s">
        <v>25</v>
      </c>
      <c r="L1233" s="2" t="s">
        <v>6036</v>
      </c>
      <c r="M1233" s="2" t="s">
        <v>24</v>
      </c>
      <c r="N1233" s="2" t="s">
        <v>25</v>
      </c>
      <c r="O1233" s="2" t="s">
        <v>6037</v>
      </c>
      <c r="P1233" s="51">
        <v>0</v>
      </c>
      <c r="Q1233" s="99" t="s">
        <v>6038</v>
      </c>
    </row>
    <row r="1234" spans="1:17">
      <c r="A1234" s="71">
        <v>27</v>
      </c>
      <c r="B1234" s="2" t="s">
        <v>6012</v>
      </c>
      <c r="C1234" s="71">
        <v>2</v>
      </c>
      <c r="D1234" s="2" t="s">
        <v>6044</v>
      </c>
      <c r="E1234" s="74">
        <v>0</v>
      </c>
      <c r="F1234" s="71">
        <v>2</v>
      </c>
      <c r="G1234" s="2" t="s">
        <v>6056</v>
      </c>
      <c r="H1234" s="73" t="s">
        <v>6070</v>
      </c>
      <c r="I1234" s="100" t="s">
        <v>6071</v>
      </c>
      <c r="J1234" s="2" t="s">
        <v>24</v>
      </c>
      <c r="K1234" s="2" t="s">
        <v>23</v>
      </c>
      <c r="M1234" s="2" t="s">
        <v>24</v>
      </c>
      <c r="N1234" s="2" t="s">
        <v>23</v>
      </c>
      <c r="P1234" s="51">
        <v>0</v>
      </c>
      <c r="Q1234" s="50" t="s">
        <v>6062</v>
      </c>
    </row>
    <row r="1235" spans="1:17">
      <c r="A1235" s="71">
        <v>27</v>
      </c>
      <c r="B1235" s="2" t="s">
        <v>6012</v>
      </c>
      <c r="C1235" s="71">
        <v>2</v>
      </c>
      <c r="D1235" s="2" t="s">
        <v>6044</v>
      </c>
      <c r="E1235" s="74">
        <v>0</v>
      </c>
      <c r="F1235" s="71">
        <v>3</v>
      </c>
      <c r="G1235" s="2" t="s">
        <v>6057</v>
      </c>
      <c r="H1235" s="73" t="s">
        <v>6072</v>
      </c>
      <c r="I1235" s="100" t="s">
        <v>6073</v>
      </c>
      <c r="J1235" s="2" t="s">
        <v>24</v>
      </c>
      <c r="K1235" s="2" t="s">
        <v>23</v>
      </c>
      <c r="M1235" s="2" t="s">
        <v>24</v>
      </c>
      <c r="N1235" s="2" t="s">
        <v>23</v>
      </c>
      <c r="P1235" s="51">
        <v>0</v>
      </c>
      <c r="Q1235" s="50" t="s">
        <v>6063</v>
      </c>
    </row>
    <row r="1236" spans="1:17">
      <c r="A1236" s="71">
        <v>27</v>
      </c>
      <c r="B1236" s="2" t="s">
        <v>6012</v>
      </c>
      <c r="C1236" s="71">
        <v>2</v>
      </c>
      <c r="D1236" s="2" t="s">
        <v>6044</v>
      </c>
      <c r="E1236" s="74">
        <v>0</v>
      </c>
      <c r="F1236" s="71">
        <v>4</v>
      </c>
      <c r="G1236" s="2" t="s">
        <v>4211</v>
      </c>
      <c r="H1236" s="73" t="s">
        <v>6074</v>
      </c>
      <c r="I1236" s="100" t="s">
        <v>6075</v>
      </c>
      <c r="J1236" s="2" t="s">
        <v>24</v>
      </c>
      <c r="K1236" s="2" t="s">
        <v>23</v>
      </c>
      <c r="M1236" s="2" t="s">
        <v>24</v>
      </c>
      <c r="N1236" s="2" t="s">
        <v>23</v>
      </c>
      <c r="P1236" s="51">
        <v>0</v>
      </c>
      <c r="Q1236" s="50" t="s">
        <v>4213</v>
      </c>
    </row>
    <row r="1237" spans="1:17">
      <c r="A1237" s="71">
        <v>27</v>
      </c>
      <c r="B1237" s="2" t="s">
        <v>6012</v>
      </c>
      <c r="C1237" s="71">
        <v>2</v>
      </c>
      <c r="D1237" s="2" t="s">
        <v>6044</v>
      </c>
      <c r="E1237" s="74">
        <v>0</v>
      </c>
      <c r="F1237" s="71">
        <v>5</v>
      </c>
      <c r="G1237" s="2" t="s">
        <v>6058</v>
      </c>
      <c r="H1237" s="73" t="s">
        <v>6076</v>
      </c>
      <c r="I1237" s="100" t="s">
        <v>6077</v>
      </c>
      <c r="J1237" s="2" t="s">
        <v>24</v>
      </c>
      <c r="K1237" s="2" t="s">
        <v>23</v>
      </c>
      <c r="M1237" s="2" t="s">
        <v>24</v>
      </c>
      <c r="N1237" s="2" t="s">
        <v>23</v>
      </c>
      <c r="P1237" s="51">
        <v>0</v>
      </c>
      <c r="Q1237" s="50" t="s">
        <v>6064</v>
      </c>
    </row>
    <row r="1238" spans="1:17">
      <c r="A1238" s="71">
        <v>27</v>
      </c>
      <c r="B1238" s="2" t="s">
        <v>6012</v>
      </c>
      <c r="C1238" s="71">
        <v>2</v>
      </c>
      <c r="D1238" s="2" t="s">
        <v>6044</v>
      </c>
      <c r="E1238" s="74">
        <v>0</v>
      </c>
      <c r="F1238" s="71">
        <v>6</v>
      </c>
      <c r="G1238" s="2" t="s">
        <v>49</v>
      </c>
      <c r="H1238" s="73" t="s">
        <v>6078</v>
      </c>
      <c r="I1238" s="100" t="s">
        <v>6079</v>
      </c>
      <c r="J1238" s="2" t="s">
        <v>24</v>
      </c>
      <c r="K1238" s="2" t="s">
        <v>23</v>
      </c>
      <c r="M1238" s="2" t="s">
        <v>24</v>
      </c>
      <c r="N1238" s="2" t="s">
        <v>23</v>
      </c>
      <c r="P1238" s="51">
        <v>0</v>
      </c>
      <c r="Q1238" s="50" t="s">
        <v>6065</v>
      </c>
    </row>
    <row r="1239" spans="1:17">
      <c r="A1239" s="71">
        <v>27</v>
      </c>
      <c r="B1239" s="2" t="s">
        <v>6012</v>
      </c>
      <c r="C1239" s="71">
        <v>2</v>
      </c>
      <c r="D1239" s="2" t="s">
        <v>6044</v>
      </c>
      <c r="E1239" s="74">
        <v>0</v>
      </c>
      <c r="F1239" s="71">
        <v>7</v>
      </c>
      <c r="G1239" s="2" t="s">
        <v>6059</v>
      </c>
      <c r="H1239" s="73" t="s">
        <v>6080</v>
      </c>
      <c r="I1239" s="100" t="s">
        <v>6081</v>
      </c>
      <c r="J1239" s="2" t="s">
        <v>24</v>
      </c>
      <c r="K1239" s="2" t="s">
        <v>23</v>
      </c>
      <c r="M1239" s="2" t="s">
        <v>24</v>
      </c>
      <c r="N1239" s="2" t="s">
        <v>23</v>
      </c>
      <c r="P1239" s="51">
        <v>0</v>
      </c>
      <c r="Q1239" s="50" t="s">
        <v>6066</v>
      </c>
    </row>
    <row r="1240" spans="1:17">
      <c r="A1240" s="71">
        <v>27</v>
      </c>
      <c r="B1240" s="2" t="s">
        <v>6012</v>
      </c>
      <c r="C1240" s="71">
        <v>2</v>
      </c>
      <c r="D1240" s="2" t="s">
        <v>6044</v>
      </c>
      <c r="E1240" s="74">
        <v>0</v>
      </c>
      <c r="F1240" s="71">
        <v>8</v>
      </c>
      <c r="G1240" s="2" t="s">
        <v>6060</v>
      </c>
      <c r="H1240" s="73" t="s">
        <v>6082</v>
      </c>
      <c r="I1240" s="100" t="s">
        <v>6083</v>
      </c>
      <c r="J1240" s="2" t="s">
        <v>24</v>
      </c>
      <c r="K1240" s="2" t="s">
        <v>23</v>
      </c>
      <c r="M1240" s="2" t="s">
        <v>24</v>
      </c>
      <c r="N1240" s="2" t="s">
        <v>23</v>
      </c>
      <c r="P1240" s="51">
        <v>0</v>
      </c>
      <c r="Q1240" s="50" t="s">
        <v>786</v>
      </c>
    </row>
    <row r="1241" spans="1:17">
      <c r="A1241" s="71">
        <v>27</v>
      </c>
      <c r="B1241" s="2" t="s">
        <v>6012</v>
      </c>
      <c r="C1241" s="71">
        <v>2</v>
      </c>
      <c r="D1241" s="2" t="s">
        <v>6044</v>
      </c>
      <c r="E1241" s="74">
        <v>0</v>
      </c>
      <c r="F1241" s="71">
        <v>9</v>
      </c>
      <c r="G1241" s="2" t="s">
        <v>6061</v>
      </c>
      <c r="H1241" s="73" t="s">
        <v>6084</v>
      </c>
      <c r="I1241" s="100" t="s">
        <v>6085</v>
      </c>
      <c r="J1241" s="2" t="s">
        <v>24</v>
      </c>
      <c r="K1241" s="2" t="s">
        <v>23</v>
      </c>
      <c r="M1241" s="2" t="s">
        <v>24</v>
      </c>
      <c r="N1241" s="2" t="s">
        <v>23</v>
      </c>
      <c r="P1241" s="51">
        <v>0</v>
      </c>
      <c r="Q1241" s="50" t="s">
        <v>6067</v>
      </c>
    </row>
    <row r="1242" spans="1:17">
      <c r="A1242" s="71">
        <v>27</v>
      </c>
      <c r="B1242" s="2" t="s">
        <v>6012</v>
      </c>
      <c r="C1242" s="71">
        <v>3</v>
      </c>
      <c r="D1242" s="2" t="s">
        <v>6086</v>
      </c>
      <c r="E1242" s="74">
        <v>0</v>
      </c>
      <c r="F1242" s="71">
        <v>0</v>
      </c>
      <c r="G1242" s="2" t="s">
        <v>20</v>
      </c>
      <c r="H1242" s="73" t="s">
        <v>6088</v>
      </c>
      <c r="I1242" s="76" t="s">
        <v>6089</v>
      </c>
      <c r="J1242" s="2" t="s">
        <v>23</v>
      </c>
      <c r="K1242" s="2" t="s">
        <v>23</v>
      </c>
      <c r="M1242" s="2" t="s">
        <v>24</v>
      </c>
      <c r="N1242" s="2" t="s">
        <v>25</v>
      </c>
      <c r="O1242" s="2" t="s">
        <v>26</v>
      </c>
      <c r="P1242" s="51">
        <v>0</v>
      </c>
      <c r="Q1242" s="1" t="s">
        <v>6087</v>
      </c>
    </row>
    <row r="1243" spans="1:17">
      <c r="A1243" s="71">
        <v>27</v>
      </c>
      <c r="B1243" s="2" t="s">
        <v>6012</v>
      </c>
      <c r="C1243" s="71">
        <v>3</v>
      </c>
      <c r="D1243" s="2" t="s">
        <v>6086</v>
      </c>
      <c r="E1243" s="74">
        <v>0</v>
      </c>
      <c r="F1243" s="71">
        <v>1</v>
      </c>
      <c r="G1243" s="2" t="s">
        <v>6035</v>
      </c>
      <c r="H1243" s="73" t="s">
        <v>6114</v>
      </c>
      <c r="I1243" s="100" t="s">
        <v>6115</v>
      </c>
      <c r="J1243" s="2" t="s">
        <v>24</v>
      </c>
      <c r="K1243" s="2" t="s">
        <v>25</v>
      </c>
      <c r="L1243" s="2" t="s">
        <v>6036</v>
      </c>
      <c r="M1243" s="2" t="s">
        <v>24</v>
      </c>
      <c r="N1243" s="2" t="s">
        <v>25</v>
      </c>
      <c r="O1243" s="2" t="s">
        <v>6037</v>
      </c>
      <c r="P1243" s="51">
        <v>0</v>
      </c>
      <c r="Q1243" s="99" t="s">
        <v>6038</v>
      </c>
    </row>
    <row r="1244" spans="1:17">
      <c r="A1244" s="71">
        <v>27</v>
      </c>
      <c r="B1244" s="2" t="s">
        <v>6012</v>
      </c>
      <c r="C1244" s="71">
        <v>3</v>
      </c>
      <c r="D1244" s="2" t="s">
        <v>6086</v>
      </c>
      <c r="E1244" s="74">
        <v>0</v>
      </c>
      <c r="F1244" s="71">
        <v>2</v>
      </c>
      <c r="G1244" s="2" t="s">
        <v>6090</v>
      </c>
      <c r="H1244" s="73" t="s">
        <v>6116</v>
      </c>
      <c r="I1244" s="100" t="s">
        <v>6117</v>
      </c>
      <c r="J1244" s="2" t="s">
        <v>24</v>
      </c>
      <c r="K1244" s="2" t="s">
        <v>23</v>
      </c>
      <c r="M1244" s="2" t="s">
        <v>24</v>
      </c>
      <c r="N1244" s="2" t="s">
        <v>23</v>
      </c>
      <c r="P1244" s="51">
        <v>0</v>
      </c>
      <c r="Q1244" s="99" t="s">
        <v>6097</v>
      </c>
    </row>
    <row r="1245" spans="1:17">
      <c r="A1245" s="71">
        <v>27</v>
      </c>
      <c r="B1245" s="2" t="s">
        <v>6012</v>
      </c>
      <c r="C1245" s="71">
        <v>3</v>
      </c>
      <c r="D1245" s="2" t="s">
        <v>6086</v>
      </c>
      <c r="E1245" s="74">
        <v>0</v>
      </c>
      <c r="F1245" s="71">
        <v>3</v>
      </c>
      <c r="G1245" s="2" t="s">
        <v>1490</v>
      </c>
      <c r="H1245" s="73" t="s">
        <v>6118</v>
      </c>
      <c r="I1245" s="100" t="s">
        <v>6119</v>
      </c>
      <c r="J1245" s="2" t="s">
        <v>24</v>
      </c>
      <c r="K1245" s="2" t="s">
        <v>23</v>
      </c>
      <c r="L1245" s="2" t="s">
        <v>6098</v>
      </c>
      <c r="M1245" s="2" t="s">
        <v>24</v>
      </c>
      <c r="N1245" s="2" t="s">
        <v>23</v>
      </c>
      <c r="O1245" s="2" t="s">
        <v>6098</v>
      </c>
      <c r="P1245" s="51">
        <v>0</v>
      </c>
      <c r="Q1245" s="99" t="s">
        <v>6099</v>
      </c>
    </row>
    <row r="1246" spans="1:17">
      <c r="A1246" s="71">
        <v>27</v>
      </c>
      <c r="B1246" s="2" t="s">
        <v>6012</v>
      </c>
      <c r="C1246" s="71">
        <v>3</v>
      </c>
      <c r="D1246" s="2" t="s">
        <v>6086</v>
      </c>
      <c r="E1246" s="74">
        <v>0</v>
      </c>
      <c r="F1246" s="71">
        <v>4</v>
      </c>
      <c r="G1246" s="2" t="s">
        <v>6091</v>
      </c>
      <c r="H1246" s="73" t="s">
        <v>6120</v>
      </c>
      <c r="I1246" s="100" t="s">
        <v>6100</v>
      </c>
      <c r="J1246" s="2" t="s">
        <v>24</v>
      </c>
      <c r="K1246" s="2" t="s">
        <v>116</v>
      </c>
      <c r="L1246" s="16" t="s">
        <v>6100</v>
      </c>
      <c r="M1246" s="2" t="s">
        <v>24</v>
      </c>
      <c r="N1246" s="2" t="s">
        <v>116</v>
      </c>
      <c r="O1246" s="16" t="s">
        <v>6100</v>
      </c>
      <c r="P1246" s="51">
        <v>0</v>
      </c>
      <c r="Q1246" s="99" t="s">
        <v>6101</v>
      </c>
    </row>
    <row r="1247" spans="1:17">
      <c r="A1247" s="71">
        <v>27</v>
      </c>
      <c r="B1247" s="2" t="s">
        <v>6012</v>
      </c>
      <c r="C1247" s="71">
        <v>3</v>
      </c>
      <c r="D1247" s="2" t="s">
        <v>6086</v>
      </c>
      <c r="E1247" s="74">
        <v>0</v>
      </c>
      <c r="F1247" s="71">
        <v>5</v>
      </c>
      <c r="G1247" s="2" t="s">
        <v>310</v>
      </c>
      <c r="H1247" s="73" t="s">
        <v>6121</v>
      </c>
      <c r="I1247" s="100" t="s">
        <v>6122</v>
      </c>
      <c r="J1247" s="2" t="s">
        <v>24</v>
      </c>
      <c r="K1247" s="2" t="s">
        <v>206</v>
      </c>
      <c r="M1247" s="2" t="s">
        <v>24</v>
      </c>
      <c r="N1247" s="2" t="s">
        <v>206</v>
      </c>
      <c r="P1247" s="51">
        <v>0</v>
      </c>
      <c r="Q1247" s="99" t="s">
        <v>6102</v>
      </c>
    </row>
    <row r="1248" spans="1:17">
      <c r="A1248" s="71">
        <v>27</v>
      </c>
      <c r="B1248" s="2" t="s">
        <v>6012</v>
      </c>
      <c r="C1248" s="71">
        <v>3</v>
      </c>
      <c r="D1248" s="2" t="s">
        <v>6086</v>
      </c>
      <c r="E1248" s="74">
        <v>0</v>
      </c>
      <c r="F1248" s="71">
        <v>6</v>
      </c>
      <c r="G1248" s="2" t="s">
        <v>2786</v>
      </c>
      <c r="H1248" s="73" t="s">
        <v>6123</v>
      </c>
      <c r="I1248" s="100" t="s">
        <v>6124</v>
      </c>
      <c r="J1248" s="2" t="s">
        <v>24</v>
      </c>
      <c r="K1248" s="2" t="s">
        <v>206</v>
      </c>
      <c r="M1248" s="2" t="s">
        <v>24</v>
      </c>
      <c r="N1248" s="2" t="s">
        <v>206</v>
      </c>
      <c r="P1248" s="51">
        <v>0</v>
      </c>
      <c r="Q1248" s="99" t="s">
        <v>6103</v>
      </c>
    </row>
    <row r="1249" spans="1:18">
      <c r="A1249" s="71">
        <v>27</v>
      </c>
      <c r="B1249" s="2" t="s">
        <v>6012</v>
      </c>
      <c r="C1249" s="71">
        <v>3</v>
      </c>
      <c r="D1249" s="2" t="s">
        <v>6086</v>
      </c>
      <c r="E1249" s="74">
        <v>0</v>
      </c>
      <c r="F1249" s="71">
        <v>7</v>
      </c>
      <c r="G1249" s="2" t="s">
        <v>6092</v>
      </c>
      <c r="H1249" s="73" t="s">
        <v>6125</v>
      </c>
      <c r="I1249" s="100" t="s">
        <v>6126</v>
      </c>
      <c r="J1249" s="2" t="s">
        <v>24</v>
      </c>
      <c r="K1249" s="5" t="s">
        <v>139</v>
      </c>
      <c r="L1249" s="2" t="s">
        <v>6104</v>
      </c>
      <c r="M1249" s="2" t="s">
        <v>24</v>
      </c>
      <c r="N1249" s="5" t="s">
        <v>139</v>
      </c>
      <c r="O1249" s="2" t="s">
        <v>6104</v>
      </c>
      <c r="P1249" s="51">
        <v>0</v>
      </c>
      <c r="Q1249" s="99" t="s">
        <v>6105</v>
      </c>
    </row>
    <row r="1250" spans="1:18">
      <c r="A1250" s="71">
        <v>27</v>
      </c>
      <c r="B1250" s="2" t="s">
        <v>6012</v>
      </c>
      <c r="C1250" s="71">
        <v>3</v>
      </c>
      <c r="D1250" s="2" t="s">
        <v>6086</v>
      </c>
      <c r="E1250" s="74">
        <v>0</v>
      </c>
      <c r="F1250" s="71">
        <v>8</v>
      </c>
      <c r="G1250" s="2" t="s">
        <v>6093</v>
      </c>
      <c r="H1250" s="73" t="s">
        <v>6127</v>
      </c>
      <c r="I1250" s="100" t="s">
        <v>6128</v>
      </c>
      <c r="J1250" s="2" t="s">
        <v>24</v>
      </c>
      <c r="K1250" s="5" t="s">
        <v>139</v>
      </c>
      <c r="L1250" s="2" t="s">
        <v>6104</v>
      </c>
      <c r="M1250" s="2" t="s">
        <v>24</v>
      </c>
      <c r="N1250" s="5" t="s">
        <v>139</v>
      </c>
      <c r="O1250" s="2" t="s">
        <v>6104</v>
      </c>
      <c r="P1250" s="51">
        <v>0</v>
      </c>
      <c r="Q1250" s="99" t="s">
        <v>6106</v>
      </c>
    </row>
    <row r="1251" spans="1:18">
      <c r="A1251" s="71">
        <v>27</v>
      </c>
      <c r="B1251" s="2" t="s">
        <v>6012</v>
      </c>
      <c r="C1251" s="71">
        <v>3</v>
      </c>
      <c r="D1251" s="2" t="s">
        <v>6086</v>
      </c>
      <c r="E1251" s="74">
        <v>0</v>
      </c>
      <c r="F1251" s="71">
        <v>9</v>
      </c>
      <c r="G1251" s="2" t="s">
        <v>6094</v>
      </c>
      <c r="H1251" s="73" t="s">
        <v>6129</v>
      </c>
      <c r="I1251" s="100" t="s">
        <v>6130</v>
      </c>
      <c r="J1251" s="2" t="s">
        <v>24</v>
      </c>
      <c r="K1251" s="2" t="s">
        <v>25</v>
      </c>
      <c r="L1251" s="2" t="s">
        <v>6107</v>
      </c>
      <c r="M1251" s="2" t="s">
        <v>24</v>
      </c>
      <c r="N1251" s="2" t="s">
        <v>25</v>
      </c>
      <c r="O1251" s="2" t="s">
        <v>6107</v>
      </c>
      <c r="P1251" s="51">
        <v>0</v>
      </c>
      <c r="Q1251" s="99" t="s">
        <v>6108</v>
      </c>
    </row>
    <row r="1252" spans="1:18">
      <c r="A1252" s="71">
        <v>27</v>
      </c>
      <c r="B1252" s="2" t="s">
        <v>6012</v>
      </c>
      <c r="C1252" s="71">
        <v>3</v>
      </c>
      <c r="D1252" s="2" t="s">
        <v>6086</v>
      </c>
      <c r="E1252" s="74">
        <v>0</v>
      </c>
      <c r="F1252" s="71">
        <v>10</v>
      </c>
      <c r="G1252" s="2" t="s">
        <v>6095</v>
      </c>
      <c r="H1252" s="73" t="s">
        <v>6131</v>
      </c>
      <c r="I1252" s="100" t="s">
        <v>6132</v>
      </c>
      <c r="J1252" s="2" t="s">
        <v>24</v>
      </c>
      <c r="K1252" s="2" t="s">
        <v>25</v>
      </c>
      <c r="L1252" s="2" t="s">
        <v>6109</v>
      </c>
      <c r="M1252" s="2" t="s">
        <v>24</v>
      </c>
      <c r="N1252" s="2" t="s">
        <v>25</v>
      </c>
      <c r="O1252" s="2" t="s">
        <v>6109</v>
      </c>
      <c r="P1252" s="51">
        <v>0</v>
      </c>
      <c r="Q1252" s="99" t="s">
        <v>6110</v>
      </c>
    </row>
    <row r="1253" spans="1:18">
      <c r="A1253" s="71">
        <v>27</v>
      </c>
      <c r="B1253" s="2" t="s">
        <v>6012</v>
      </c>
      <c r="C1253" s="71">
        <v>3</v>
      </c>
      <c r="D1253" s="2" t="s">
        <v>6086</v>
      </c>
      <c r="E1253" s="74">
        <v>0</v>
      </c>
      <c r="F1253" s="71">
        <v>11</v>
      </c>
      <c r="G1253" s="2" t="s">
        <v>1269</v>
      </c>
      <c r="H1253" s="73" t="s">
        <v>6133</v>
      </c>
      <c r="I1253" s="100" t="s">
        <v>6134</v>
      </c>
      <c r="J1253" s="2" t="s">
        <v>24</v>
      </c>
      <c r="K1253" s="2" t="s">
        <v>25</v>
      </c>
      <c r="L1253" s="2" t="s">
        <v>6111</v>
      </c>
      <c r="M1253" s="2" t="s">
        <v>24</v>
      </c>
      <c r="N1253" s="2" t="s">
        <v>25</v>
      </c>
      <c r="O1253" s="2" t="s">
        <v>6111</v>
      </c>
      <c r="P1253" s="51">
        <v>0</v>
      </c>
      <c r="Q1253" s="99" t="s">
        <v>6112</v>
      </c>
    </row>
    <row r="1254" spans="1:18">
      <c r="A1254" s="71">
        <v>27</v>
      </c>
      <c r="B1254" s="2" t="s">
        <v>6012</v>
      </c>
      <c r="C1254" s="71">
        <v>3</v>
      </c>
      <c r="D1254" s="2" t="s">
        <v>6086</v>
      </c>
      <c r="E1254" s="74">
        <v>0</v>
      </c>
      <c r="F1254" s="71">
        <v>12</v>
      </c>
      <c r="G1254" s="2" t="s">
        <v>6096</v>
      </c>
      <c r="H1254" s="73" t="s">
        <v>6135</v>
      </c>
      <c r="I1254" s="100" t="s">
        <v>6136</v>
      </c>
      <c r="J1254" s="2" t="s">
        <v>24</v>
      </c>
      <c r="K1254" s="2" t="s">
        <v>25</v>
      </c>
      <c r="L1254" s="2" t="s">
        <v>3799</v>
      </c>
      <c r="M1254" s="2" t="s">
        <v>24</v>
      </c>
      <c r="N1254" s="2" t="s">
        <v>25</v>
      </c>
      <c r="O1254" s="2" t="s">
        <v>3799</v>
      </c>
      <c r="P1254" s="51">
        <v>0</v>
      </c>
      <c r="Q1254" s="99" t="s">
        <v>6113</v>
      </c>
    </row>
    <row r="1255" spans="1:18">
      <c r="A1255" s="71">
        <v>27</v>
      </c>
      <c r="B1255" s="2" t="s">
        <v>6012</v>
      </c>
      <c r="C1255" s="71">
        <v>4</v>
      </c>
      <c r="D1255" s="2" t="s">
        <v>6140</v>
      </c>
      <c r="E1255" s="74">
        <v>0</v>
      </c>
      <c r="F1255" s="71">
        <v>0</v>
      </c>
      <c r="G1255" s="2" t="s">
        <v>20</v>
      </c>
      <c r="H1255" s="73" t="s">
        <v>6151</v>
      </c>
      <c r="I1255" s="76" t="s">
        <v>6152</v>
      </c>
      <c r="J1255" s="2" t="s">
        <v>23</v>
      </c>
      <c r="K1255" s="2" t="s">
        <v>23</v>
      </c>
      <c r="M1255" s="2" t="s">
        <v>24</v>
      </c>
      <c r="N1255" s="2" t="s">
        <v>25</v>
      </c>
      <c r="O1255" s="2" t="s">
        <v>26</v>
      </c>
      <c r="P1255" s="51">
        <v>0</v>
      </c>
      <c r="Q1255" s="1" t="s">
        <v>6141</v>
      </c>
    </row>
    <row r="1256" spans="1:18">
      <c r="A1256" s="71">
        <v>27</v>
      </c>
      <c r="B1256" s="2" t="s">
        <v>6012</v>
      </c>
      <c r="C1256" s="71">
        <v>4</v>
      </c>
      <c r="D1256" s="2" t="s">
        <v>6140</v>
      </c>
      <c r="E1256" s="74">
        <v>0</v>
      </c>
      <c r="F1256" s="71">
        <v>1</v>
      </c>
      <c r="G1256" s="2" t="s">
        <v>6035</v>
      </c>
      <c r="H1256" s="73" t="s">
        <v>6153</v>
      </c>
      <c r="I1256" s="100" t="s">
        <v>6154</v>
      </c>
      <c r="J1256" s="2" t="s">
        <v>24</v>
      </c>
      <c r="K1256" s="2" t="s">
        <v>25</v>
      </c>
      <c r="L1256" s="2" t="s">
        <v>6036</v>
      </c>
      <c r="M1256" s="2" t="s">
        <v>24</v>
      </c>
      <c r="N1256" s="2" t="s">
        <v>25</v>
      </c>
      <c r="O1256" s="2" t="s">
        <v>6037</v>
      </c>
      <c r="P1256" s="51">
        <v>0</v>
      </c>
      <c r="Q1256" s="99" t="s">
        <v>6038</v>
      </c>
    </row>
    <row r="1257" spans="1:18">
      <c r="A1257" s="71">
        <v>27</v>
      </c>
      <c r="B1257" s="2" t="s">
        <v>6012</v>
      </c>
      <c r="C1257" s="71">
        <v>4</v>
      </c>
      <c r="D1257" s="2" t="s">
        <v>6140</v>
      </c>
      <c r="E1257" s="74">
        <v>0</v>
      </c>
      <c r="F1257" s="71">
        <v>2</v>
      </c>
      <c r="G1257" s="2" t="s">
        <v>6090</v>
      </c>
      <c r="H1257" s="73" t="s">
        <v>6155</v>
      </c>
      <c r="I1257" s="100" t="s">
        <v>6156</v>
      </c>
      <c r="J1257" s="2" t="s">
        <v>24</v>
      </c>
      <c r="K1257" s="2" t="s">
        <v>23</v>
      </c>
      <c r="M1257" s="2" t="s">
        <v>24</v>
      </c>
      <c r="N1257" s="2" t="s">
        <v>23</v>
      </c>
      <c r="P1257" s="51">
        <v>0</v>
      </c>
      <c r="Q1257" s="99" t="s">
        <v>6097</v>
      </c>
    </row>
    <row r="1258" spans="1:18">
      <c r="A1258" s="71">
        <v>27</v>
      </c>
      <c r="B1258" s="2" t="s">
        <v>6012</v>
      </c>
      <c r="C1258" s="71">
        <v>4</v>
      </c>
      <c r="D1258" s="2" t="s">
        <v>6140</v>
      </c>
      <c r="E1258" s="74">
        <v>0</v>
      </c>
      <c r="F1258" s="71">
        <v>3</v>
      </c>
      <c r="G1258" s="2" t="s">
        <v>1490</v>
      </c>
      <c r="H1258" s="73" t="s">
        <v>6157</v>
      </c>
      <c r="I1258" s="100" t="s">
        <v>6158</v>
      </c>
      <c r="J1258" s="2" t="s">
        <v>24</v>
      </c>
      <c r="K1258" s="2" t="s">
        <v>116</v>
      </c>
      <c r="L1258" s="16" t="s">
        <v>6158</v>
      </c>
      <c r="M1258" s="2" t="s">
        <v>24</v>
      </c>
      <c r="N1258" s="2" t="s">
        <v>116</v>
      </c>
      <c r="O1258" s="16" t="s">
        <v>6158</v>
      </c>
      <c r="P1258" s="51">
        <v>0</v>
      </c>
      <c r="Q1258" s="99" t="s">
        <v>1836</v>
      </c>
    </row>
    <row r="1259" spans="1:18">
      <c r="A1259" s="71">
        <v>27</v>
      </c>
      <c r="B1259" s="2" t="s">
        <v>6012</v>
      </c>
      <c r="C1259" s="71">
        <v>4</v>
      </c>
      <c r="D1259" s="2" t="s">
        <v>6140</v>
      </c>
      <c r="E1259" s="74">
        <v>0</v>
      </c>
      <c r="F1259" s="71">
        <v>4</v>
      </c>
      <c r="G1259" s="2" t="s">
        <v>1597</v>
      </c>
      <c r="H1259" s="73" t="s">
        <v>6159</v>
      </c>
      <c r="I1259" s="100" t="s">
        <v>6142</v>
      </c>
      <c r="J1259" s="2" t="s">
        <v>24</v>
      </c>
      <c r="K1259" s="2" t="s">
        <v>116</v>
      </c>
      <c r="L1259" s="16" t="s">
        <v>6142</v>
      </c>
      <c r="M1259" s="2" t="s">
        <v>24</v>
      </c>
      <c r="N1259" s="2" t="s">
        <v>116</v>
      </c>
      <c r="O1259" s="16" t="s">
        <v>6142</v>
      </c>
      <c r="P1259" s="51">
        <v>0</v>
      </c>
      <c r="Q1259" s="99" t="s">
        <v>356</v>
      </c>
      <c r="R1259" s="2" t="s">
        <v>6143</v>
      </c>
    </row>
    <row r="1260" spans="1:18">
      <c r="A1260" s="71">
        <v>27</v>
      </c>
      <c r="B1260" s="2" t="s">
        <v>6012</v>
      </c>
      <c r="C1260" s="71">
        <v>4</v>
      </c>
      <c r="D1260" s="2" t="s">
        <v>6140</v>
      </c>
      <c r="E1260" s="74">
        <v>0</v>
      </c>
      <c r="F1260" s="71">
        <v>5</v>
      </c>
      <c r="G1260" s="2" t="s">
        <v>1603</v>
      </c>
      <c r="H1260" s="73" t="s">
        <v>6160</v>
      </c>
      <c r="I1260" s="100" t="s">
        <v>6144</v>
      </c>
      <c r="J1260" s="2" t="s">
        <v>24</v>
      </c>
      <c r="K1260" s="2" t="s">
        <v>116</v>
      </c>
      <c r="L1260" s="16" t="s">
        <v>6144</v>
      </c>
      <c r="M1260" s="2" t="s">
        <v>24</v>
      </c>
      <c r="N1260" s="2" t="s">
        <v>116</v>
      </c>
      <c r="O1260" s="16" t="s">
        <v>6144</v>
      </c>
      <c r="P1260" s="51">
        <v>0</v>
      </c>
      <c r="Q1260" s="99" t="s">
        <v>6145</v>
      </c>
      <c r="R1260" s="6" t="s">
        <v>6146</v>
      </c>
    </row>
    <row r="1261" spans="1:18" ht="30">
      <c r="A1261" s="71">
        <v>27</v>
      </c>
      <c r="B1261" s="2" t="s">
        <v>6012</v>
      </c>
      <c r="C1261" s="71">
        <v>4</v>
      </c>
      <c r="D1261" s="2" t="s">
        <v>6140</v>
      </c>
      <c r="E1261" s="74">
        <v>0</v>
      </c>
      <c r="F1261" s="71">
        <v>6</v>
      </c>
      <c r="G1261" s="2" t="s">
        <v>310</v>
      </c>
      <c r="H1261" s="73" t="s">
        <v>6161</v>
      </c>
      <c r="I1261" s="100" t="s">
        <v>6162</v>
      </c>
      <c r="J1261" s="2" t="s">
        <v>24</v>
      </c>
      <c r="K1261" s="2" t="s">
        <v>206</v>
      </c>
      <c r="M1261" s="2" t="s">
        <v>24</v>
      </c>
      <c r="N1261" s="2" t="s">
        <v>206</v>
      </c>
      <c r="P1261" s="51">
        <v>0</v>
      </c>
      <c r="Q1261" s="99" t="s">
        <v>313</v>
      </c>
      <c r="R1261" s="6" t="s">
        <v>6147</v>
      </c>
    </row>
    <row r="1262" spans="1:18">
      <c r="A1262" s="71">
        <v>27</v>
      </c>
      <c r="B1262" s="2" t="s">
        <v>6012</v>
      </c>
      <c r="C1262" s="71">
        <v>4</v>
      </c>
      <c r="D1262" s="2" t="s">
        <v>6140</v>
      </c>
      <c r="E1262" s="74">
        <v>0</v>
      </c>
      <c r="F1262" s="71">
        <v>7</v>
      </c>
      <c r="G1262" s="2" t="s">
        <v>1612</v>
      </c>
      <c r="H1262" s="73" t="s">
        <v>6163</v>
      </c>
      <c r="I1262" s="100" t="s">
        <v>6164</v>
      </c>
      <c r="J1262" s="2" t="s">
        <v>24</v>
      </c>
      <c r="K1262" s="5" t="s">
        <v>139</v>
      </c>
      <c r="M1262" s="2" t="s">
        <v>24</v>
      </c>
      <c r="N1262" s="5" t="s">
        <v>139</v>
      </c>
      <c r="P1262" s="51">
        <v>0</v>
      </c>
      <c r="Q1262" s="99" t="s">
        <v>6148</v>
      </c>
    </row>
    <row r="1263" spans="1:18">
      <c r="A1263" s="71">
        <v>27</v>
      </c>
      <c r="B1263" s="2" t="s">
        <v>6012</v>
      </c>
      <c r="C1263" s="71">
        <v>4</v>
      </c>
      <c r="D1263" s="2" t="s">
        <v>6140</v>
      </c>
      <c r="E1263" s="74">
        <v>0</v>
      </c>
      <c r="F1263" s="71">
        <v>8</v>
      </c>
      <c r="G1263" s="2" t="s">
        <v>1618</v>
      </c>
      <c r="H1263" s="73" t="s">
        <v>6165</v>
      </c>
      <c r="I1263" s="100" t="s">
        <v>6166</v>
      </c>
      <c r="J1263" s="2" t="s">
        <v>24</v>
      </c>
      <c r="K1263" s="5" t="s">
        <v>139</v>
      </c>
      <c r="M1263" s="2" t="s">
        <v>24</v>
      </c>
      <c r="N1263" s="5" t="s">
        <v>139</v>
      </c>
      <c r="P1263" s="51">
        <v>0</v>
      </c>
      <c r="Q1263" s="99" t="s">
        <v>6149</v>
      </c>
    </row>
    <row r="1264" spans="1:18">
      <c r="A1264" s="71">
        <v>27</v>
      </c>
      <c r="B1264" s="2" t="s">
        <v>6012</v>
      </c>
      <c r="C1264" s="71">
        <v>4</v>
      </c>
      <c r="D1264" s="2" t="s">
        <v>6140</v>
      </c>
      <c r="E1264" s="74">
        <v>0</v>
      </c>
      <c r="F1264" s="71">
        <v>9</v>
      </c>
      <c r="G1264" s="2" t="s">
        <v>412</v>
      </c>
      <c r="H1264" s="73" t="s">
        <v>6167</v>
      </c>
      <c r="I1264" s="100" t="s">
        <v>6168</v>
      </c>
      <c r="J1264" s="2" t="s">
        <v>32</v>
      </c>
      <c r="K1264" s="2" t="s">
        <v>23</v>
      </c>
      <c r="M1264" s="2" t="s">
        <v>32</v>
      </c>
      <c r="N1264" s="2" t="s">
        <v>23</v>
      </c>
      <c r="P1264" s="51">
        <v>0</v>
      </c>
      <c r="Q1264" s="99" t="s">
        <v>6150</v>
      </c>
    </row>
    <row r="1265" spans="1:18">
      <c r="A1265" s="71">
        <v>27</v>
      </c>
      <c r="B1265" s="2" t="s">
        <v>6012</v>
      </c>
      <c r="C1265" s="71">
        <v>4</v>
      </c>
      <c r="D1265" s="2" t="s">
        <v>6140</v>
      </c>
      <c r="E1265" s="74">
        <v>0</v>
      </c>
      <c r="F1265" s="71">
        <v>10</v>
      </c>
      <c r="G1265" s="2" t="s">
        <v>2390</v>
      </c>
      <c r="H1265" s="73" t="s">
        <v>6169</v>
      </c>
      <c r="I1265" s="100" t="s">
        <v>6170</v>
      </c>
      <c r="J1265" s="2" t="s">
        <v>32</v>
      </c>
      <c r="K1265" s="2" t="s">
        <v>23</v>
      </c>
      <c r="M1265" s="2" t="s">
        <v>32</v>
      </c>
      <c r="N1265" s="2" t="s">
        <v>23</v>
      </c>
      <c r="P1265" s="51">
        <v>0</v>
      </c>
      <c r="Q1265" s="99" t="s">
        <v>6150</v>
      </c>
    </row>
    <row r="1266" spans="1:18">
      <c r="A1266" s="71">
        <v>27</v>
      </c>
      <c r="B1266" s="2" t="s">
        <v>6012</v>
      </c>
      <c r="C1266" s="71">
        <v>5</v>
      </c>
      <c r="D1266" s="2" t="s">
        <v>7687</v>
      </c>
      <c r="E1266" s="74">
        <v>0</v>
      </c>
      <c r="F1266" s="71">
        <v>0</v>
      </c>
      <c r="G1266" s="2" t="s">
        <v>20</v>
      </c>
      <c r="H1266" s="73" t="s">
        <v>6183</v>
      </c>
      <c r="I1266" s="76" t="s">
        <v>7732</v>
      </c>
      <c r="J1266" s="2" t="s">
        <v>23</v>
      </c>
      <c r="K1266" s="2" t="s">
        <v>23</v>
      </c>
      <c r="M1266" s="2" t="s">
        <v>24</v>
      </c>
      <c r="N1266" s="2" t="s">
        <v>25</v>
      </c>
      <c r="O1266" s="2" t="s">
        <v>26</v>
      </c>
      <c r="P1266" s="51">
        <v>0</v>
      </c>
      <c r="Q1266" s="1" t="s">
        <v>6178</v>
      </c>
    </row>
    <row r="1267" spans="1:18">
      <c r="A1267" s="71">
        <v>27</v>
      </c>
      <c r="B1267" s="2" t="s">
        <v>6012</v>
      </c>
      <c r="C1267" s="71">
        <v>5</v>
      </c>
      <c r="D1267" s="2" t="s">
        <v>7687</v>
      </c>
      <c r="E1267" s="74">
        <v>0</v>
      </c>
      <c r="F1267" s="71">
        <v>1</v>
      </c>
      <c r="G1267" s="2" t="s">
        <v>6035</v>
      </c>
      <c r="H1267" s="73" t="s">
        <v>6184</v>
      </c>
      <c r="I1267" s="100" t="s">
        <v>7733</v>
      </c>
      <c r="J1267" s="2" t="s">
        <v>24</v>
      </c>
      <c r="K1267" s="2" t="s">
        <v>25</v>
      </c>
      <c r="L1267" s="2" t="s">
        <v>6036</v>
      </c>
      <c r="M1267" s="2" t="s">
        <v>24</v>
      </c>
      <c r="N1267" s="2" t="s">
        <v>25</v>
      </c>
      <c r="O1267" s="2" t="s">
        <v>6037</v>
      </c>
      <c r="P1267" s="51">
        <v>0</v>
      </c>
      <c r="Q1267" s="99" t="s">
        <v>6038</v>
      </c>
    </row>
    <row r="1268" spans="1:18">
      <c r="A1268" s="71">
        <v>27</v>
      </c>
      <c r="B1268" s="2" t="s">
        <v>6012</v>
      </c>
      <c r="C1268" s="71">
        <v>5</v>
      </c>
      <c r="D1268" s="2" t="s">
        <v>7687</v>
      </c>
      <c r="E1268" s="74">
        <v>0</v>
      </c>
      <c r="F1268" s="71">
        <v>2</v>
      </c>
      <c r="G1268" s="2" t="s">
        <v>6090</v>
      </c>
      <c r="H1268" s="73" t="s">
        <v>6185</v>
      </c>
      <c r="I1268" s="100" t="s">
        <v>7734</v>
      </c>
      <c r="J1268" s="2" t="s">
        <v>24</v>
      </c>
      <c r="K1268" s="2" t="s">
        <v>23</v>
      </c>
      <c r="M1268" s="2" t="s">
        <v>24</v>
      </c>
      <c r="N1268" s="2" t="s">
        <v>23</v>
      </c>
      <c r="P1268" s="51">
        <v>0</v>
      </c>
      <c r="Q1268" s="99" t="s">
        <v>6097</v>
      </c>
    </row>
    <row r="1269" spans="1:18">
      <c r="A1269" s="71">
        <v>27</v>
      </c>
      <c r="B1269" s="2" t="s">
        <v>6012</v>
      </c>
      <c r="C1269" s="71">
        <v>5</v>
      </c>
      <c r="D1269" s="2" t="s">
        <v>7687</v>
      </c>
      <c r="E1269" s="74">
        <v>0</v>
      </c>
      <c r="F1269" s="71">
        <v>3</v>
      </c>
      <c r="G1269" s="2" t="s">
        <v>6175</v>
      </c>
      <c r="H1269" s="73" t="s">
        <v>6186</v>
      </c>
      <c r="I1269" s="100" t="s">
        <v>7735</v>
      </c>
      <c r="J1269" s="2" t="s">
        <v>24</v>
      </c>
      <c r="K1269" s="2" t="s">
        <v>23</v>
      </c>
      <c r="M1269" s="2" t="s">
        <v>24</v>
      </c>
      <c r="N1269" s="2" t="s">
        <v>23</v>
      </c>
      <c r="P1269" s="51">
        <v>0</v>
      </c>
      <c r="Q1269" s="99" t="s">
        <v>6179</v>
      </c>
    </row>
    <row r="1270" spans="1:18">
      <c r="A1270" s="71">
        <v>27</v>
      </c>
      <c r="B1270" s="2" t="s">
        <v>6012</v>
      </c>
      <c r="C1270" s="71">
        <v>5</v>
      </c>
      <c r="D1270" s="2" t="s">
        <v>7687</v>
      </c>
      <c r="E1270" s="74">
        <v>0</v>
      </c>
      <c r="F1270" s="71">
        <v>4</v>
      </c>
      <c r="G1270" s="2" t="s">
        <v>6176</v>
      </c>
      <c r="H1270" s="73" t="s">
        <v>6187</v>
      </c>
      <c r="I1270" s="100" t="s">
        <v>7736</v>
      </c>
      <c r="J1270" s="2" t="s">
        <v>23</v>
      </c>
      <c r="K1270" s="2" t="s">
        <v>23</v>
      </c>
      <c r="M1270" s="2" t="s">
        <v>24</v>
      </c>
      <c r="N1270" s="2" t="s">
        <v>23</v>
      </c>
      <c r="P1270" s="51">
        <v>0</v>
      </c>
      <c r="Q1270" s="99" t="s">
        <v>6180</v>
      </c>
    </row>
    <row r="1271" spans="1:18">
      <c r="A1271" s="71">
        <v>27</v>
      </c>
      <c r="B1271" s="2" t="s">
        <v>6012</v>
      </c>
      <c r="C1271" s="71">
        <v>5</v>
      </c>
      <c r="D1271" s="2" t="s">
        <v>7687</v>
      </c>
      <c r="E1271" s="74">
        <v>0</v>
      </c>
      <c r="F1271" s="71">
        <v>5</v>
      </c>
      <c r="G1271" s="2" t="s">
        <v>6177</v>
      </c>
      <c r="H1271" s="73" t="s">
        <v>6188</v>
      </c>
      <c r="I1271" s="100" t="s">
        <v>7737</v>
      </c>
      <c r="J1271" s="2" t="s">
        <v>24</v>
      </c>
      <c r="K1271" s="2" t="s">
        <v>116</v>
      </c>
      <c r="L1271" s="16" t="s">
        <v>6181</v>
      </c>
      <c r="M1271" s="2" t="s">
        <v>24</v>
      </c>
      <c r="N1271" s="2" t="s">
        <v>116</v>
      </c>
      <c r="O1271" s="16" t="s">
        <v>6181</v>
      </c>
      <c r="P1271" s="51">
        <v>0</v>
      </c>
      <c r="Q1271" s="99" t="s">
        <v>6182</v>
      </c>
      <c r="R1271" s="2" t="s">
        <v>6143</v>
      </c>
    </row>
    <row r="1272" spans="1:18">
      <c r="A1272" s="71">
        <v>27</v>
      </c>
      <c r="B1272" s="2" t="s">
        <v>6012</v>
      </c>
      <c r="C1272" s="71">
        <v>6</v>
      </c>
      <c r="D1272" s="2" t="s">
        <v>6189</v>
      </c>
      <c r="E1272" s="74">
        <v>0</v>
      </c>
      <c r="F1272" s="71">
        <v>0</v>
      </c>
      <c r="G1272" s="2" t="s">
        <v>20</v>
      </c>
      <c r="H1272" s="73" t="s">
        <v>6199</v>
      </c>
      <c r="I1272" s="76" t="s">
        <v>6200</v>
      </c>
      <c r="J1272" s="2" t="s">
        <v>23</v>
      </c>
      <c r="K1272" s="2" t="s">
        <v>23</v>
      </c>
      <c r="M1272" s="2" t="s">
        <v>24</v>
      </c>
      <c r="N1272" s="2" t="s">
        <v>25</v>
      </c>
      <c r="O1272" s="2" t="s">
        <v>26</v>
      </c>
      <c r="P1272" s="51">
        <v>0</v>
      </c>
      <c r="Q1272" s="1" t="s">
        <v>6191</v>
      </c>
    </row>
    <row r="1273" spans="1:18">
      <c r="A1273" s="71">
        <v>27</v>
      </c>
      <c r="B1273" s="2" t="s">
        <v>6012</v>
      </c>
      <c r="C1273" s="71">
        <v>6</v>
      </c>
      <c r="D1273" s="2" t="s">
        <v>6189</v>
      </c>
      <c r="E1273" s="74">
        <v>0</v>
      </c>
      <c r="F1273" s="71">
        <v>1</v>
      </c>
      <c r="G1273" s="2" t="s">
        <v>6035</v>
      </c>
      <c r="H1273" s="73" t="s">
        <v>6201</v>
      </c>
      <c r="I1273" s="100" t="s">
        <v>6202</v>
      </c>
      <c r="J1273" s="2" t="s">
        <v>24</v>
      </c>
      <c r="K1273" s="2" t="s">
        <v>25</v>
      </c>
      <c r="L1273" s="2" t="s">
        <v>6036</v>
      </c>
      <c r="M1273" s="2" t="s">
        <v>24</v>
      </c>
      <c r="N1273" s="2" t="s">
        <v>25</v>
      </c>
      <c r="O1273" s="2" t="s">
        <v>6037</v>
      </c>
      <c r="P1273" s="51">
        <v>0</v>
      </c>
      <c r="Q1273" s="99" t="s">
        <v>6038</v>
      </c>
      <c r="R1273" s="2" t="s">
        <v>6192</v>
      </c>
    </row>
    <row r="1274" spans="1:18">
      <c r="A1274" s="71">
        <v>27</v>
      </c>
      <c r="B1274" s="2" t="s">
        <v>6012</v>
      </c>
      <c r="C1274" s="71">
        <v>6</v>
      </c>
      <c r="D1274" s="2" t="s">
        <v>6189</v>
      </c>
      <c r="E1274" s="74">
        <v>0</v>
      </c>
      <c r="F1274" s="71">
        <v>2</v>
      </c>
      <c r="G1274" s="2" t="s">
        <v>6090</v>
      </c>
      <c r="H1274" s="73" t="s">
        <v>6203</v>
      </c>
      <c r="I1274" s="100" t="s">
        <v>6204</v>
      </c>
      <c r="J1274" s="2" t="s">
        <v>24</v>
      </c>
      <c r="K1274" s="2" t="s">
        <v>23</v>
      </c>
      <c r="M1274" s="2" t="s">
        <v>24</v>
      </c>
      <c r="N1274" s="2" t="s">
        <v>23</v>
      </c>
      <c r="P1274" s="51">
        <v>0</v>
      </c>
      <c r="Q1274" s="99" t="s">
        <v>6097</v>
      </c>
    </row>
    <row r="1275" spans="1:18">
      <c r="A1275" s="71">
        <v>27</v>
      </c>
      <c r="B1275" s="2" t="s">
        <v>6012</v>
      </c>
      <c r="C1275" s="71">
        <v>6</v>
      </c>
      <c r="D1275" s="2" t="s">
        <v>6189</v>
      </c>
      <c r="E1275" s="74">
        <v>0</v>
      </c>
      <c r="F1275" s="71">
        <v>3</v>
      </c>
      <c r="G1275" s="2" t="s">
        <v>6190</v>
      </c>
      <c r="H1275" s="73" t="s">
        <v>6205</v>
      </c>
      <c r="I1275" s="100" t="s">
        <v>6206</v>
      </c>
      <c r="J1275" s="2" t="s">
        <v>24</v>
      </c>
      <c r="K1275" s="2" t="s">
        <v>23</v>
      </c>
      <c r="M1275" s="2" t="s">
        <v>24</v>
      </c>
      <c r="N1275" s="2" t="s">
        <v>23</v>
      </c>
      <c r="P1275" s="51">
        <v>0</v>
      </c>
      <c r="Q1275" s="99" t="s">
        <v>6193</v>
      </c>
    </row>
    <row r="1276" spans="1:18">
      <c r="A1276" s="71">
        <v>27</v>
      </c>
      <c r="B1276" s="2" t="s">
        <v>6012</v>
      </c>
      <c r="C1276" s="71">
        <v>6</v>
      </c>
      <c r="D1276" s="2" t="s">
        <v>6189</v>
      </c>
      <c r="E1276" s="74">
        <v>0</v>
      </c>
      <c r="F1276" s="71">
        <v>4</v>
      </c>
      <c r="G1276" s="2" t="s">
        <v>6058</v>
      </c>
      <c r="H1276" s="73" t="s">
        <v>6207</v>
      </c>
      <c r="I1276" s="100" t="s">
        <v>6208</v>
      </c>
      <c r="J1276" s="2" t="s">
        <v>24</v>
      </c>
      <c r="K1276" s="2" t="s">
        <v>23</v>
      </c>
      <c r="L1276" s="2" t="s">
        <v>6194</v>
      </c>
      <c r="M1276" s="2" t="s">
        <v>24</v>
      </c>
      <c r="N1276" s="2" t="s">
        <v>23</v>
      </c>
      <c r="O1276" s="2" t="s">
        <v>6194</v>
      </c>
      <c r="P1276" s="51">
        <v>0</v>
      </c>
      <c r="Q1276" s="99" t="s">
        <v>6195</v>
      </c>
      <c r="R1276" s="2" t="s">
        <v>6196</v>
      </c>
    </row>
    <row r="1277" spans="1:18">
      <c r="A1277" s="71">
        <v>27</v>
      </c>
      <c r="B1277" s="2" t="s">
        <v>6012</v>
      </c>
      <c r="C1277" s="71">
        <v>6</v>
      </c>
      <c r="D1277" s="2" t="s">
        <v>6189</v>
      </c>
      <c r="E1277" s="74">
        <v>0</v>
      </c>
      <c r="F1277" s="71">
        <v>5</v>
      </c>
      <c r="G1277" s="2" t="s">
        <v>49</v>
      </c>
      <c r="H1277" s="73" t="s">
        <v>6209</v>
      </c>
      <c r="I1277" s="100" t="s">
        <v>6210</v>
      </c>
      <c r="J1277" s="2" t="s">
        <v>24</v>
      </c>
      <c r="K1277" s="2" t="s">
        <v>23</v>
      </c>
      <c r="L1277" s="2" t="s">
        <v>6197</v>
      </c>
      <c r="M1277" s="2" t="s">
        <v>24</v>
      </c>
      <c r="N1277" s="2" t="s">
        <v>23</v>
      </c>
      <c r="O1277" s="2" t="s">
        <v>6197</v>
      </c>
      <c r="P1277" s="51">
        <v>0</v>
      </c>
      <c r="Q1277" s="99" t="s">
        <v>6198</v>
      </c>
      <c r="R1277" s="2" t="s">
        <v>6196</v>
      </c>
    </row>
    <row r="1278" spans="1:18">
      <c r="A1278" s="71">
        <v>27</v>
      </c>
      <c r="B1278" s="2" t="s">
        <v>6012</v>
      </c>
      <c r="C1278" s="71">
        <v>6</v>
      </c>
      <c r="D1278" s="2" t="s">
        <v>6189</v>
      </c>
      <c r="E1278" s="74">
        <v>0</v>
      </c>
      <c r="F1278" s="71">
        <v>6</v>
      </c>
      <c r="G1278" s="2" t="s">
        <v>1612</v>
      </c>
      <c r="H1278" s="73" t="s">
        <v>6211</v>
      </c>
      <c r="I1278" s="100" t="s">
        <v>6212</v>
      </c>
      <c r="J1278" s="2" t="s">
        <v>24</v>
      </c>
      <c r="K1278" s="5" t="s">
        <v>139</v>
      </c>
      <c r="M1278" s="2" t="s">
        <v>24</v>
      </c>
      <c r="N1278" s="5" t="s">
        <v>139</v>
      </c>
      <c r="P1278" s="51">
        <v>0</v>
      </c>
      <c r="Q1278" s="99" t="s">
        <v>6148</v>
      </c>
    </row>
    <row r="1279" spans="1:18">
      <c r="A1279" s="71">
        <v>27</v>
      </c>
      <c r="B1279" s="2" t="s">
        <v>6012</v>
      </c>
      <c r="C1279" s="71">
        <v>6</v>
      </c>
      <c r="D1279" s="2" t="s">
        <v>6189</v>
      </c>
      <c r="E1279" s="74">
        <v>0</v>
      </c>
      <c r="F1279" s="71">
        <v>7</v>
      </c>
      <c r="G1279" s="2" t="s">
        <v>1618</v>
      </c>
      <c r="H1279" s="73" t="s">
        <v>6213</v>
      </c>
      <c r="I1279" s="100" t="s">
        <v>6214</v>
      </c>
      <c r="J1279" s="2" t="s">
        <v>24</v>
      </c>
      <c r="K1279" s="5" t="s">
        <v>139</v>
      </c>
      <c r="M1279" s="2" t="s">
        <v>24</v>
      </c>
      <c r="N1279" s="5" t="s">
        <v>139</v>
      </c>
      <c r="P1279" s="51">
        <v>0</v>
      </c>
      <c r="Q1279" s="99" t="s">
        <v>6149</v>
      </c>
    </row>
    <row r="1280" spans="1:18">
      <c r="A1280" s="71">
        <v>27</v>
      </c>
      <c r="B1280" s="2" t="s">
        <v>6012</v>
      </c>
      <c r="C1280" s="71">
        <v>7</v>
      </c>
      <c r="D1280" s="2" t="s">
        <v>7688</v>
      </c>
      <c r="E1280" s="74">
        <v>0</v>
      </c>
      <c r="F1280" s="71">
        <v>0</v>
      </c>
      <c r="G1280" s="2" t="s">
        <v>20</v>
      </c>
      <c r="H1280" s="73" t="s">
        <v>6225</v>
      </c>
      <c r="I1280" s="76" t="s">
        <v>7738</v>
      </c>
      <c r="J1280" s="2" t="s">
        <v>23</v>
      </c>
      <c r="K1280" s="2" t="s">
        <v>23</v>
      </c>
      <c r="M1280" s="2" t="s">
        <v>24</v>
      </c>
      <c r="N1280" s="2" t="s">
        <v>25</v>
      </c>
      <c r="O1280" s="2" t="s">
        <v>26</v>
      </c>
      <c r="P1280" s="51">
        <v>0</v>
      </c>
      <c r="Q1280" s="1" t="s">
        <v>6222</v>
      </c>
    </row>
    <row r="1281" spans="1:18">
      <c r="A1281" s="71">
        <v>27</v>
      </c>
      <c r="B1281" s="2" t="s">
        <v>6012</v>
      </c>
      <c r="C1281" s="71">
        <v>7</v>
      </c>
      <c r="D1281" s="2" t="s">
        <v>7688</v>
      </c>
      <c r="E1281" s="74">
        <v>0</v>
      </c>
      <c r="F1281" s="71">
        <v>1</v>
      </c>
      <c r="G1281" s="2" t="s">
        <v>6035</v>
      </c>
      <c r="H1281" s="73" t="s">
        <v>6226</v>
      </c>
      <c r="I1281" s="100" t="s">
        <v>7739</v>
      </c>
      <c r="J1281" s="2" t="s">
        <v>24</v>
      </c>
      <c r="K1281" s="2" t="s">
        <v>25</v>
      </c>
      <c r="L1281" s="2" t="s">
        <v>6036</v>
      </c>
      <c r="M1281" s="2" t="s">
        <v>24</v>
      </c>
      <c r="N1281" s="2" t="s">
        <v>25</v>
      </c>
      <c r="O1281" s="2" t="s">
        <v>6037</v>
      </c>
      <c r="P1281" s="51">
        <v>0</v>
      </c>
      <c r="Q1281" s="99" t="s">
        <v>6038</v>
      </c>
      <c r="R1281" s="2" t="s">
        <v>6192</v>
      </c>
    </row>
    <row r="1282" spans="1:18">
      <c r="A1282" s="71">
        <v>27</v>
      </c>
      <c r="B1282" s="2" t="s">
        <v>6012</v>
      </c>
      <c r="C1282" s="71">
        <v>7</v>
      </c>
      <c r="D1282" s="2" t="s">
        <v>7688</v>
      </c>
      <c r="E1282" s="74">
        <v>0</v>
      </c>
      <c r="F1282" s="71">
        <v>2</v>
      </c>
      <c r="G1282" s="2" t="s">
        <v>6090</v>
      </c>
      <c r="H1282" s="73" t="s">
        <v>6227</v>
      </c>
      <c r="I1282" s="100" t="s">
        <v>7740</v>
      </c>
      <c r="J1282" s="2" t="s">
        <v>24</v>
      </c>
      <c r="K1282" s="2" t="s">
        <v>23</v>
      </c>
      <c r="M1282" s="2" t="s">
        <v>24</v>
      </c>
      <c r="N1282" s="2" t="s">
        <v>23</v>
      </c>
      <c r="P1282" s="51">
        <v>0</v>
      </c>
      <c r="Q1282" s="99" t="s">
        <v>6097</v>
      </c>
    </row>
    <row r="1283" spans="1:18">
      <c r="A1283" s="71">
        <v>27</v>
      </c>
      <c r="B1283" s="2" t="s">
        <v>6012</v>
      </c>
      <c r="C1283" s="71">
        <v>7</v>
      </c>
      <c r="D1283" s="2" t="s">
        <v>7688</v>
      </c>
      <c r="E1283" s="74">
        <v>0</v>
      </c>
      <c r="F1283" s="71">
        <v>3</v>
      </c>
      <c r="G1283" s="2" t="s">
        <v>6190</v>
      </c>
      <c r="H1283" s="73" t="s">
        <v>6228</v>
      </c>
      <c r="I1283" s="100" t="s">
        <v>7741</v>
      </c>
      <c r="J1283" s="2" t="s">
        <v>24</v>
      </c>
      <c r="K1283" s="2" t="s">
        <v>23</v>
      </c>
      <c r="M1283" s="2" t="s">
        <v>24</v>
      </c>
      <c r="N1283" s="2" t="s">
        <v>23</v>
      </c>
      <c r="P1283" s="51">
        <v>0</v>
      </c>
      <c r="Q1283" s="99" t="s">
        <v>6193</v>
      </c>
    </row>
    <row r="1284" spans="1:18">
      <c r="A1284" s="71">
        <v>27</v>
      </c>
      <c r="B1284" s="2" t="s">
        <v>6012</v>
      </c>
      <c r="C1284" s="71">
        <v>7</v>
      </c>
      <c r="D1284" s="2" t="s">
        <v>7688</v>
      </c>
      <c r="E1284" s="74">
        <v>0</v>
      </c>
      <c r="F1284" s="71">
        <v>4</v>
      </c>
      <c r="G1284" s="2" t="s">
        <v>6215</v>
      </c>
      <c r="H1284" s="73" t="s">
        <v>6229</v>
      </c>
      <c r="I1284" s="100" t="s">
        <v>7742</v>
      </c>
      <c r="J1284" s="2" t="s">
        <v>24</v>
      </c>
      <c r="K1284" s="2" t="s">
        <v>116</v>
      </c>
      <c r="L1284" s="16" t="s">
        <v>6223</v>
      </c>
      <c r="M1284" s="2" t="s">
        <v>24</v>
      </c>
      <c r="N1284" s="2" t="s">
        <v>116</v>
      </c>
      <c r="O1284" s="16" t="s">
        <v>6223</v>
      </c>
      <c r="P1284" s="51">
        <v>0</v>
      </c>
      <c r="Q1284" s="99" t="s">
        <v>1794</v>
      </c>
      <c r="R1284" s="2" t="s">
        <v>6224</v>
      </c>
    </row>
    <row r="1285" spans="1:18">
      <c r="A1285" s="71">
        <v>27</v>
      </c>
      <c r="B1285" s="2" t="s">
        <v>6012</v>
      </c>
      <c r="C1285" s="71">
        <v>7</v>
      </c>
      <c r="D1285" s="2" t="s">
        <v>7688</v>
      </c>
      <c r="E1285" s="74">
        <v>0</v>
      </c>
      <c r="F1285" s="71">
        <v>5</v>
      </c>
      <c r="G1285" s="2" t="s">
        <v>6216</v>
      </c>
      <c r="H1285" s="73" t="s">
        <v>6230</v>
      </c>
      <c r="I1285" s="100" t="s">
        <v>7743</v>
      </c>
      <c r="J1285" s="2" t="s">
        <v>24</v>
      </c>
      <c r="K1285" s="2" t="s">
        <v>116</v>
      </c>
      <c r="L1285" s="16" t="s">
        <v>6223</v>
      </c>
      <c r="M1285" s="2" t="s">
        <v>24</v>
      </c>
      <c r="N1285" s="2" t="s">
        <v>116</v>
      </c>
      <c r="O1285" s="16" t="s">
        <v>6223</v>
      </c>
      <c r="P1285" s="51">
        <v>0</v>
      </c>
      <c r="Q1285" s="99" t="s">
        <v>1798</v>
      </c>
    </row>
    <row r="1286" spans="1:18">
      <c r="A1286" s="71">
        <v>27</v>
      </c>
      <c r="B1286" s="2" t="s">
        <v>6012</v>
      </c>
      <c r="C1286" s="71">
        <v>7</v>
      </c>
      <c r="D1286" s="2" t="s">
        <v>7688</v>
      </c>
      <c r="E1286" s="74">
        <v>0</v>
      </c>
      <c r="F1286" s="71">
        <v>6</v>
      </c>
      <c r="G1286" s="2" t="s">
        <v>6217</v>
      </c>
      <c r="H1286" s="73" t="s">
        <v>6231</v>
      </c>
      <c r="I1286" s="100" t="s">
        <v>7744</v>
      </c>
      <c r="J1286" s="2" t="s">
        <v>24</v>
      </c>
      <c r="K1286" s="2" t="s">
        <v>116</v>
      </c>
      <c r="L1286" s="16" t="s">
        <v>6223</v>
      </c>
      <c r="M1286" s="2" t="s">
        <v>24</v>
      </c>
      <c r="N1286" s="2" t="s">
        <v>116</v>
      </c>
      <c r="O1286" s="16" t="s">
        <v>6223</v>
      </c>
      <c r="P1286" s="51">
        <v>0</v>
      </c>
      <c r="Q1286" s="99" t="s">
        <v>1802</v>
      </c>
    </row>
    <row r="1287" spans="1:18">
      <c r="A1287" s="71">
        <v>27</v>
      </c>
      <c r="B1287" s="2" t="s">
        <v>6012</v>
      </c>
      <c r="C1287" s="71">
        <v>7</v>
      </c>
      <c r="D1287" s="2" t="s">
        <v>7688</v>
      </c>
      <c r="E1287" s="74">
        <v>0</v>
      </c>
      <c r="F1287" s="71">
        <v>7</v>
      </c>
      <c r="G1287" s="2" t="s">
        <v>6218</v>
      </c>
      <c r="H1287" s="73" t="s">
        <v>6232</v>
      </c>
      <c r="I1287" s="100" t="s">
        <v>7745</v>
      </c>
      <c r="J1287" s="2" t="s">
        <v>24</v>
      </c>
      <c r="K1287" s="2" t="s">
        <v>116</v>
      </c>
      <c r="L1287" s="16" t="s">
        <v>6223</v>
      </c>
      <c r="M1287" s="2" t="s">
        <v>24</v>
      </c>
      <c r="N1287" s="2" t="s">
        <v>116</v>
      </c>
      <c r="O1287" s="16" t="s">
        <v>6223</v>
      </c>
      <c r="P1287" s="51">
        <v>0</v>
      </c>
      <c r="Q1287" s="99" t="s">
        <v>1806</v>
      </c>
    </row>
    <row r="1288" spans="1:18">
      <c r="A1288" s="71">
        <v>27</v>
      </c>
      <c r="B1288" s="2" t="s">
        <v>6012</v>
      </c>
      <c r="C1288" s="71">
        <v>7</v>
      </c>
      <c r="D1288" s="2" t="s">
        <v>7688</v>
      </c>
      <c r="E1288" s="74">
        <v>0</v>
      </c>
      <c r="F1288" s="71">
        <v>8</v>
      </c>
      <c r="G1288" s="2" t="s">
        <v>6219</v>
      </c>
      <c r="H1288" s="73" t="s">
        <v>6233</v>
      </c>
      <c r="I1288" s="100" t="s">
        <v>7746</v>
      </c>
      <c r="J1288" s="2" t="s">
        <v>24</v>
      </c>
      <c r="K1288" s="2" t="s">
        <v>116</v>
      </c>
      <c r="L1288" s="16" t="s">
        <v>6223</v>
      </c>
      <c r="M1288" s="2" t="s">
        <v>24</v>
      </c>
      <c r="N1288" s="2" t="s">
        <v>116</v>
      </c>
      <c r="O1288" s="16" t="s">
        <v>6223</v>
      </c>
      <c r="P1288" s="51">
        <v>0</v>
      </c>
      <c r="Q1288" s="99" t="s">
        <v>1809</v>
      </c>
    </row>
    <row r="1289" spans="1:18">
      <c r="A1289" s="71">
        <v>27</v>
      </c>
      <c r="B1289" s="2" t="s">
        <v>6012</v>
      </c>
      <c r="C1289" s="71">
        <v>7</v>
      </c>
      <c r="D1289" s="2" t="s">
        <v>7688</v>
      </c>
      <c r="E1289" s="74">
        <v>0</v>
      </c>
      <c r="F1289" s="71">
        <v>9</v>
      </c>
      <c r="G1289" s="2" t="s">
        <v>6220</v>
      </c>
      <c r="H1289" s="73" t="s">
        <v>6234</v>
      </c>
      <c r="I1289" s="100" t="s">
        <v>7747</v>
      </c>
      <c r="J1289" s="2" t="s">
        <v>24</v>
      </c>
      <c r="K1289" s="2" t="s">
        <v>116</v>
      </c>
      <c r="L1289" s="16" t="s">
        <v>6223</v>
      </c>
      <c r="M1289" s="2" t="s">
        <v>24</v>
      </c>
      <c r="N1289" s="2" t="s">
        <v>116</v>
      </c>
      <c r="O1289" s="16" t="s">
        <v>6223</v>
      </c>
      <c r="P1289" s="51">
        <v>0</v>
      </c>
      <c r="Q1289" s="99" t="s">
        <v>1813</v>
      </c>
    </row>
    <row r="1290" spans="1:18">
      <c r="A1290" s="71">
        <v>27</v>
      </c>
      <c r="B1290" s="2" t="s">
        <v>6012</v>
      </c>
      <c r="C1290" s="71">
        <v>7</v>
      </c>
      <c r="D1290" s="2" t="s">
        <v>7688</v>
      </c>
      <c r="E1290" s="74">
        <v>0</v>
      </c>
      <c r="F1290" s="71">
        <v>10</v>
      </c>
      <c r="G1290" s="2" t="s">
        <v>6221</v>
      </c>
      <c r="H1290" s="73" t="s">
        <v>6235</v>
      </c>
      <c r="I1290" s="100" t="s">
        <v>7748</v>
      </c>
      <c r="J1290" s="2" t="s">
        <v>24</v>
      </c>
      <c r="K1290" s="2" t="s">
        <v>116</v>
      </c>
      <c r="L1290" s="16" t="s">
        <v>6223</v>
      </c>
      <c r="M1290" s="2" t="s">
        <v>24</v>
      </c>
      <c r="N1290" s="2" t="s">
        <v>116</v>
      </c>
      <c r="O1290" s="16" t="s">
        <v>6223</v>
      </c>
      <c r="P1290" s="51">
        <v>0</v>
      </c>
      <c r="Q1290" s="99" t="s">
        <v>1817</v>
      </c>
    </row>
    <row r="1291" spans="1:18">
      <c r="A1291" s="71">
        <v>27</v>
      </c>
      <c r="B1291" s="2" t="s">
        <v>6012</v>
      </c>
      <c r="C1291" s="71">
        <v>8</v>
      </c>
      <c r="D1291" s="2" t="s">
        <v>6238</v>
      </c>
      <c r="E1291" s="74">
        <v>0</v>
      </c>
      <c r="F1291" s="71">
        <v>0</v>
      </c>
      <c r="G1291" s="2" t="s">
        <v>20</v>
      </c>
      <c r="H1291" s="73" t="s">
        <v>6250</v>
      </c>
      <c r="I1291" s="76" t="s">
        <v>6251</v>
      </c>
      <c r="J1291" s="2" t="s">
        <v>23</v>
      </c>
      <c r="K1291" s="2" t="s">
        <v>23</v>
      </c>
      <c r="M1291" s="2" t="s">
        <v>24</v>
      </c>
      <c r="N1291" s="2" t="s">
        <v>25</v>
      </c>
      <c r="O1291" s="2" t="s">
        <v>26</v>
      </c>
      <c r="P1291" s="51">
        <v>0</v>
      </c>
      <c r="Q1291" s="1" t="s">
        <v>6242</v>
      </c>
    </row>
    <row r="1292" spans="1:18">
      <c r="A1292" s="71">
        <v>27</v>
      </c>
      <c r="B1292" s="2" t="s">
        <v>6012</v>
      </c>
      <c r="C1292" s="71">
        <v>8</v>
      </c>
      <c r="D1292" s="2" t="s">
        <v>6238</v>
      </c>
      <c r="E1292" s="74">
        <v>0</v>
      </c>
      <c r="F1292" s="71">
        <v>1</v>
      </c>
      <c r="G1292" s="2" t="s">
        <v>6035</v>
      </c>
      <c r="H1292" s="73" t="s">
        <v>6252</v>
      </c>
      <c r="I1292" s="100" t="s">
        <v>6253</v>
      </c>
      <c r="J1292" s="2" t="s">
        <v>24</v>
      </c>
      <c r="K1292" s="2" t="s">
        <v>25</v>
      </c>
      <c r="L1292" s="2" t="s">
        <v>6036</v>
      </c>
      <c r="M1292" s="2" t="s">
        <v>24</v>
      </c>
      <c r="N1292" s="2" t="s">
        <v>25</v>
      </c>
      <c r="O1292" s="2" t="s">
        <v>6037</v>
      </c>
      <c r="P1292" s="51">
        <v>0</v>
      </c>
      <c r="Q1292" s="99" t="s">
        <v>6038</v>
      </c>
    </row>
    <row r="1293" spans="1:18">
      <c r="A1293" s="71">
        <v>27</v>
      </c>
      <c r="B1293" s="2" t="s">
        <v>6012</v>
      </c>
      <c r="C1293" s="71">
        <v>8</v>
      </c>
      <c r="D1293" s="2" t="s">
        <v>6238</v>
      </c>
      <c r="E1293" s="74">
        <v>0</v>
      </c>
      <c r="F1293" s="71">
        <v>2</v>
      </c>
      <c r="G1293" s="2" t="s">
        <v>6090</v>
      </c>
      <c r="H1293" s="73" t="s">
        <v>6254</v>
      </c>
      <c r="I1293" s="100" t="s">
        <v>6255</v>
      </c>
      <c r="J1293" s="2" t="s">
        <v>24</v>
      </c>
      <c r="K1293" s="2" t="s">
        <v>23</v>
      </c>
      <c r="M1293" s="2" t="s">
        <v>24</v>
      </c>
      <c r="N1293" s="2" t="s">
        <v>23</v>
      </c>
      <c r="P1293" s="51">
        <v>0</v>
      </c>
      <c r="Q1293" s="99" t="s">
        <v>6097</v>
      </c>
    </row>
    <row r="1294" spans="1:18">
      <c r="A1294" s="71">
        <v>27</v>
      </c>
      <c r="B1294" s="2" t="s">
        <v>6012</v>
      </c>
      <c r="C1294" s="71">
        <v>8</v>
      </c>
      <c r="D1294" s="2" t="s">
        <v>6238</v>
      </c>
      <c r="E1294" s="74">
        <v>0</v>
      </c>
      <c r="F1294" s="71">
        <v>3</v>
      </c>
      <c r="G1294" s="2" t="s">
        <v>273</v>
      </c>
      <c r="H1294" s="73" t="s">
        <v>6256</v>
      </c>
      <c r="I1294" s="100" t="s">
        <v>6257</v>
      </c>
      <c r="J1294" s="2" t="s">
        <v>24</v>
      </c>
      <c r="K1294" s="5" t="s">
        <v>139</v>
      </c>
      <c r="M1294" s="2" t="s">
        <v>24</v>
      </c>
      <c r="N1294" s="5" t="s">
        <v>139</v>
      </c>
      <c r="P1294" s="51">
        <v>0</v>
      </c>
      <c r="Q1294" s="99" t="s">
        <v>6243</v>
      </c>
    </row>
    <row r="1295" spans="1:18">
      <c r="A1295" s="71">
        <v>27</v>
      </c>
      <c r="B1295" s="2" t="s">
        <v>6012</v>
      </c>
      <c r="C1295" s="71">
        <v>9</v>
      </c>
      <c r="D1295" s="2" t="s">
        <v>6244</v>
      </c>
      <c r="E1295" s="74">
        <v>0</v>
      </c>
      <c r="F1295" s="71">
        <v>0</v>
      </c>
      <c r="G1295" s="2" t="s">
        <v>20</v>
      </c>
      <c r="H1295" s="73" t="s">
        <v>6258</v>
      </c>
      <c r="I1295" s="76" t="s">
        <v>6259</v>
      </c>
      <c r="J1295" s="2" t="s">
        <v>23</v>
      </c>
      <c r="K1295" s="2" t="s">
        <v>23</v>
      </c>
      <c r="M1295" s="2" t="s">
        <v>24</v>
      </c>
      <c r="N1295" s="2" t="s">
        <v>25</v>
      </c>
      <c r="O1295" s="2" t="s">
        <v>26</v>
      </c>
      <c r="P1295" s="51">
        <v>0</v>
      </c>
      <c r="Q1295" s="1" t="s">
        <v>6245</v>
      </c>
    </row>
    <row r="1296" spans="1:18">
      <c r="A1296" s="71">
        <v>27</v>
      </c>
      <c r="B1296" s="2" t="s">
        <v>6012</v>
      </c>
      <c r="C1296" s="71">
        <v>9</v>
      </c>
      <c r="D1296" s="2" t="s">
        <v>6244</v>
      </c>
      <c r="E1296" s="74">
        <v>0</v>
      </c>
      <c r="F1296" s="71">
        <v>1</v>
      </c>
      <c r="G1296" s="2" t="s">
        <v>6035</v>
      </c>
      <c r="H1296" s="73" t="s">
        <v>6260</v>
      </c>
      <c r="I1296" s="100" t="s">
        <v>6261</v>
      </c>
      <c r="J1296" s="2" t="s">
        <v>24</v>
      </c>
      <c r="K1296" s="2" t="s">
        <v>25</v>
      </c>
      <c r="L1296" s="2" t="s">
        <v>6036</v>
      </c>
      <c r="M1296" s="2" t="s">
        <v>24</v>
      </c>
      <c r="N1296" s="2" t="s">
        <v>25</v>
      </c>
      <c r="O1296" s="2" t="s">
        <v>6037</v>
      </c>
      <c r="P1296" s="51">
        <v>0</v>
      </c>
      <c r="Q1296" s="99" t="s">
        <v>6038</v>
      </c>
    </row>
    <row r="1297" spans="1:18">
      <c r="A1297" s="71">
        <v>27</v>
      </c>
      <c r="B1297" s="2" t="s">
        <v>6012</v>
      </c>
      <c r="C1297" s="71">
        <v>9</v>
      </c>
      <c r="D1297" s="2" t="s">
        <v>6244</v>
      </c>
      <c r="E1297" s="74">
        <v>0</v>
      </c>
      <c r="F1297" s="71">
        <v>2</v>
      </c>
      <c r="G1297" s="2" t="s">
        <v>6090</v>
      </c>
      <c r="H1297" s="73" t="s">
        <v>6262</v>
      </c>
      <c r="I1297" s="100" t="s">
        <v>6263</v>
      </c>
      <c r="J1297" s="2" t="s">
        <v>24</v>
      </c>
      <c r="K1297" s="2" t="s">
        <v>23</v>
      </c>
      <c r="M1297" s="2" t="s">
        <v>24</v>
      </c>
      <c r="N1297" s="2" t="s">
        <v>23</v>
      </c>
      <c r="P1297" s="51">
        <v>0</v>
      </c>
      <c r="Q1297" s="99" t="s">
        <v>6097</v>
      </c>
    </row>
    <row r="1298" spans="1:18">
      <c r="A1298" s="71">
        <v>27</v>
      </c>
      <c r="B1298" s="2" t="s">
        <v>6012</v>
      </c>
      <c r="C1298" s="71">
        <v>9</v>
      </c>
      <c r="D1298" s="2" t="s">
        <v>6244</v>
      </c>
      <c r="E1298" s="74">
        <v>0</v>
      </c>
      <c r="F1298" s="71">
        <v>3</v>
      </c>
      <c r="G1298" s="2" t="s">
        <v>1490</v>
      </c>
      <c r="H1298" s="73" t="s">
        <v>6264</v>
      </c>
      <c r="I1298" s="100" t="s">
        <v>6265</v>
      </c>
      <c r="J1298" s="2" t="s">
        <v>24</v>
      </c>
      <c r="K1298" s="2" t="s">
        <v>23</v>
      </c>
      <c r="L1298" s="2" t="s">
        <v>6098</v>
      </c>
      <c r="M1298" s="2" t="s">
        <v>24</v>
      </c>
      <c r="N1298" s="2" t="s">
        <v>23</v>
      </c>
      <c r="O1298" s="2" t="s">
        <v>6098</v>
      </c>
      <c r="P1298" s="51">
        <v>0</v>
      </c>
      <c r="Q1298" s="99" t="s">
        <v>6099</v>
      </c>
    </row>
    <row r="1299" spans="1:18">
      <c r="A1299" s="71">
        <v>27</v>
      </c>
      <c r="B1299" s="2" t="s">
        <v>6012</v>
      </c>
      <c r="C1299" s="71">
        <v>9</v>
      </c>
      <c r="D1299" s="2" t="s">
        <v>6244</v>
      </c>
      <c r="E1299" s="74">
        <v>0</v>
      </c>
      <c r="F1299" s="71">
        <v>4</v>
      </c>
      <c r="G1299" s="2" t="s">
        <v>6239</v>
      </c>
      <c r="H1299" s="73" t="s">
        <v>6266</v>
      </c>
      <c r="I1299" s="100" t="s">
        <v>6267</v>
      </c>
      <c r="J1299" s="2" t="s">
        <v>24</v>
      </c>
      <c r="K1299" s="2" t="s">
        <v>206</v>
      </c>
      <c r="M1299" s="2" t="s">
        <v>24</v>
      </c>
      <c r="N1299" s="2" t="s">
        <v>206</v>
      </c>
      <c r="P1299" s="51">
        <v>0</v>
      </c>
      <c r="Q1299" s="99" t="s">
        <v>6246</v>
      </c>
    </row>
    <row r="1300" spans="1:18" ht="75">
      <c r="A1300" s="71">
        <v>27</v>
      </c>
      <c r="B1300" s="2" t="s">
        <v>6012</v>
      </c>
      <c r="C1300" s="71">
        <v>9</v>
      </c>
      <c r="D1300" s="2" t="s">
        <v>6244</v>
      </c>
      <c r="E1300" s="74">
        <v>0</v>
      </c>
      <c r="F1300" s="71">
        <v>5</v>
      </c>
      <c r="G1300" s="2" t="s">
        <v>6240</v>
      </c>
      <c r="H1300" s="73" t="s">
        <v>6268</v>
      </c>
      <c r="I1300" s="100" t="s">
        <v>6269</v>
      </c>
      <c r="J1300" s="2" t="s">
        <v>24</v>
      </c>
      <c r="K1300" s="2" t="s">
        <v>206</v>
      </c>
      <c r="M1300" s="2" t="s">
        <v>24</v>
      </c>
      <c r="N1300" s="2" t="s">
        <v>206</v>
      </c>
      <c r="P1300" s="51">
        <v>0</v>
      </c>
      <c r="Q1300" s="99" t="s">
        <v>6247</v>
      </c>
      <c r="R1300" s="6" t="s">
        <v>6248</v>
      </c>
    </row>
    <row r="1301" spans="1:18">
      <c r="A1301" s="71">
        <v>27</v>
      </c>
      <c r="B1301" s="2" t="s">
        <v>6012</v>
      </c>
      <c r="C1301" s="71">
        <v>9</v>
      </c>
      <c r="D1301" s="2" t="s">
        <v>6244</v>
      </c>
      <c r="E1301" s="74">
        <v>0</v>
      </c>
      <c r="F1301" s="71">
        <v>6</v>
      </c>
      <c r="G1301" s="2" t="s">
        <v>310</v>
      </c>
      <c r="H1301" s="73" t="s">
        <v>6270</v>
      </c>
      <c r="I1301" s="100" t="s">
        <v>6271</v>
      </c>
      <c r="J1301" s="2" t="s">
        <v>24</v>
      </c>
      <c r="K1301" s="2" t="s">
        <v>206</v>
      </c>
      <c r="M1301" s="2" t="s">
        <v>24</v>
      </c>
      <c r="N1301" s="2" t="s">
        <v>206</v>
      </c>
      <c r="P1301" s="51">
        <v>0</v>
      </c>
      <c r="Q1301" s="99" t="s">
        <v>313</v>
      </c>
    </row>
    <row r="1302" spans="1:18">
      <c r="A1302" s="71">
        <v>27</v>
      </c>
      <c r="B1302" s="2" t="s">
        <v>6012</v>
      </c>
      <c r="C1302" s="71">
        <v>9</v>
      </c>
      <c r="D1302" s="2" t="s">
        <v>6244</v>
      </c>
      <c r="E1302" s="74">
        <v>0</v>
      </c>
      <c r="F1302" s="71">
        <v>7</v>
      </c>
      <c r="G1302" s="2" t="s">
        <v>6241</v>
      </c>
      <c r="H1302" s="73" t="s">
        <v>6272</v>
      </c>
      <c r="I1302" s="100" t="s">
        <v>6273</v>
      </c>
      <c r="J1302" s="2" t="s">
        <v>24</v>
      </c>
      <c r="K1302" s="2" t="s">
        <v>206</v>
      </c>
      <c r="M1302" s="2" t="s">
        <v>24</v>
      </c>
      <c r="N1302" s="2" t="s">
        <v>206</v>
      </c>
      <c r="P1302" s="51">
        <v>0</v>
      </c>
      <c r="Q1302" s="99" t="s">
        <v>6249</v>
      </c>
    </row>
    <row r="1303" spans="1:18">
      <c r="A1303" s="71">
        <v>27</v>
      </c>
      <c r="B1303" s="2" t="s">
        <v>6012</v>
      </c>
      <c r="C1303" s="71">
        <v>9</v>
      </c>
      <c r="D1303" s="2" t="s">
        <v>6244</v>
      </c>
      <c r="E1303" s="74">
        <v>0</v>
      </c>
      <c r="F1303" s="71">
        <v>8</v>
      </c>
      <c r="G1303" s="2" t="s">
        <v>6092</v>
      </c>
      <c r="H1303" s="73" t="s">
        <v>6274</v>
      </c>
      <c r="I1303" s="100" t="s">
        <v>6275</v>
      </c>
      <c r="J1303" s="2" t="s">
        <v>24</v>
      </c>
      <c r="K1303" s="5" t="s">
        <v>139</v>
      </c>
      <c r="L1303" s="2" t="s">
        <v>6104</v>
      </c>
      <c r="M1303" s="2" t="s">
        <v>24</v>
      </c>
      <c r="N1303" s="5" t="s">
        <v>139</v>
      </c>
      <c r="O1303" s="2" t="s">
        <v>6104</v>
      </c>
      <c r="P1303" s="51">
        <v>0</v>
      </c>
      <c r="Q1303" s="99" t="s">
        <v>6105</v>
      </c>
    </row>
    <row r="1304" spans="1:18">
      <c r="A1304" s="71">
        <v>27</v>
      </c>
      <c r="B1304" s="2" t="s">
        <v>6012</v>
      </c>
      <c r="C1304" s="71">
        <v>9</v>
      </c>
      <c r="D1304" s="2" t="s">
        <v>6244</v>
      </c>
      <c r="E1304" s="74">
        <v>0</v>
      </c>
      <c r="F1304" s="71">
        <v>9</v>
      </c>
      <c r="G1304" s="2" t="s">
        <v>6093</v>
      </c>
      <c r="H1304" s="73" t="s">
        <v>6276</v>
      </c>
      <c r="I1304" s="100" t="s">
        <v>6277</v>
      </c>
      <c r="J1304" s="2" t="s">
        <v>24</v>
      </c>
      <c r="K1304" s="5" t="s">
        <v>139</v>
      </c>
      <c r="L1304" s="2" t="s">
        <v>6104</v>
      </c>
      <c r="M1304" s="2" t="s">
        <v>24</v>
      </c>
      <c r="N1304" s="5" t="s">
        <v>139</v>
      </c>
      <c r="O1304" s="2" t="s">
        <v>6104</v>
      </c>
      <c r="P1304" s="51">
        <v>0</v>
      </c>
      <c r="Q1304" s="99" t="s">
        <v>6106</v>
      </c>
    </row>
    <row r="1305" spans="1:18">
      <c r="A1305" s="71">
        <v>27</v>
      </c>
      <c r="B1305" s="2" t="s">
        <v>6012</v>
      </c>
      <c r="C1305" s="71">
        <v>10</v>
      </c>
      <c r="D1305" s="2" t="s">
        <v>7689</v>
      </c>
      <c r="E1305" s="74">
        <v>0</v>
      </c>
      <c r="F1305" s="71">
        <v>0</v>
      </c>
      <c r="G1305" s="2" t="s">
        <v>20</v>
      </c>
      <c r="H1305" s="73" t="s">
        <v>6298</v>
      </c>
      <c r="I1305" s="76" t="s">
        <v>7749</v>
      </c>
      <c r="J1305" s="2" t="s">
        <v>23</v>
      </c>
      <c r="K1305" s="2" t="s">
        <v>23</v>
      </c>
      <c r="M1305" s="2" t="s">
        <v>24</v>
      </c>
      <c r="N1305" s="2" t="s">
        <v>25</v>
      </c>
      <c r="O1305" s="2" t="s">
        <v>26</v>
      </c>
      <c r="P1305" s="51">
        <v>0</v>
      </c>
      <c r="Q1305" s="1" t="s">
        <v>6284</v>
      </c>
    </row>
    <row r="1306" spans="1:18">
      <c r="A1306" s="71">
        <v>27</v>
      </c>
      <c r="B1306" s="2" t="s">
        <v>6012</v>
      </c>
      <c r="C1306" s="71">
        <v>10</v>
      </c>
      <c r="D1306" s="2" t="s">
        <v>7689</v>
      </c>
      <c r="E1306" s="74">
        <v>0</v>
      </c>
      <c r="F1306" s="71">
        <v>1</v>
      </c>
      <c r="G1306" s="2" t="s">
        <v>6035</v>
      </c>
      <c r="H1306" s="73" t="s">
        <v>6299</v>
      </c>
      <c r="I1306" s="100" t="s">
        <v>7750</v>
      </c>
      <c r="J1306" s="2" t="s">
        <v>24</v>
      </c>
      <c r="K1306" s="2" t="s">
        <v>25</v>
      </c>
      <c r="L1306" s="2" t="s">
        <v>6036</v>
      </c>
      <c r="M1306" s="2" t="s">
        <v>24</v>
      </c>
      <c r="N1306" s="2" t="s">
        <v>25</v>
      </c>
      <c r="O1306" s="2" t="s">
        <v>6037</v>
      </c>
      <c r="P1306" s="51">
        <v>0</v>
      </c>
      <c r="Q1306" s="99" t="s">
        <v>6038</v>
      </c>
    </row>
    <row r="1307" spans="1:18">
      <c r="A1307" s="71">
        <v>27</v>
      </c>
      <c r="B1307" s="2" t="s">
        <v>6012</v>
      </c>
      <c r="C1307" s="71">
        <v>10</v>
      </c>
      <c r="D1307" s="2" t="s">
        <v>7689</v>
      </c>
      <c r="E1307" s="74">
        <v>0</v>
      </c>
      <c r="F1307" s="71">
        <v>2</v>
      </c>
      <c r="G1307" s="2" t="s">
        <v>6090</v>
      </c>
      <c r="H1307" s="73" t="s">
        <v>6300</v>
      </c>
      <c r="I1307" s="100" t="s">
        <v>7751</v>
      </c>
      <c r="J1307" s="2" t="s">
        <v>24</v>
      </c>
      <c r="K1307" s="2" t="s">
        <v>23</v>
      </c>
      <c r="M1307" s="2" t="s">
        <v>24</v>
      </c>
      <c r="N1307" s="2" t="s">
        <v>23</v>
      </c>
      <c r="P1307" s="51">
        <v>0</v>
      </c>
      <c r="Q1307" s="99" t="s">
        <v>6097</v>
      </c>
    </row>
    <row r="1308" spans="1:18">
      <c r="A1308" s="71">
        <v>27</v>
      </c>
      <c r="B1308" s="2" t="s">
        <v>6012</v>
      </c>
      <c r="C1308" s="71">
        <v>10</v>
      </c>
      <c r="D1308" s="2" t="s">
        <v>7689</v>
      </c>
      <c r="E1308" s="74">
        <v>0</v>
      </c>
      <c r="F1308" s="71">
        <v>3</v>
      </c>
      <c r="G1308" s="2" t="s">
        <v>944</v>
      </c>
      <c r="H1308" s="73" t="s">
        <v>6301</v>
      </c>
      <c r="I1308" s="100" t="s">
        <v>7752</v>
      </c>
      <c r="J1308" s="2" t="s">
        <v>24</v>
      </c>
      <c r="K1308" s="2" t="s">
        <v>116</v>
      </c>
      <c r="L1308" s="16" t="s">
        <v>6285</v>
      </c>
      <c r="M1308" s="2" t="s">
        <v>24</v>
      </c>
      <c r="N1308" s="2" t="s">
        <v>116</v>
      </c>
      <c r="O1308" s="16" t="s">
        <v>6285</v>
      </c>
      <c r="P1308" s="51">
        <v>0</v>
      </c>
      <c r="Q1308" s="99" t="s">
        <v>947</v>
      </c>
    </row>
    <row r="1309" spans="1:18">
      <c r="A1309" s="71">
        <v>27</v>
      </c>
      <c r="B1309" s="2" t="s">
        <v>6012</v>
      </c>
      <c r="C1309" s="71">
        <v>10</v>
      </c>
      <c r="D1309" s="2" t="s">
        <v>7689</v>
      </c>
      <c r="E1309" s="74">
        <v>0</v>
      </c>
      <c r="F1309" s="71">
        <v>4</v>
      </c>
      <c r="G1309" s="2" t="s">
        <v>6177</v>
      </c>
      <c r="H1309" s="73" t="s">
        <v>6302</v>
      </c>
      <c r="I1309" s="100" t="s">
        <v>7753</v>
      </c>
      <c r="J1309" s="2" t="s">
        <v>24</v>
      </c>
      <c r="K1309" s="2" t="s">
        <v>25</v>
      </c>
      <c r="L1309" s="2" t="s">
        <v>6286</v>
      </c>
      <c r="M1309" s="2" t="s">
        <v>24</v>
      </c>
      <c r="N1309" s="2" t="s">
        <v>25</v>
      </c>
      <c r="O1309" s="2" t="s">
        <v>6286</v>
      </c>
      <c r="P1309" s="51">
        <v>0</v>
      </c>
      <c r="Q1309" s="99" t="s">
        <v>6182</v>
      </c>
    </row>
    <row r="1310" spans="1:18">
      <c r="A1310" s="71">
        <v>27</v>
      </c>
      <c r="B1310" s="2" t="s">
        <v>6012</v>
      </c>
      <c r="C1310" s="71">
        <v>10</v>
      </c>
      <c r="D1310" s="2" t="s">
        <v>7689</v>
      </c>
      <c r="E1310" s="74">
        <v>0</v>
      </c>
      <c r="F1310" s="71">
        <v>5</v>
      </c>
      <c r="G1310" s="2" t="s">
        <v>6278</v>
      </c>
      <c r="H1310" s="73" t="s">
        <v>6303</v>
      </c>
      <c r="I1310" s="100" t="s">
        <v>7754</v>
      </c>
      <c r="J1310" s="2" t="s">
        <v>24</v>
      </c>
      <c r="K1310" s="5" t="s">
        <v>139</v>
      </c>
      <c r="M1310" s="2" t="s">
        <v>24</v>
      </c>
      <c r="N1310" s="5" t="s">
        <v>139</v>
      </c>
      <c r="P1310" s="51">
        <v>0</v>
      </c>
      <c r="Q1310" s="99" t="s">
        <v>6287</v>
      </c>
    </row>
    <row r="1311" spans="1:18">
      <c r="A1311" s="71">
        <v>27</v>
      </c>
      <c r="B1311" s="2" t="s">
        <v>6012</v>
      </c>
      <c r="C1311" s="71">
        <v>10</v>
      </c>
      <c r="D1311" s="2" t="s">
        <v>7689</v>
      </c>
      <c r="E1311" s="74">
        <v>0</v>
      </c>
      <c r="F1311" s="71">
        <v>6</v>
      </c>
      <c r="G1311" s="2" t="s">
        <v>6279</v>
      </c>
      <c r="H1311" s="73" t="s">
        <v>6304</v>
      </c>
      <c r="I1311" s="100" t="s">
        <v>7755</v>
      </c>
      <c r="J1311" s="2" t="s">
        <v>24</v>
      </c>
      <c r="K1311" s="5" t="s">
        <v>139</v>
      </c>
      <c r="M1311" s="2" t="s">
        <v>24</v>
      </c>
      <c r="N1311" s="5" t="s">
        <v>139</v>
      </c>
      <c r="P1311" s="51">
        <v>0</v>
      </c>
      <c r="Q1311" s="99" t="s">
        <v>6288</v>
      </c>
    </row>
    <row r="1312" spans="1:18">
      <c r="A1312" s="71">
        <v>27</v>
      </c>
      <c r="B1312" s="2" t="s">
        <v>6012</v>
      </c>
      <c r="C1312" s="71">
        <v>10</v>
      </c>
      <c r="D1312" s="2" t="s">
        <v>7689</v>
      </c>
      <c r="E1312" s="74">
        <v>0</v>
      </c>
      <c r="F1312" s="71">
        <v>7</v>
      </c>
      <c r="G1312" s="2" t="s">
        <v>6280</v>
      </c>
      <c r="H1312" s="73" t="s">
        <v>6305</v>
      </c>
      <c r="I1312" s="100" t="s">
        <v>7756</v>
      </c>
      <c r="J1312" s="2" t="s">
        <v>24</v>
      </c>
      <c r="K1312" s="2" t="s">
        <v>25</v>
      </c>
      <c r="L1312" s="2" t="s">
        <v>6289</v>
      </c>
      <c r="M1312" s="2" t="s">
        <v>24</v>
      </c>
      <c r="N1312" s="2" t="s">
        <v>25</v>
      </c>
      <c r="O1312" s="2" t="s">
        <v>6289</v>
      </c>
      <c r="P1312" s="51">
        <v>0</v>
      </c>
      <c r="Q1312" s="107" t="s">
        <v>6290</v>
      </c>
      <c r="R1312" s="2" t="s">
        <v>6291</v>
      </c>
    </row>
    <row r="1313" spans="1:18">
      <c r="A1313" s="71">
        <v>27</v>
      </c>
      <c r="B1313" s="2" t="s">
        <v>6012</v>
      </c>
      <c r="C1313" s="71">
        <v>10</v>
      </c>
      <c r="D1313" s="2" t="s">
        <v>7689</v>
      </c>
      <c r="E1313" s="74">
        <v>0</v>
      </c>
      <c r="F1313" s="71">
        <v>8</v>
      </c>
      <c r="G1313" s="2" t="s">
        <v>6281</v>
      </c>
      <c r="H1313" s="73" t="s">
        <v>6306</v>
      </c>
      <c r="I1313" s="100" t="s">
        <v>7757</v>
      </c>
      <c r="J1313" s="2" t="s">
        <v>24</v>
      </c>
      <c r="K1313" s="2" t="s">
        <v>25</v>
      </c>
      <c r="L1313" s="2" t="s">
        <v>6292</v>
      </c>
      <c r="M1313" s="2" t="s">
        <v>24</v>
      </c>
      <c r="N1313" s="2" t="s">
        <v>25</v>
      </c>
      <c r="O1313" s="2" t="s">
        <v>6292</v>
      </c>
      <c r="P1313" s="51">
        <v>0</v>
      </c>
      <c r="Q1313" s="107" t="s">
        <v>6293</v>
      </c>
      <c r="R1313" s="2" t="s">
        <v>6294</v>
      </c>
    </row>
    <row r="1314" spans="1:18">
      <c r="A1314" s="71">
        <v>27</v>
      </c>
      <c r="B1314" s="2" t="s">
        <v>6012</v>
      </c>
      <c r="C1314" s="71">
        <v>10</v>
      </c>
      <c r="D1314" s="2" t="s">
        <v>7689</v>
      </c>
      <c r="E1314" s="74">
        <v>0</v>
      </c>
      <c r="F1314" s="71">
        <v>9</v>
      </c>
      <c r="G1314" s="2" t="s">
        <v>6282</v>
      </c>
      <c r="H1314" s="73" t="s">
        <v>6307</v>
      </c>
      <c r="I1314" s="100" t="s">
        <v>7758</v>
      </c>
      <c r="J1314" s="2" t="s">
        <v>24</v>
      </c>
      <c r="K1314" s="2" t="s">
        <v>25</v>
      </c>
      <c r="L1314" s="2" t="s">
        <v>6289</v>
      </c>
      <c r="M1314" s="2" t="s">
        <v>24</v>
      </c>
      <c r="N1314" s="2" t="s">
        <v>25</v>
      </c>
      <c r="O1314" s="2" t="s">
        <v>6289</v>
      </c>
      <c r="P1314" s="51">
        <v>0</v>
      </c>
      <c r="Q1314" s="107" t="s">
        <v>6295</v>
      </c>
      <c r="R1314" s="6" t="s">
        <v>6291</v>
      </c>
    </row>
    <row r="1315" spans="1:18">
      <c r="A1315" s="71">
        <v>27</v>
      </c>
      <c r="B1315" s="2" t="s">
        <v>6012</v>
      </c>
      <c r="C1315" s="71">
        <v>10</v>
      </c>
      <c r="D1315" s="2" t="s">
        <v>7689</v>
      </c>
      <c r="E1315" s="74">
        <v>0</v>
      </c>
      <c r="F1315" s="71">
        <v>10</v>
      </c>
      <c r="G1315" s="2" t="s">
        <v>6283</v>
      </c>
      <c r="H1315" s="73" t="s">
        <v>6308</v>
      </c>
      <c r="I1315" s="100" t="s">
        <v>7759</v>
      </c>
      <c r="J1315" s="2" t="s">
        <v>24</v>
      </c>
      <c r="K1315" s="2" t="s">
        <v>25</v>
      </c>
      <c r="L1315" s="2" t="s">
        <v>6296</v>
      </c>
      <c r="M1315" s="2" t="s">
        <v>24</v>
      </c>
      <c r="N1315" s="2" t="s">
        <v>25</v>
      </c>
      <c r="O1315" s="2" t="s">
        <v>6296</v>
      </c>
      <c r="P1315" s="51">
        <v>0</v>
      </c>
      <c r="Q1315" s="99" t="s">
        <v>6297</v>
      </c>
    </row>
    <row r="1316" spans="1:18">
      <c r="A1316" s="71">
        <v>27</v>
      </c>
      <c r="B1316" s="2" t="s">
        <v>6012</v>
      </c>
      <c r="C1316" s="71">
        <v>11</v>
      </c>
      <c r="D1316" s="2" t="s">
        <v>6312</v>
      </c>
      <c r="E1316" s="74">
        <v>0</v>
      </c>
      <c r="F1316" s="71">
        <v>0</v>
      </c>
      <c r="G1316" s="2" t="s">
        <v>20</v>
      </c>
      <c r="H1316" s="73" t="s">
        <v>6365</v>
      </c>
      <c r="I1316" s="76" t="s">
        <v>6366</v>
      </c>
      <c r="J1316" s="2" t="s">
        <v>23</v>
      </c>
      <c r="K1316" s="2" t="s">
        <v>23</v>
      </c>
      <c r="M1316" s="2" t="s">
        <v>24</v>
      </c>
      <c r="N1316" s="2" t="s">
        <v>25</v>
      </c>
      <c r="O1316" s="2" t="s">
        <v>26</v>
      </c>
      <c r="P1316" s="51">
        <v>0</v>
      </c>
      <c r="Q1316" s="1" t="s">
        <v>6313</v>
      </c>
    </row>
    <row r="1317" spans="1:18">
      <c r="A1317" s="71">
        <v>27</v>
      </c>
      <c r="B1317" s="2" t="s">
        <v>6012</v>
      </c>
      <c r="C1317" s="71">
        <v>11</v>
      </c>
      <c r="D1317" s="2" t="s">
        <v>6312</v>
      </c>
      <c r="E1317" s="74">
        <v>0</v>
      </c>
      <c r="F1317" s="71">
        <v>1</v>
      </c>
      <c r="G1317" s="2" t="s">
        <v>6035</v>
      </c>
      <c r="H1317" s="73" t="s">
        <v>6367</v>
      </c>
      <c r="I1317" s="100" t="s">
        <v>6368</v>
      </c>
      <c r="J1317" s="2" t="s">
        <v>24</v>
      </c>
      <c r="K1317" s="2" t="s">
        <v>25</v>
      </c>
      <c r="L1317" s="2" t="s">
        <v>6036</v>
      </c>
      <c r="M1317" s="2" t="s">
        <v>24</v>
      </c>
      <c r="N1317" s="2" t="s">
        <v>25</v>
      </c>
      <c r="O1317" s="2" t="s">
        <v>6037</v>
      </c>
      <c r="P1317" s="51">
        <v>0</v>
      </c>
      <c r="Q1317" s="99" t="s">
        <v>6038</v>
      </c>
    </row>
    <row r="1318" spans="1:18">
      <c r="A1318" s="71">
        <v>27</v>
      </c>
      <c r="B1318" s="2" t="s">
        <v>6012</v>
      </c>
      <c r="C1318" s="71">
        <v>11</v>
      </c>
      <c r="D1318" s="2" t="s">
        <v>6312</v>
      </c>
      <c r="E1318" s="74">
        <v>0</v>
      </c>
      <c r="F1318" s="71">
        <v>2</v>
      </c>
      <c r="G1318" s="2" t="s">
        <v>6090</v>
      </c>
      <c r="H1318" s="73" t="s">
        <v>6369</v>
      </c>
      <c r="I1318" s="100" t="s">
        <v>6370</v>
      </c>
      <c r="J1318" s="2" t="s">
        <v>24</v>
      </c>
      <c r="K1318" s="2" t="s">
        <v>23</v>
      </c>
      <c r="M1318" s="2" t="s">
        <v>24</v>
      </c>
      <c r="N1318" s="2" t="s">
        <v>23</v>
      </c>
      <c r="P1318" s="51">
        <v>0</v>
      </c>
      <c r="Q1318" s="99" t="s">
        <v>6097</v>
      </c>
    </row>
    <row r="1319" spans="1:18">
      <c r="A1319" s="71">
        <v>27</v>
      </c>
      <c r="B1319" s="2" t="s">
        <v>6012</v>
      </c>
      <c r="C1319" s="71">
        <v>11</v>
      </c>
      <c r="D1319" s="2" t="s">
        <v>6312</v>
      </c>
      <c r="E1319" s="74">
        <v>0</v>
      </c>
      <c r="F1319" s="71">
        <v>3</v>
      </c>
      <c r="G1319" s="2" t="s">
        <v>1490</v>
      </c>
      <c r="H1319" s="73" t="s">
        <v>6371</v>
      </c>
      <c r="I1319" s="100" t="s">
        <v>6372</v>
      </c>
      <c r="J1319" s="2" t="s">
        <v>24</v>
      </c>
      <c r="K1319" s="2" t="s">
        <v>23</v>
      </c>
      <c r="L1319" s="2" t="s">
        <v>6098</v>
      </c>
      <c r="M1319" s="2" t="s">
        <v>24</v>
      </c>
      <c r="N1319" s="2" t="s">
        <v>23</v>
      </c>
      <c r="O1319" s="2" t="s">
        <v>6098</v>
      </c>
      <c r="P1319" s="51">
        <v>0</v>
      </c>
      <c r="Q1319" s="99" t="s">
        <v>6099</v>
      </c>
    </row>
    <row r="1320" spans="1:18">
      <c r="A1320" s="71">
        <v>27</v>
      </c>
      <c r="B1320" s="2" t="s">
        <v>6012</v>
      </c>
      <c r="C1320" s="71">
        <v>11</v>
      </c>
      <c r="D1320" s="2" t="s">
        <v>6312</v>
      </c>
      <c r="E1320" s="74">
        <v>0</v>
      </c>
      <c r="F1320" s="71">
        <v>4</v>
      </c>
      <c r="G1320" s="2" t="s">
        <v>6240</v>
      </c>
      <c r="H1320" s="73" t="s">
        <v>6373</v>
      </c>
      <c r="I1320" s="100" t="s">
        <v>6374</v>
      </c>
      <c r="J1320" s="2" t="s">
        <v>24</v>
      </c>
      <c r="K1320" s="2" t="s">
        <v>206</v>
      </c>
      <c r="M1320" s="2" t="s">
        <v>24</v>
      </c>
      <c r="N1320" s="2" t="s">
        <v>206</v>
      </c>
      <c r="P1320" s="51">
        <v>0</v>
      </c>
      <c r="Q1320" s="99" t="s">
        <v>6314</v>
      </c>
    </row>
    <row r="1321" spans="1:18">
      <c r="A1321" s="71">
        <v>27</v>
      </c>
      <c r="B1321" s="2" t="s">
        <v>6012</v>
      </c>
      <c r="C1321" s="71">
        <v>11</v>
      </c>
      <c r="D1321" s="2" t="s">
        <v>6312</v>
      </c>
      <c r="E1321" s="74">
        <v>0</v>
      </c>
      <c r="F1321" s="71">
        <v>5</v>
      </c>
      <c r="G1321" s="2" t="s">
        <v>6241</v>
      </c>
      <c r="H1321" s="73" t="s">
        <v>6375</v>
      </c>
      <c r="I1321" s="100" t="s">
        <v>6376</v>
      </c>
      <c r="J1321" s="2" t="s">
        <v>24</v>
      </c>
      <c r="K1321" s="2" t="s">
        <v>206</v>
      </c>
      <c r="M1321" s="2" t="s">
        <v>24</v>
      </c>
      <c r="N1321" s="2" t="s">
        <v>206</v>
      </c>
      <c r="P1321" s="51">
        <v>0</v>
      </c>
      <c r="Q1321" s="99" t="s">
        <v>6315</v>
      </c>
    </row>
    <row r="1322" spans="1:18">
      <c r="A1322" s="71">
        <v>27</v>
      </c>
      <c r="B1322" s="2" t="s">
        <v>6012</v>
      </c>
      <c r="C1322" s="71">
        <v>11</v>
      </c>
      <c r="D1322" s="2" t="s">
        <v>6312</v>
      </c>
      <c r="E1322" s="74">
        <v>0</v>
      </c>
      <c r="F1322" s="71">
        <v>6</v>
      </c>
      <c r="G1322" s="2" t="s">
        <v>6092</v>
      </c>
      <c r="H1322" s="73" t="s">
        <v>6377</v>
      </c>
      <c r="I1322" s="100" t="s">
        <v>6378</v>
      </c>
      <c r="J1322" s="2" t="s">
        <v>24</v>
      </c>
      <c r="K1322" s="5" t="s">
        <v>139</v>
      </c>
      <c r="M1322" s="2" t="s">
        <v>24</v>
      </c>
      <c r="N1322" s="5" t="s">
        <v>139</v>
      </c>
      <c r="P1322" s="51">
        <v>0</v>
      </c>
      <c r="Q1322" s="99" t="s">
        <v>6105</v>
      </c>
    </row>
    <row r="1323" spans="1:18">
      <c r="A1323" s="71">
        <v>27</v>
      </c>
      <c r="B1323" s="2" t="s">
        <v>6012</v>
      </c>
      <c r="C1323" s="71">
        <v>11</v>
      </c>
      <c r="D1323" s="2" t="s">
        <v>6312</v>
      </c>
      <c r="E1323" s="74">
        <v>0</v>
      </c>
      <c r="F1323" s="71">
        <v>7</v>
      </c>
      <c r="G1323" s="2" t="s">
        <v>6093</v>
      </c>
      <c r="H1323" s="73" t="s">
        <v>6379</v>
      </c>
      <c r="I1323" s="100" t="s">
        <v>6380</v>
      </c>
      <c r="J1323" s="2" t="s">
        <v>24</v>
      </c>
      <c r="K1323" s="5" t="s">
        <v>139</v>
      </c>
      <c r="M1323" s="2" t="s">
        <v>24</v>
      </c>
      <c r="N1323" s="5" t="s">
        <v>139</v>
      </c>
      <c r="P1323" s="51">
        <v>0</v>
      </c>
      <c r="Q1323" s="99" t="s">
        <v>6106</v>
      </c>
    </row>
    <row r="1324" spans="1:18">
      <c r="A1324" s="71">
        <v>27</v>
      </c>
      <c r="B1324" s="2" t="s">
        <v>6012</v>
      </c>
      <c r="C1324" s="71">
        <v>11</v>
      </c>
      <c r="D1324" s="2" t="s">
        <v>6312</v>
      </c>
      <c r="E1324" s="74">
        <v>0</v>
      </c>
      <c r="F1324" s="71">
        <v>8</v>
      </c>
      <c r="G1324" s="2" t="s">
        <v>310</v>
      </c>
      <c r="H1324" s="73" t="s">
        <v>9120</v>
      </c>
      <c r="I1324" s="100" t="s">
        <v>9121</v>
      </c>
      <c r="J1324" s="2" t="s">
        <v>24</v>
      </c>
      <c r="K1324" s="2" t="s">
        <v>206</v>
      </c>
      <c r="M1324" s="2" t="s">
        <v>24</v>
      </c>
      <c r="N1324" s="2" t="s">
        <v>206</v>
      </c>
      <c r="P1324" s="51">
        <v>0</v>
      </c>
      <c r="Q1324" s="99" t="s">
        <v>313</v>
      </c>
    </row>
    <row r="1325" spans="1:18">
      <c r="A1325" s="71">
        <v>27</v>
      </c>
      <c r="B1325" s="2" t="s">
        <v>6012</v>
      </c>
      <c r="C1325" s="71">
        <v>12</v>
      </c>
      <c r="D1325" s="2" t="s">
        <v>6316</v>
      </c>
      <c r="E1325" s="74">
        <v>0</v>
      </c>
      <c r="F1325" s="71">
        <v>0</v>
      </c>
      <c r="G1325" s="2" t="s">
        <v>20</v>
      </c>
      <c r="H1325" s="73" t="s">
        <v>6381</v>
      </c>
      <c r="I1325" s="76" t="s">
        <v>6382</v>
      </c>
      <c r="J1325" s="2" t="s">
        <v>23</v>
      </c>
      <c r="K1325" s="2" t="s">
        <v>23</v>
      </c>
      <c r="M1325" s="2" t="s">
        <v>24</v>
      </c>
      <c r="N1325" s="2" t="s">
        <v>25</v>
      </c>
      <c r="O1325" s="2" t="s">
        <v>26</v>
      </c>
      <c r="P1325" s="51">
        <v>0</v>
      </c>
      <c r="Q1325" s="1" t="s">
        <v>6323</v>
      </c>
    </row>
    <row r="1326" spans="1:18">
      <c r="A1326" s="71">
        <v>27</v>
      </c>
      <c r="B1326" s="2" t="s">
        <v>6012</v>
      </c>
      <c r="C1326" s="71">
        <v>12</v>
      </c>
      <c r="D1326" s="2" t="s">
        <v>6316</v>
      </c>
      <c r="E1326" s="74">
        <v>0</v>
      </c>
      <c r="F1326" s="71">
        <v>1</v>
      </c>
      <c r="G1326" s="2" t="s">
        <v>6035</v>
      </c>
      <c r="H1326" s="73" t="s">
        <v>6383</v>
      </c>
      <c r="I1326" s="100" t="s">
        <v>6384</v>
      </c>
      <c r="J1326" s="2" t="s">
        <v>24</v>
      </c>
      <c r="K1326" s="2" t="s">
        <v>25</v>
      </c>
      <c r="L1326" s="2" t="s">
        <v>6036</v>
      </c>
      <c r="M1326" s="2" t="s">
        <v>24</v>
      </c>
      <c r="N1326" s="2" t="s">
        <v>25</v>
      </c>
      <c r="O1326" s="2" t="s">
        <v>6037</v>
      </c>
      <c r="P1326" s="51">
        <v>0</v>
      </c>
      <c r="Q1326" s="99" t="s">
        <v>6038</v>
      </c>
    </row>
    <row r="1327" spans="1:18">
      <c r="A1327" s="71">
        <v>27</v>
      </c>
      <c r="B1327" s="2" t="s">
        <v>6012</v>
      </c>
      <c r="C1327" s="71">
        <v>12</v>
      </c>
      <c r="D1327" s="2" t="s">
        <v>6316</v>
      </c>
      <c r="E1327" s="74">
        <v>0</v>
      </c>
      <c r="F1327" s="71">
        <v>2</v>
      </c>
      <c r="G1327" s="2" t="s">
        <v>6090</v>
      </c>
      <c r="H1327" s="73" t="s">
        <v>6385</v>
      </c>
      <c r="I1327" s="100" t="s">
        <v>6386</v>
      </c>
      <c r="J1327" s="2" t="s">
        <v>24</v>
      </c>
      <c r="K1327" s="2" t="s">
        <v>23</v>
      </c>
      <c r="M1327" s="2" t="s">
        <v>24</v>
      </c>
      <c r="N1327" s="2" t="s">
        <v>23</v>
      </c>
      <c r="P1327" s="51">
        <v>0</v>
      </c>
      <c r="Q1327" s="99" t="s">
        <v>6097</v>
      </c>
    </row>
    <row r="1328" spans="1:18">
      <c r="A1328" s="71">
        <v>27</v>
      </c>
      <c r="B1328" s="2" t="s">
        <v>6012</v>
      </c>
      <c r="C1328" s="71">
        <v>12</v>
      </c>
      <c r="D1328" s="2" t="s">
        <v>6316</v>
      </c>
      <c r="E1328" s="74">
        <v>0</v>
      </c>
      <c r="F1328" s="71">
        <v>3</v>
      </c>
      <c r="G1328" s="2" t="s">
        <v>6317</v>
      </c>
      <c r="H1328" s="73" t="s">
        <v>6387</v>
      </c>
      <c r="I1328" s="100" t="s">
        <v>6388</v>
      </c>
      <c r="J1328" s="2" t="s">
        <v>24</v>
      </c>
      <c r="K1328" s="2" t="s">
        <v>206</v>
      </c>
      <c r="M1328" s="2" t="s">
        <v>24</v>
      </c>
      <c r="N1328" s="2" t="s">
        <v>206</v>
      </c>
      <c r="P1328" s="51">
        <v>0</v>
      </c>
      <c r="Q1328" s="99" t="s">
        <v>6324</v>
      </c>
    </row>
    <row r="1329" spans="1:17">
      <c r="A1329" s="71">
        <v>27</v>
      </c>
      <c r="B1329" s="2" t="s">
        <v>6012</v>
      </c>
      <c r="C1329" s="71">
        <v>12</v>
      </c>
      <c r="D1329" s="2" t="s">
        <v>6316</v>
      </c>
      <c r="E1329" s="74">
        <v>0</v>
      </c>
      <c r="F1329" s="71">
        <v>4</v>
      </c>
      <c r="G1329" s="2" t="s">
        <v>6318</v>
      </c>
      <c r="H1329" s="73" t="s">
        <v>6389</v>
      </c>
      <c r="I1329" s="100" t="s">
        <v>6390</v>
      </c>
      <c r="J1329" s="2" t="s">
        <v>24</v>
      </c>
      <c r="K1329" s="2" t="s">
        <v>206</v>
      </c>
      <c r="M1329" s="2" t="s">
        <v>24</v>
      </c>
      <c r="N1329" s="2" t="s">
        <v>206</v>
      </c>
      <c r="P1329" s="51">
        <v>0</v>
      </c>
      <c r="Q1329" s="99" t="s">
        <v>6325</v>
      </c>
    </row>
    <row r="1330" spans="1:17">
      <c r="A1330" s="71">
        <v>27</v>
      </c>
      <c r="B1330" s="2" t="s">
        <v>6012</v>
      </c>
      <c r="C1330" s="71">
        <v>12</v>
      </c>
      <c r="D1330" s="2" t="s">
        <v>6316</v>
      </c>
      <c r="E1330" s="74">
        <v>0</v>
      </c>
      <c r="F1330" s="71">
        <v>5</v>
      </c>
      <c r="G1330" s="2" t="s">
        <v>6319</v>
      </c>
      <c r="H1330" s="73" t="s">
        <v>6391</v>
      </c>
      <c r="I1330" s="100" t="s">
        <v>6392</v>
      </c>
      <c r="J1330" s="2" t="s">
        <v>24</v>
      </c>
      <c r="K1330" s="2" t="s">
        <v>206</v>
      </c>
      <c r="M1330" s="2" t="s">
        <v>24</v>
      </c>
      <c r="N1330" s="2" t="s">
        <v>206</v>
      </c>
      <c r="P1330" s="51">
        <v>0</v>
      </c>
      <c r="Q1330" s="99" t="s">
        <v>6326</v>
      </c>
    </row>
    <row r="1331" spans="1:17">
      <c r="A1331" s="71">
        <v>27</v>
      </c>
      <c r="B1331" s="2" t="s">
        <v>6012</v>
      </c>
      <c r="C1331" s="71">
        <v>12</v>
      </c>
      <c r="D1331" s="2" t="s">
        <v>6316</v>
      </c>
      <c r="E1331" s="74">
        <v>0</v>
      </c>
      <c r="F1331" s="71">
        <v>6</v>
      </c>
      <c r="G1331" s="2" t="s">
        <v>6320</v>
      </c>
      <c r="H1331" s="73" t="s">
        <v>6393</v>
      </c>
      <c r="I1331" s="100" t="s">
        <v>6394</v>
      </c>
      <c r="J1331" s="2" t="s">
        <v>24</v>
      </c>
      <c r="K1331" s="2" t="s">
        <v>206</v>
      </c>
      <c r="M1331" s="2" t="s">
        <v>24</v>
      </c>
      <c r="N1331" s="2" t="s">
        <v>206</v>
      </c>
      <c r="P1331" s="51">
        <v>0</v>
      </c>
      <c r="Q1331" s="99" t="s">
        <v>6327</v>
      </c>
    </row>
    <row r="1332" spans="1:17">
      <c r="A1332" s="71">
        <v>27</v>
      </c>
      <c r="B1332" s="2" t="s">
        <v>6012</v>
      </c>
      <c r="C1332" s="71">
        <v>12</v>
      </c>
      <c r="D1332" s="2" t="s">
        <v>6316</v>
      </c>
      <c r="E1332" s="74">
        <v>0</v>
      </c>
      <c r="F1332" s="71">
        <v>7</v>
      </c>
      <c r="G1332" s="2" t="s">
        <v>6321</v>
      </c>
      <c r="H1332" s="73" t="s">
        <v>6395</v>
      </c>
      <c r="I1332" s="100" t="s">
        <v>6396</v>
      </c>
      <c r="J1332" s="2" t="s">
        <v>24</v>
      </c>
      <c r="K1332" s="2" t="s">
        <v>206</v>
      </c>
      <c r="M1332" s="2" t="s">
        <v>24</v>
      </c>
      <c r="N1332" s="2" t="s">
        <v>206</v>
      </c>
      <c r="P1332" s="51">
        <v>0</v>
      </c>
      <c r="Q1332" s="99" t="s">
        <v>6328</v>
      </c>
    </row>
    <row r="1333" spans="1:17">
      <c r="A1333" s="71">
        <v>27</v>
      </c>
      <c r="B1333" s="2" t="s">
        <v>6012</v>
      </c>
      <c r="C1333" s="71">
        <v>12</v>
      </c>
      <c r="D1333" s="2" t="s">
        <v>6316</v>
      </c>
      <c r="E1333" s="74">
        <v>0</v>
      </c>
      <c r="F1333" s="71">
        <v>8</v>
      </c>
      <c r="G1333" s="2" t="s">
        <v>305</v>
      </c>
      <c r="H1333" s="73" t="s">
        <v>6397</v>
      </c>
      <c r="I1333" s="100" t="s">
        <v>6398</v>
      </c>
      <c r="J1333" s="2" t="s">
        <v>24</v>
      </c>
      <c r="K1333" s="2" t="s">
        <v>23</v>
      </c>
      <c r="M1333" s="2" t="s">
        <v>24</v>
      </c>
      <c r="N1333" s="2" t="s">
        <v>23</v>
      </c>
      <c r="P1333" s="51">
        <v>0</v>
      </c>
      <c r="Q1333" s="99" t="s">
        <v>6329</v>
      </c>
    </row>
    <row r="1334" spans="1:17">
      <c r="A1334" s="71">
        <v>27</v>
      </c>
      <c r="B1334" s="2" t="s">
        <v>6012</v>
      </c>
      <c r="C1334" s="71">
        <v>12</v>
      </c>
      <c r="D1334" s="2" t="s">
        <v>6316</v>
      </c>
      <c r="E1334" s="74">
        <v>0</v>
      </c>
      <c r="F1334" s="71">
        <v>9</v>
      </c>
      <c r="G1334" s="2" t="s">
        <v>6322</v>
      </c>
      <c r="H1334" s="73" t="s">
        <v>6399</v>
      </c>
      <c r="I1334" s="100" t="s">
        <v>6400</v>
      </c>
      <c r="J1334" s="2" t="s">
        <v>24</v>
      </c>
      <c r="K1334" s="2" t="s">
        <v>23</v>
      </c>
      <c r="M1334" s="2" t="s">
        <v>24</v>
      </c>
      <c r="N1334" s="2" t="s">
        <v>23</v>
      </c>
      <c r="P1334" s="51">
        <v>0</v>
      </c>
      <c r="Q1334" s="99" t="s">
        <v>6330</v>
      </c>
    </row>
    <row r="1335" spans="1:17">
      <c r="A1335" s="71">
        <v>27</v>
      </c>
      <c r="B1335" s="2" t="s">
        <v>6012</v>
      </c>
      <c r="C1335" s="71">
        <v>13</v>
      </c>
      <c r="D1335" s="2" t="s">
        <v>7690</v>
      </c>
      <c r="E1335" s="74">
        <v>0</v>
      </c>
      <c r="F1335" s="71">
        <v>0</v>
      </c>
      <c r="G1335" s="2" t="s">
        <v>20</v>
      </c>
      <c r="H1335" s="73" t="s">
        <v>6401</v>
      </c>
      <c r="I1335" s="76" t="s">
        <v>7760</v>
      </c>
      <c r="J1335" s="2" t="s">
        <v>23</v>
      </c>
      <c r="K1335" s="2" t="s">
        <v>23</v>
      </c>
      <c r="M1335" s="2" t="s">
        <v>24</v>
      </c>
      <c r="N1335" s="2" t="s">
        <v>25</v>
      </c>
      <c r="O1335" s="2" t="s">
        <v>26</v>
      </c>
      <c r="P1335" s="51">
        <v>0</v>
      </c>
      <c r="Q1335" s="1" t="s">
        <v>6346</v>
      </c>
    </row>
    <row r="1336" spans="1:17">
      <c r="A1336" s="71">
        <v>27</v>
      </c>
      <c r="B1336" s="2" t="s">
        <v>6012</v>
      </c>
      <c r="C1336" s="71">
        <v>13</v>
      </c>
      <c r="D1336" s="2" t="s">
        <v>7690</v>
      </c>
      <c r="E1336" s="74">
        <v>0</v>
      </c>
      <c r="F1336" s="71">
        <v>1</v>
      </c>
      <c r="G1336" s="2" t="s">
        <v>6035</v>
      </c>
      <c r="H1336" s="73" t="s">
        <v>6402</v>
      </c>
      <c r="I1336" s="100" t="s">
        <v>7761</v>
      </c>
      <c r="J1336" s="2" t="s">
        <v>24</v>
      </c>
      <c r="K1336" s="2" t="s">
        <v>25</v>
      </c>
      <c r="L1336" s="2" t="s">
        <v>6036</v>
      </c>
      <c r="M1336" s="2" t="s">
        <v>24</v>
      </c>
      <c r="N1336" s="2" t="s">
        <v>25</v>
      </c>
      <c r="O1336" s="2" t="s">
        <v>6037</v>
      </c>
      <c r="P1336" s="51">
        <v>0</v>
      </c>
      <c r="Q1336" s="99" t="s">
        <v>6038</v>
      </c>
    </row>
    <row r="1337" spans="1:17">
      <c r="A1337" s="71">
        <v>27</v>
      </c>
      <c r="B1337" s="2" t="s">
        <v>6012</v>
      </c>
      <c r="C1337" s="71">
        <v>13</v>
      </c>
      <c r="D1337" s="2" t="s">
        <v>7690</v>
      </c>
      <c r="E1337" s="74">
        <v>0</v>
      </c>
      <c r="F1337" s="71">
        <v>2</v>
      </c>
      <c r="G1337" s="2" t="s">
        <v>6090</v>
      </c>
      <c r="H1337" s="73" t="s">
        <v>6403</v>
      </c>
      <c r="I1337" s="100" t="s">
        <v>7762</v>
      </c>
      <c r="J1337" s="2" t="s">
        <v>24</v>
      </c>
      <c r="K1337" s="2" t="s">
        <v>23</v>
      </c>
      <c r="M1337" s="2" t="s">
        <v>24</v>
      </c>
      <c r="N1337" s="2" t="s">
        <v>23</v>
      </c>
      <c r="P1337" s="51">
        <v>0</v>
      </c>
      <c r="Q1337" s="99" t="s">
        <v>6097</v>
      </c>
    </row>
    <row r="1338" spans="1:17">
      <c r="A1338" s="71">
        <v>27</v>
      </c>
      <c r="B1338" s="2" t="s">
        <v>6012</v>
      </c>
      <c r="C1338" s="71">
        <v>13</v>
      </c>
      <c r="D1338" s="2" t="s">
        <v>7690</v>
      </c>
      <c r="E1338" s="74">
        <v>0</v>
      </c>
      <c r="F1338" s="71">
        <v>3</v>
      </c>
      <c r="G1338" s="2" t="s">
        <v>6331</v>
      </c>
      <c r="H1338" s="73" t="s">
        <v>6404</v>
      </c>
      <c r="I1338" s="100" t="s">
        <v>7763</v>
      </c>
      <c r="J1338" s="2" t="s">
        <v>24</v>
      </c>
      <c r="K1338" s="2" t="s">
        <v>23</v>
      </c>
      <c r="M1338" s="2" t="s">
        <v>24</v>
      </c>
      <c r="N1338" s="2" t="s">
        <v>23</v>
      </c>
      <c r="P1338" s="51">
        <v>0</v>
      </c>
      <c r="Q1338" s="99" t="s">
        <v>6347</v>
      </c>
    </row>
    <row r="1339" spans="1:17">
      <c r="A1339" s="71">
        <v>27</v>
      </c>
      <c r="B1339" s="2" t="s">
        <v>6012</v>
      </c>
      <c r="C1339" s="71">
        <v>13</v>
      </c>
      <c r="D1339" s="2" t="s">
        <v>7690</v>
      </c>
      <c r="E1339" s="74">
        <v>0</v>
      </c>
      <c r="F1339" s="71">
        <v>4</v>
      </c>
      <c r="G1339" s="2" t="s">
        <v>6332</v>
      </c>
      <c r="H1339" s="73" t="s">
        <v>6405</v>
      </c>
      <c r="I1339" s="100" t="s">
        <v>7764</v>
      </c>
      <c r="J1339" s="2" t="s">
        <v>24</v>
      </c>
      <c r="K1339" s="2" t="s">
        <v>23</v>
      </c>
      <c r="M1339" s="2" t="s">
        <v>24</v>
      </c>
      <c r="N1339" s="2" t="s">
        <v>23</v>
      </c>
      <c r="P1339" s="51">
        <v>0</v>
      </c>
      <c r="Q1339" s="99" t="s">
        <v>6348</v>
      </c>
    </row>
    <row r="1340" spans="1:17">
      <c r="A1340" s="71">
        <v>27</v>
      </c>
      <c r="B1340" s="2" t="s">
        <v>6012</v>
      </c>
      <c r="C1340" s="71">
        <v>13</v>
      </c>
      <c r="D1340" s="2" t="s">
        <v>7690</v>
      </c>
      <c r="E1340" s="74">
        <v>0</v>
      </c>
      <c r="F1340" s="71">
        <v>5</v>
      </c>
      <c r="G1340" s="2" t="s">
        <v>6333</v>
      </c>
      <c r="H1340" s="73" t="s">
        <v>6406</v>
      </c>
      <c r="I1340" s="100" t="s">
        <v>7765</v>
      </c>
      <c r="J1340" s="2" t="s">
        <v>24</v>
      </c>
      <c r="K1340" s="2" t="s">
        <v>23</v>
      </c>
      <c r="M1340" s="2" t="s">
        <v>24</v>
      </c>
      <c r="N1340" s="2" t="s">
        <v>23</v>
      </c>
      <c r="P1340" s="51">
        <v>0</v>
      </c>
      <c r="Q1340" s="99" t="s">
        <v>6349</v>
      </c>
    </row>
    <row r="1341" spans="1:17">
      <c r="A1341" s="71">
        <v>27</v>
      </c>
      <c r="B1341" s="2" t="s">
        <v>6012</v>
      </c>
      <c r="C1341" s="71">
        <v>13</v>
      </c>
      <c r="D1341" s="2" t="s">
        <v>7690</v>
      </c>
      <c r="E1341" s="74">
        <v>0</v>
      </c>
      <c r="F1341" s="71">
        <v>6</v>
      </c>
      <c r="G1341" s="2" t="s">
        <v>6334</v>
      </c>
      <c r="H1341" s="73" t="s">
        <v>6407</v>
      </c>
      <c r="I1341" s="100" t="s">
        <v>7766</v>
      </c>
      <c r="J1341" s="2" t="s">
        <v>24</v>
      </c>
      <c r="K1341" s="2" t="s">
        <v>23</v>
      </c>
      <c r="M1341" s="2" t="s">
        <v>24</v>
      </c>
      <c r="N1341" s="2" t="s">
        <v>23</v>
      </c>
      <c r="P1341" s="51">
        <v>0</v>
      </c>
      <c r="Q1341" s="99" t="s">
        <v>6350</v>
      </c>
    </row>
    <row r="1342" spans="1:17">
      <c r="A1342" s="71">
        <v>27</v>
      </c>
      <c r="B1342" s="2" t="s">
        <v>6012</v>
      </c>
      <c r="C1342" s="71">
        <v>13</v>
      </c>
      <c r="D1342" s="2" t="s">
        <v>7690</v>
      </c>
      <c r="E1342" s="74">
        <v>0</v>
      </c>
      <c r="F1342" s="71">
        <v>7</v>
      </c>
      <c r="G1342" s="2" t="s">
        <v>6335</v>
      </c>
      <c r="H1342" s="73" t="s">
        <v>6408</v>
      </c>
      <c r="I1342" s="100" t="s">
        <v>7767</v>
      </c>
      <c r="J1342" s="2" t="s">
        <v>24</v>
      </c>
      <c r="K1342" s="2" t="s">
        <v>23</v>
      </c>
      <c r="M1342" s="2" t="s">
        <v>24</v>
      </c>
      <c r="N1342" s="2" t="s">
        <v>23</v>
      </c>
      <c r="P1342" s="51">
        <v>0</v>
      </c>
      <c r="Q1342" s="99" t="s">
        <v>6351</v>
      </c>
    </row>
    <row r="1343" spans="1:17">
      <c r="A1343" s="71">
        <v>27</v>
      </c>
      <c r="B1343" s="2" t="s">
        <v>6012</v>
      </c>
      <c r="C1343" s="71">
        <v>13</v>
      </c>
      <c r="D1343" s="2" t="s">
        <v>7690</v>
      </c>
      <c r="E1343" s="74">
        <v>0</v>
      </c>
      <c r="F1343" s="71">
        <v>8</v>
      </c>
      <c r="G1343" s="2" t="s">
        <v>6336</v>
      </c>
      <c r="H1343" s="73" t="s">
        <v>6409</v>
      </c>
      <c r="I1343" s="100" t="s">
        <v>7768</v>
      </c>
      <c r="J1343" s="2" t="s">
        <v>24</v>
      </c>
      <c r="K1343" s="2" t="s">
        <v>23</v>
      </c>
      <c r="L1343" s="2" t="s">
        <v>6352</v>
      </c>
      <c r="M1343" s="2" t="s">
        <v>24</v>
      </c>
      <c r="N1343" s="2" t="s">
        <v>23</v>
      </c>
      <c r="O1343" s="2" t="s">
        <v>6352</v>
      </c>
      <c r="P1343" s="51">
        <v>0</v>
      </c>
      <c r="Q1343" s="99" t="s">
        <v>6353</v>
      </c>
    </row>
    <row r="1344" spans="1:17">
      <c r="A1344" s="71">
        <v>27</v>
      </c>
      <c r="B1344" s="2" t="s">
        <v>6012</v>
      </c>
      <c r="C1344" s="71">
        <v>13</v>
      </c>
      <c r="D1344" s="2" t="s">
        <v>7690</v>
      </c>
      <c r="E1344" s="74">
        <v>0</v>
      </c>
      <c r="F1344" s="71">
        <v>9</v>
      </c>
      <c r="G1344" s="2" t="s">
        <v>6337</v>
      </c>
      <c r="H1344" s="73" t="s">
        <v>6410</v>
      </c>
      <c r="I1344" s="100" t="s">
        <v>7769</v>
      </c>
      <c r="J1344" s="2" t="s">
        <v>24</v>
      </c>
      <c r="K1344" s="2" t="s">
        <v>23</v>
      </c>
      <c r="L1344" s="2" t="s">
        <v>6352</v>
      </c>
      <c r="M1344" s="2" t="s">
        <v>24</v>
      </c>
      <c r="N1344" s="2" t="s">
        <v>23</v>
      </c>
      <c r="O1344" s="2" t="s">
        <v>6352</v>
      </c>
      <c r="P1344" s="51">
        <v>0</v>
      </c>
      <c r="Q1344" s="99" t="s">
        <v>6354</v>
      </c>
    </row>
    <row r="1345" spans="1:17">
      <c r="A1345" s="71">
        <v>27</v>
      </c>
      <c r="B1345" s="2" t="s">
        <v>6012</v>
      </c>
      <c r="C1345" s="71">
        <v>13</v>
      </c>
      <c r="D1345" s="2" t="s">
        <v>7690</v>
      </c>
      <c r="E1345" s="74">
        <v>0</v>
      </c>
      <c r="F1345" s="71">
        <v>10</v>
      </c>
      <c r="G1345" s="2" t="s">
        <v>6338</v>
      </c>
      <c r="H1345" s="73" t="s">
        <v>6411</v>
      </c>
      <c r="I1345" s="100" t="s">
        <v>7770</v>
      </c>
      <c r="J1345" s="2" t="s">
        <v>24</v>
      </c>
      <c r="K1345" s="2" t="s">
        <v>23</v>
      </c>
      <c r="L1345" s="2" t="s">
        <v>6352</v>
      </c>
      <c r="M1345" s="2" t="s">
        <v>24</v>
      </c>
      <c r="N1345" s="2" t="s">
        <v>23</v>
      </c>
      <c r="O1345" s="2" t="s">
        <v>6352</v>
      </c>
      <c r="P1345" s="51">
        <v>0</v>
      </c>
      <c r="Q1345" s="99" t="s">
        <v>6355</v>
      </c>
    </row>
    <row r="1346" spans="1:17">
      <c r="A1346" s="71">
        <v>27</v>
      </c>
      <c r="B1346" s="2" t="s">
        <v>6012</v>
      </c>
      <c r="C1346" s="71">
        <v>13</v>
      </c>
      <c r="D1346" s="2" t="s">
        <v>7690</v>
      </c>
      <c r="E1346" s="74">
        <v>0</v>
      </c>
      <c r="F1346" s="71">
        <v>11</v>
      </c>
      <c r="G1346" s="2" t="s">
        <v>6339</v>
      </c>
      <c r="H1346" s="73" t="s">
        <v>6412</v>
      </c>
      <c r="I1346" s="100" t="s">
        <v>7771</v>
      </c>
      <c r="J1346" s="2" t="s">
        <v>24</v>
      </c>
      <c r="K1346" s="2" t="s">
        <v>23</v>
      </c>
      <c r="L1346" s="2" t="s">
        <v>6352</v>
      </c>
      <c r="M1346" s="2" t="s">
        <v>24</v>
      </c>
      <c r="N1346" s="2" t="s">
        <v>23</v>
      </c>
      <c r="O1346" s="2" t="s">
        <v>6352</v>
      </c>
      <c r="P1346" s="51">
        <v>0</v>
      </c>
      <c r="Q1346" s="99" t="s">
        <v>6356</v>
      </c>
    </row>
    <row r="1347" spans="1:17">
      <c r="A1347" s="71">
        <v>27</v>
      </c>
      <c r="B1347" s="2" t="s">
        <v>6012</v>
      </c>
      <c r="C1347" s="71">
        <v>13</v>
      </c>
      <c r="D1347" s="2" t="s">
        <v>7690</v>
      </c>
      <c r="E1347" s="74">
        <v>0</v>
      </c>
      <c r="F1347" s="71">
        <v>12</v>
      </c>
      <c r="G1347" s="2" t="s">
        <v>6340</v>
      </c>
      <c r="H1347" s="73" t="s">
        <v>6413</v>
      </c>
      <c r="I1347" s="100" t="s">
        <v>7772</v>
      </c>
      <c r="J1347" s="2" t="s">
        <v>24</v>
      </c>
      <c r="K1347" s="2" t="s">
        <v>23</v>
      </c>
      <c r="L1347" s="2" t="s">
        <v>6352</v>
      </c>
      <c r="M1347" s="2" t="s">
        <v>24</v>
      </c>
      <c r="N1347" s="2" t="s">
        <v>23</v>
      </c>
      <c r="O1347" s="2" t="s">
        <v>6352</v>
      </c>
      <c r="P1347" s="51">
        <v>0</v>
      </c>
      <c r="Q1347" s="99" t="s">
        <v>6357</v>
      </c>
    </row>
    <row r="1348" spans="1:17">
      <c r="A1348" s="71">
        <v>27</v>
      </c>
      <c r="B1348" s="2" t="s">
        <v>6012</v>
      </c>
      <c r="C1348" s="71">
        <v>13</v>
      </c>
      <c r="D1348" s="2" t="s">
        <v>7690</v>
      </c>
      <c r="E1348" s="74">
        <v>0</v>
      </c>
      <c r="F1348" s="71">
        <v>13</v>
      </c>
      <c r="G1348" s="2" t="s">
        <v>6341</v>
      </c>
      <c r="H1348" s="73" t="s">
        <v>6414</v>
      </c>
      <c r="I1348" s="100" t="s">
        <v>7773</v>
      </c>
      <c r="J1348" s="2" t="s">
        <v>24</v>
      </c>
      <c r="K1348" s="2" t="s">
        <v>23</v>
      </c>
      <c r="M1348" s="2" t="s">
        <v>24</v>
      </c>
      <c r="N1348" s="2" t="s">
        <v>23</v>
      </c>
      <c r="P1348" s="51">
        <v>0</v>
      </c>
      <c r="Q1348" s="99" t="s">
        <v>6358</v>
      </c>
    </row>
    <row r="1349" spans="1:17">
      <c r="A1349" s="71">
        <v>27</v>
      </c>
      <c r="B1349" s="2" t="s">
        <v>6012</v>
      </c>
      <c r="C1349" s="71">
        <v>13</v>
      </c>
      <c r="D1349" s="2" t="s">
        <v>7690</v>
      </c>
      <c r="E1349" s="74">
        <v>0</v>
      </c>
      <c r="F1349" s="71">
        <v>14</v>
      </c>
      <c r="G1349" s="2" t="s">
        <v>6342</v>
      </c>
      <c r="H1349" s="73" t="s">
        <v>6415</v>
      </c>
      <c r="I1349" s="100" t="s">
        <v>7774</v>
      </c>
      <c r="J1349" s="2" t="s">
        <v>24</v>
      </c>
      <c r="K1349" s="2" t="s">
        <v>206</v>
      </c>
      <c r="M1349" s="2" t="s">
        <v>24</v>
      </c>
      <c r="N1349" s="2" t="s">
        <v>206</v>
      </c>
      <c r="P1349" s="51">
        <v>0</v>
      </c>
      <c r="Q1349" s="99" t="s">
        <v>6359</v>
      </c>
    </row>
    <row r="1350" spans="1:17">
      <c r="A1350" s="71">
        <v>27</v>
      </c>
      <c r="B1350" s="2" t="s">
        <v>6012</v>
      </c>
      <c r="C1350" s="71">
        <v>13</v>
      </c>
      <c r="D1350" s="2" t="s">
        <v>7690</v>
      </c>
      <c r="E1350" s="74">
        <v>0</v>
      </c>
      <c r="F1350" s="71">
        <v>15</v>
      </c>
      <c r="G1350" s="2" t="s">
        <v>854</v>
      </c>
      <c r="H1350" s="73" t="s">
        <v>6416</v>
      </c>
      <c r="I1350" s="100" t="s">
        <v>7775</v>
      </c>
      <c r="J1350" s="2" t="s">
        <v>24</v>
      </c>
      <c r="K1350" s="2" t="s">
        <v>116</v>
      </c>
      <c r="L1350" s="16" t="s">
        <v>6360</v>
      </c>
      <c r="M1350" s="2" t="s">
        <v>24</v>
      </c>
      <c r="N1350" s="2" t="s">
        <v>116</v>
      </c>
      <c r="O1350" s="16" t="s">
        <v>6360</v>
      </c>
      <c r="P1350" s="51">
        <v>0</v>
      </c>
      <c r="Q1350" s="99" t="s">
        <v>6361</v>
      </c>
    </row>
    <row r="1351" spans="1:17">
      <c r="A1351" s="71">
        <v>27</v>
      </c>
      <c r="B1351" s="2" t="s">
        <v>6012</v>
      </c>
      <c r="C1351" s="71">
        <v>13</v>
      </c>
      <c r="D1351" s="2" t="s">
        <v>7690</v>
      </c>
      <c r="E1351" s="74">
        <v>0</v>
      </c>
      <c r="F1351" s="71">
        <v>16</v>
      </c>
      <c r="G1351" s="2" t="s">
        <v>6343</v>
      </c>
      <c r="H1351" s="73" t="s">
        <v>6417</v>
      </c>
      <c r="I1351" s="100" t="s">
        <v>7776</v>
      </c>
      <c r="J1351" s="2" t="s">
        <v>24</v>
      </c>
      <c r="K1351" s="2" t="s">
        <v>23</v>
      </c>
      <c r="M1351" s="2" t="s">
        <v>24</v>
      </c>
      <c r="N1351" s="2" t="s">
        <v>23</v>
      </c>
      <c r="P1351" s="51">
        <v>0</v>
      </c>
      <c r="Q1351" s="99" t="s">
        <v>6362</v>
      </c>
    </row>
    <row r="1352" spans="1:17">
      <c r="A1352" s="71">
        <v>27</v>
      </c>
      <c r="B1352" s="2" t="s">
        <v>6012</v>
      </c>
      <c r="C1352" s="71">
        <v>13</v>
      </c>
      <c r="D1352" s="2" t="s">
        <v>7690</v>
      </c>
      <c r="E1352" s="74">
        <v>0</v>
      </c>
      <c r="F1352" s="71">
        <v>17</v>
      </c>
      <c r="G1352" s="2" t="s">
        <v>6344</v>
      </c>
      <c r="H1352" s="73" t="s">
        <v>6418</v>
      </c>
      <c r="I1352" s="100" t="s">
        <v>7777</v>
      </c>
      <c r="J1352" s="2" t="s">
        <v>24</v>
      </c>
      <c r="K1352" s="2" t="s">
        <v>23</v>
      </c>
      <c r="M1352" s="2" t="s">
        <v>24</v>
      </c>
      <c r="N1352" s="2" t="s">
        <v>23</v>
      </c>
      <c r="P1352" s="51">
        <v>0</v>
      </c>
      <c r="Q1352" s="99" t="s">
        <v>6363</v>
      </c>
    </row>
    <row r="1353" spans="1:17">
      <c r="A1353" s="71">
        <v>27</v>
      </c>
      <c r="B1353" s="2" t="s">
        <v>6012</v>
      </c>
      <c r="C1353" s="71">
        <v>13</v>
      </c>
      <c r="D1353" s="2" t="s">
        <v>7690</v>
      </c>
      <c r="E1353" s="74">
        <v>0</v>
      </c>
      <c r="F1353" s="71">
        <v>18</v>
      </c>
      <c r="G1353" s="2" t="s">
        <v>6345</v>
      </c>
      <c r="H1353" s="73" t="s">
        <v>6419</v>
      </c>
      <c r="I1353" s="100" t="s">
        <v>7778</v>
      </c>
      <c r="J1353" s="2" t="s">
        <v>24</v>
      </c>
      <c r="K1353" s="2" t="s">
        <v>23</v>
      </c>
      <c r="M1353" s="2" t="s">
        <v>24</v>
      </c>
      <c r="N1353" s="2" t="s">
        <v>23</v>
      </c>
      <c r="P1353" s="51">
        <v>0</v>
      </c>
      <c r="Q1353" s="99" t="s">
        <v>6364</v>
      </c>
    </row>
    <row r="1354" spans="1:17">
      <c r="A1354" s="71">
        <v>27</v>
      </c>
      <c r="B1354" s="2" t="s">
        <v>6012</v>
      </c>
      <c r="C1354" s="71">
        <v>14</v>
      </c>
      <c r="D1354" s="2" t="s">
        <v>7691</v>
      </c>
      <c r="E1354" s="74">
        <v>0</v>
      </c>
      <c r="F1354" s="71">
        <v>0</v>
      </c>
      <c r="G1354" s="2" t="s">
        <v>20</v>
      </c>
      <c r="H1354" s="73" t="s">
        <v>6454</v>
      </c>
      <c r="I1354" s="95" t="s">
        <v>7779</v>
      </c>
      <c r="J1354" s="2" t="s">
        <v>23</v>
      </c>
      <c r="K1354" s="2" t="s">
        <v>23</v>
      </c>
      <c r="M1354" s="2" t="s">
        <v>24</v>
      </c>
      <c r="N1354" s="2" t="s">
        <v>25</v>
      </c>
      <c r="O1354" s="2" t="s">
        <v>26</v>
      </c>
      <c r="P1354" s="51">
        <v>0</v>
      </c>
      <c r="Q1354" s="1" t="s">
        <v>6429</v>
      </c>
    </row>
    <row r="1355" spans="1:17">
      <c r="A1355" s="71">
        <v>27</v>
      </c>
      <c r="B1355" s="2" t="s">
        <v>6012</v>
      </c>
      <c r="C1355" s="71">
        <v>14</v>
      </c>
      <c r="D1355" s="2" t="s">
        <v>7691</v>
      </c>
      <c r="E1355" s="74">
        <v>0</v>
      </c>
      <c r="F1355" s="71">
        <v>1</v>
      </c>
      <c r="G1355" s="2" t="s">
        <v>6035</v>
      </c>
      <c r="H1355" s="73" t="s">
        <v>6455</v>
      </c>
      <c r="I1355" s="100" t="s">
        <v>7780</v>
      </c>
      <c r="J1355" s="2" t="s">
        <v>24</v>
      </c>
      <c r="K1355" s="2" t="s">
        <v>25</v>
      </c>
      <c r="L1355" s="2" t="s">
        <v>6036</v>
      </c>
      <c r="M1355" s="2" t="s">
        <v>24</v>
      </c>
      <c r="N1355" s="2" t="s">
        <v>25</v>
      </c>
      <c r="O1355" s="2" t="s">
        <v>6037</v>
      </c>
      <c r="P1355" s="51">
        <v>0</v>
      </c>
      <c r="Q1355" s="99" t="s">
        <v>6038</v>
      </c>
    </row>
    <row r="1356" spans="1:17">
      <c r="A1356" s="71">
        <v>27</v>
      </c>
      <c r="B1356" s="2" t="s">
        <v>6012</v>
      </c>
      <c r="C1356" s="71">
        <v>14</v>
      </c>
      <c r="D1356" s="2" t="s">
        <v>7691</v>
      </c>
      <c r="E1356" s="74">
        <v>0</v>
      </c>
      <c r="F1356" s="71">
        <v>2</v>
      </c>
      <c r="G1356" s="2" t="s">
        <v>6090</v>
      </c>
      <c r="H1356" s="73" t="s">
        <v>6456</v>
      </c>
      <c r="I1356" s="100" t="s">
        <v>7781</v>
      </c>
      <c r="J1356" s="2" t="s">
        <v>23</v>
      </c>
      <c r="K1356" s="2" t="s">
        <v>23</v>
      </c>
      <c r="M1356" s="2" t="s">
        <v>24</v>
      </c>
      <c r="N1356" s="2" t="s">
        <v>23</v>
      </c>
      <c r="P1356" s="51">
        <v>0</v>
      </c>
      <c r="Q1356" s="99" t="s">
        <v>6097</v>
      </c>
    </row>
    <row r="1357" spans="1:17">
      <c r="A1357" s="71">
        <v>27</v>
      </c>
      <c r="B1357" s="2" t="s">
        <v>6012</v>
      </c>
      <c r="C1357" s="71">
        <v>14</v>
      </c>
      <c r="D1357" s="2" t="s">
        <v>7691</v>
      </c>
      <c r="E1357" s="74">
        <v>0</v>
      </c>
      <c r="F1357" s="71">
        <v>3</v>
      </c>
      <c r="G1357" s="2" t="s">
        <v>6341</v>
      </c>
      <c r="H1357" s="73" t="s">
        <v>6457</v>
      </c>
      <c r="I1357" s="100" t="s">
        <v>7782</v>
      </c>
      <c r="J1357" s="2" t="s">
        <v>23</v>
      </c>
      <c r="K1357" s="2" t="s">
        <v>23</v>
      </c>
      <c r="M1357" s="2" t="s">
        <v>24</v>
      </c>
      <c r="N1357" s="2" t="s">
        <v>23</v>
      </c>
      <c r="P1357" s="51">
        <v>0</v>
      </c>
      <c r="Q1357" s="99" t="s">
        <v>0</v>
      </c>
    </row>
    <row r="1358" spans="1:17">
      <c r="A1358" s="71">
        <v>27</v>
      </c>
      <c r="B1358" s="2" t="s">
        <v>6012</v>
      </c>
      <c r="C1358" s="71">
        <v>14</v>
      </c>
      <c r="D1358" s="2" t="s">
        <v>7691</v>
      </c>
      <c r="E1358" s="74">
        <v>0</v>
      </c>
      <c r="F1358" s="71">
        <v>4</v>
      </c>
      <c r="G1358" s="2" t="s">
        <v>6342</v>
      </c>
      <c r="H1358" s="73" t="s">
        <v>6458</v>
      </c>
      <c r="I1358" s="100" t="s">
        <v>7783</v>
      </c>
      <c r="J1358" s="2" t="s">
        <v>23</v>
      </c>
      <c r="K1358" s="2" t="s">
        <v>23</v>
      </c>
      <c r="M1358" s="2" t="s">
        <v>24</v>
      </c>
      <c r="N1358" s="2" t="s">
        <v>206</v>
      </c>
      <c r="P1358" s="51">
        <v>0</v>
      </c>
      <c r="Q1358" s="99" t="s">
        <v>6437</v>
      </c>
    </row>
    <row r="1359" spans="1:17">
      <c r="A1359" s="71">
        <v>27</v>
      </c>
      <c r="B1359" s="2" t="s">
        <v>6012</v>
      </c>
      <c r="C1359" s="71">
        <v>14</v>
      </c>
      <c r="D1359" s="2" t="s">
        <v>7691</v>
      </c>
      <c r="E1359" s="74">
        <v>0</v>
      </c>
      <c r="F1359" s="71">
        <v>5</v>
      </c>
      <c r="G1359" s="2" t="s">
        <v>6430</v>
      </c>
      <c r="H1359" s="73" t="s">
        <v>6459</v>
      </c>
      <c r="I1359" s="100" t="s">
        <v>7784</v>
      </c>
      <c r="J1359" s="2" t="s">
        <v>23</v>
      </c>
      <c r="K1359" s="2" t="s">
        <v>23</v>
      </c>
      <c r="M1359" s="2" t="s">
        <v>24</v>
      </c>
      <c r="N1359" s="2" t="s">
        <v>23</v>
      </c>
      <c r="O1359" s="2" t="s">
        <v>6438</v>
      </c>
      <c r="P1359" s="51">
        <v>0</v>
      </c>
      <c r="Q1359" s="99" t="s">
        <v>6439</v>
      </c>
    </row>
    <row r="1360" spans="1:17">
      <c r="A1360" s="71">
        <v>27</v>
      </c>
      <c r="B1360" s="2" t="s">
        <v>6012</v>
      </c>
      <c r="C1360" s="71">
        <v>14</v>
      </c>
      <c r="D1360" s="2" t="s">
        <v>7691</v>
      </c>
      <c r="E1360" s="74">
        <v>0</v>
      </c>
      <c r="F1360" s="71">
        <v>6</v>
      </c>
      <c r="G1360" s="2" t="s">
        <v>6431</v>
      </c>
      <c r="H1360" s="73" t="s">
        <v>6460</v>
      </c>
      <c r="I1360" s="100" t="s">
        <v>7785</v>
      </c>
      <c r="J1360" s="2" t="s">
        <v>23</v>
      </c>
      <c r="K1360" s="2" t="s">
        <v>23</v>
      </c>
      <c r="M1360" s="2" t="s">
        <v>24</v>
      </c>
      <c r="N1360" s="2" t="s">
        <v>23</v>
      </c>
      <c r="O1360" s="2" t="s">
        <v>6440</v>
      </c>
      <c r="P1360" s="51">
        <v>0</v>
      </c>
      <c r="Q1360" s="99" t="s">
        <v>6441</v>
      </c>
    </row>
    <row r="1361" spans="1:17">
      <c r="A1361" s="71">
        <v>27</v>
      </c>
      <c r="B1361" s="2" t="s">
        <v>6012</v>
      </c>
      <c r="C1361" s="71">
        <v>14</v>
      </c>
      <c r="D1361" s="2" t="s">
        <v>7691</v>
      </c>
      <c r="E1361" s="74">
        <v>0</v>
      </c>
      <c r="F1361" s="71">
        <v>7</v>
      </c>
      <c r="G1361" s="2" t="s">
        <v>6432</v>
      </c>
      <c r="H1361" s="73" t="s">
        <v>6461</v>
      </c>
      <c r="I1361" s="100" t="s">
        <v>7786</v>
      </c>
      <c r="J1361" s="2" t="s">
        <v>23</v>
      </c>
      <c r="K1361" s="2" t="s">
        <v>23</v>
      </c>
      <c r="M1361" s="2" t="s">
        <v>24</v>
      </c>
      <c r="N1361" s="2" t="s">
        <v>23</v>
      </c>
      <c r="O1361" s="2" t="s">
        <v>6442</v>
      </c>
      <c r="P1361" s="51">
        <v>0</v>
      </c>
      <c r="Q1361" s="99" t="s">
        <v>6443</v>
      </c>
    </row>
    <row r="1362" spans="1:17">
      <c r="A1362" s="71">
        <v>27</v>
      </c>
      <c r="B1362" s="2" t="s">
        <v>6012</v>
      </c>
      <c r="C1362" s="71">
        <v>14</v>
      </c>
      <c r="D1362" s="2" t="s">
        <v>7691</v>
      </c>
      <c r="E1362" s="74">
        <v>0</v>
      </c>
      <c r="F1362" s="71">
        <v>8</v>
      </c>
      <c r="G1362" s="2" t="s">
        <v>1848</v>
      </c>
      <c r="H1362" s="73" t="s">
        <v>6462</v>
      </c>
      <c r="I1362" s="100" t="s">
        <v>7787</v>
      </c>
      <c r="J1362" s="2" t="s">
        <v>23</v>
      </c>
      <c r="K1362" s="2" t="s">
        <v>23</v>
      </c>
      <c r="M1362" s="2" t="s">
        <v>24</v>
      </c>
      <c r="N1362" s="2" t="s">
        <v>23</v>
      </c>
      <c r="O1362" s="2" t="s">
        <v>6444</v>
      </c>
      <c r="P1362" s="51">
        <v>0</v>
      </c>
      <c r="Q1362" s="99" t="s">
        <v>6445</v>
      </c>
    </row>
    <row r="1363" spans="1:17">
      <c r="A1363" s="71">
        <v>27</v>
      </c>
      <c r="B1363" s="2" t="s">
        <v>6012</v>
      </c>
      <c r="C1363" s="71">
        <v>14</v>
      </c>
      <c r="D1363" s="2" t="s">
        <v>7691</v>
      </c>
      <c r="E1363" s="74">
        <v>0</v>
      </c>
      <c r="F1363" s="71">
        <v>9</v>
      </c>
      <c r="G1363" s="2" t="s">
        <v>6343</v>
      </c>
      <c r="H1363" s="73" t="s">
        <v>6463</v>
      </c>
      <c r="I1363" s="100" t="s">
        <v>7788</v>
      </c>
      <c r="J1363" s="2" t="s">
        <v>23</v>
      </c>
      <c r="K1363" s="2" t="s">
        <v>23</v>
      </c>
      <c r="M1363" s="2" t="s">
        <v>24</v>
      </c>
      <c r="N1363" s="2" t="s">
        <v>23</v>
      </c>
      <c r="P1363" s="51">
        <v>0</v>
      </c>
      <c r="Q1363" s="99" t="s">
        <v>6446</v>
      </c>
    </row>
    <row r="1364" spans="1:17">
      <c r="A1364" s="71">
        <v>27</v>
      </c>
      <c r="B1364" s="2" t="s">
        <v>6012</v>
      </c>
      <c r="C1364" s="71">
        <v>14</v>
      </c>
      <c r="D1364" s="2" t="s">
        <v>7691</v>
      </c>
      <c r="E1364" s="74">
        <v>0</v>
      </c>
      <c r="F1364" s="71">
        <v>10</v>
      </c>
      <c r="G1364" s="2" t="s">
        <v>6433</v>
      </c>
      <c r="H1364" s="73" t="s">
        <v>6464</v>
      </c>
      <c r="I1364" s="100" t="s">
        <v>7789</v>
      </c>
      <c r="J1364" s="2" t="s">
        <v>23</v>
      </c>
      <c r="K1364" s="2" t="s">
        <v>23</v>
      </c>
      <c r="M1364" s="2" t="s">
        <v>24</v>
      </c>
      <c r="N1364" s="2" t="s">
        <v>23</v>
      </c>
      <c r="O1364" s="16" t="s">
        <v>6360</v>
      </c>
      <c r="P1364" s="51">
        <v>0</v>
      </c>
      <c r="Q1364" s="99" t="s">
        <v>6447</v>
      </c>
    </row>
    <row r="1365" spans="1:17">
      <c r="A1365" s="71">
        <v>27</v>
      </c>
      <c r="B1365" s="2" t="s">
        <v>6012</v>
      </c>
      <c r="C1365" s="71">
        <v>14</v>
      </c>
      <c r="D1365" s="2" t="s">
        <v>7691</v>
      </c>
      <c r="E1365" s="74">
        <v>0</v>
      </c>
      <c r="F1365" s="71">
        <v>11</v>
      </c>
      <c r="G1365" s="2" t="s">
        <v>6344</v>
      </c>
      <c r="H1365" s="73" t="s">
        <v>6465</v>
      </c>
      <c r="I1365" s="100" t="s">
        <v>7790</v>
      </c>
      <c r="J1365" s="2" t="s">
        <v>23</v>
      </c>
      <c r="K1365" s="2" t="s">
        <v>23</v>
      </c>
      <c r="M1365" s="2" t="s">
        <v>24</v>
      </c>
      <c r="N1365" s="2" t="s">
        <v>23</v>
      </c>
      <c r="O1365" s="2" t="s">
        <v>6448</v>
      </c>
      <c r="P1365" s="51">
        <v>0</v>
      </c>
      <c r="Q1365" s="99" t="s">
        <v>6449</v>
      </c>
    </row>
    <row r="1366" spans="1:17">
      <c r="A1366" s="71">
        <v>27</v>
      </c>
      <c r="B1366" s="2" t="s">
        <v>6012</v>
      </c>
      <c r="C1366" s="71">
        <v>14</v>
      </c>
      <c r="D1366" s="2" t="s">
        <v>7691</v>
      </c>
      <c r="E1366" s="74">
        <v>0</v>
      </c>
      <c r="F1366" s="71">
        <v>12</v>
      </c>
      <c r="G1366" s="2" t="s">
        <v>6434</v>
      </c>
      <c r="H1366" s="73" t="s">
        <v>6466</v>
      </c>
      <c r="I1366" s="100" t="s">
        <v>7791</v>
      </c>
      <c r="J1366" s="2" t="s">
        <v>23</v>
      </c>
      <c r="K1366" s="2" t="s">
        <v>23</v>
      </c>
      <c r="M1366" s="2" t="s">
        <v>24</v>
      </c>
      <c r="N1366" s="2" t="s">
        <v>23</v>
      </c>
      <c r="O1366" s="2" t="s">
        <v>6450</v>
      </c>
      <c r="P1366" s="51">
        <v>0</v>
      </c>
      <c r="Q1366" s="99" t="s">
        <v>2828</v>
      </c>
    </row>
    <row r="1367" spans="1:17">
      <c r="A1367" s="71">
        <v>27</v>
      </c>
      <c r="B1367" s="2" t="s">
        <v>6012</v>
      </c>
      <c r="C1367" s="71">
        <v>14</v>
      </c>
      <c r="D1367" s="2" t="s">
        <v>7691</v>
      </c>
      <c r="E1367" s="74">
        <v>0</v>
      </c>
      <c r="F1367" s="71">
        <v>13</v>
      </c>
      <c r="G1367" s="2" t="s">
        <v>6435</v>
      </c>
      <c r="H1367" s="73" t="s">
        <v>6467</v>
      </c>
      <c r="I1367" s="100" t="s">
        <v>7792</v>
      </c>
      <c r="J1367" s="2" t="s">
        <v>23</v>
      </c>
      <c r="K1367" s="2" t="s">
        <v>23</v>
      </c>
      <c r="M1367" s="2" t="s">
        <v>24</v>
      </c>
      <c r="N1367" s="2" t="s">
        <v>23</v>
      </c>
      <c r="O1367" s="2" t="s">
        <v>6451</v>
      </c>
      <c r="P1367" s="51">
        <v>0</v>
      </c>
      <c r="Q1367" s="99" t="s">
        <v>6452</v>
      </c>
    </row>
    <row r="1368" spans="1:17">
      <c r="A1368" s="71">
        <v>27</v>
      </c>
      <c r="B1368" s="2" t="s">
        <v>6012</v>
      </c>
      <c r="C1368" s="71">
        <v>14</v>
      </c>
      <c r="D1368" s="2" t="s">
        <v>7691</v>
      </c>
      <c r="E1368" s="74">
        <v>0</v>
      </c>
      <c r="F1368" s="71">
        <v>14</v>
      </c>
      <c r="G1368" s="2" t="s">
        <v>6436</v>
      </c>
      <c r="H1368" s="73" t="s">
        <v>6468</v>
      </c>
      <c r="I1368" s="100" t="s">
        <v>7793</v>
      </c>
      <c r="J1368" s="2" t="s">
        <v>23</v>
      </c>
      <c r="K1368" s="2" t="s">
        <v>23</v>
      </c>
      <c r="M1368" s="2" t="s">
        <v>24</v>
      </c>
      <c r="N1368" s="2" t="s">
        <v>23</v>
      </c>
      <c r="P1368" s="51">
        <v>0</v>
      </c>
      <c r="Q1368" s="99" t="s">
        <v>6453</v>
      </c>
    </row>
    <row r="1369" spans="1:17">
      <c r="A1369" s="71">
        <v>27</v>
      </c>
      <c r="B1369" s="2" t="s">
        <v>6012</v>
      </c>
      <c r="C1369" s="71">
        <v>15</v>
      </c>
      <c r="D1369" s="2" t="s">
        <v>6469</v>
      </c>
      <c r="E1369" s="74">
        <v>0</v>
      </c>
      <c r="F1369" s="71">
        <v>0</v>
      </c>
      <c r="G1369" s="2" t="s">
        <v>20</v>
      </c>
      <c r="H1369" s="73" t="s">
        <v>6513</v>
      </c>
      <c r="I1369" s="76" t="s">
        <v>6514</v>
      </c>
      <c r="J1369" s="2" t="s">
        <v>23</v>
      </c>
      <c r="K1369" s="2" t="s">
        <v>23</v>
      </c>
      <c r="M1369" s="2" t="s">
        <v>24</v>
      </c>
      <c r="N1369" s="2" t="s">
        <v>25</v>
      </c>
      <c r="O1369" s="2" t="s">
        <v>26</v>
      </c>
      <c r="P1369" s="51">
        <v>0</v>
      </c>
      <c r="Q1369" s="1" t="s">
        <v>6472</v>
      </c>
    </row>
    <row r="1370" spans="1:17">
      <c r="A1370" s="71">
        <v>27</v>
      </c>
      <c r="B1370" s="2" t="s">
        <v>6012</v>
      </c>
      <c r="C1370" s="71">
        <v>15</v>
      </c>
      <c r="D1370" s="2" t="s">
        <v>6469</v>
      </c>
      <c r="E1370" s="74">
        <v>0</v>
      </c>
      <c r="F1370" s="71">
        <v>1</v>
      </c>
      <c r="G1370" s="2" t="s">
        <v>6035</v>
      </c>
      <c r="H1370" s="73" t="s">
        <v>6515</v>
      </c>
      <c r="I1370" s="100" t="s">
        <v>6516</v>
      </c>
      <c r="J1370" s="2" t="s">
        <v>24</v>
      </c>
      <c r="K1370" s="2" t="s">
        <v>25</v>
      </c>
      <c r="L1370" s="2" t="s">
        <v>6036</v>
      </c>
      <c r="M1370" s="2" t="s">
        <v>24</v>
      </c>
      <c r="N1370" s="2" t="s">
        <v>25</v>
      </c>
      <c r="O1370" s="2" t="s">
        <v>6037</v>
      </c>
      <c r="P1370" s="51">
        <v>0</v>
      </c>
      <c r="Q1370" s="99" t="s">
        <v>6038</v>
      </c>
    </row>
    <row r="1371" spans="1:17">
      <c r="A1371" s="71">
        <v>27</v>
      </c>
      <c r="B1371" s="2" t="s">
        <v>6012</v>
      </c>
      <c r="C1371" s="71">
        <v>15</v>
      </c>
      <c r="D1371" s="2" t="s">
        <v>6469</v>
      </c>
      <c r="E1371" s="74">
        <v>0</v>
      </c>
      <c r="F1371" s="71">
        <v>2</v>
      </c>
      <c r="G1371" s="2" t="s">
        <v>6090</v>
      </c>
      <c r="H1371" s="73" t="s">
        <v>6517</v>
      </c>
      <c r="I1371" s="100" t="s">
        <v>6518</v>
      </c>
      <c r="J1371" s="2" t="s">
        <v>23</v>
      </c>
      <c r="K1371" s="2" t="s">
        <v>23</v>
      </c>
      <c r="M1371" s="2" t="s">
        <v>24</v>
      </c>
      <c r="N1371" s="2" t="s">
        <v>23</v>
      </c>
      <c r="P1371" s="51">
        <v>0</v>
      </c>
      <c r="Q1371" s="99" t="s">
        <v>6097</v>
      </c>
    </row>
    <row r="1372" spans="1:17">
      <c r="A1372" s="71">
        <v>27</v>
      </c>
      <c r="B1372" s="2" t="s">
        <v>6012</v>
      </c>
      <c r="C1372" s="71">
        <v>15</v>
      </c>
      <c r="D1372" s="2" t="s">
        <v>6469</v>
      </c>
      <c r="E1372" s="74">
        <v>0</v>
      </c>
      <c r="F1372" s="71">
        <v>3</v>
      </c>
      <c r="G1372" s="2" t="s">
        <v>1922</v>
      </c>
      <c r="H1372" s="73" t="s">
        <v>6519</v>
      </c>
      <c r="I1372" s="100" t="s">
        <v>6520</v>
      </c>
      <c r="J1372" s="2" t="s">
        <v>24</v>
      </c>
      <c r="K1372" s="2" t="s">
        <v>25</v>
      </c>
      <c r="L1372" s="2" t="s">
        <v>6473</v>
      </c>
      <c r="M1372" s="2" t="s">
        <v>24</v>
      </c>
      <c r="N1372" s="2" t="s">
        <v>25</v>
      </c>
      <c r="O1372" s="2" t="s">
        <v>6473</v>
      </c>
      <c r="P1372" s="51">
        <v>0</v>
      </c>
      <c r="Q1372" s="99" t="s">
        <v>6474</v>
      </c>
    </row>
    <row r="1373" spans="1:17">
      <c r="A1373" s="71">
        <v>27</v>
      </c>
      <c r="B1373" s="2" t="s">
        <v>6012</v>
      </c>
      <c r="C1373" s="71">
        <v>15</v>
      </c>
      <c r="D1373" s="2" t="s">
        <v>6469</v>
      </c>
      <c r="E1373" s="74">
        <v>0</v>
      </c>
      <c r="F1373" s="71">
        <v>4</v>
      </c>
      <c r="G1373" s="2" t="s">
        <v>1597</v>
      </c>
      <c r="H1373" s="73" t="s">
        <v>6521</v>
      </c>
      <c r="I1373" s="100" t="s">
        <v>6522</v>
      </c>
      <c r="J1373" s="2" t="s">
        <v>24</v>
      </c>
      <c r="K1373" s="2" t="s">
        <v>25</v>
      </c>
      <c r="L1373" s="2" t="s">
        <v>6475</v>
      </c>
      <c r="M1373" s="2" t="s">
        <v>24</v>
      </c>
      <c r="N1373" s="2" t="s">
        <v>25</v>
      </c>
      <c r="O1373" s="2" t="s">
        <v>6475</v>
      </c>
      <c r="P1373" s="51">
        <v>0</v>
      </c>
      <c r="Q1373" s="99" t="s">
        <v>356</v>
      </c>
    </row>
    <row r="1374" spans="1:17">
      <c r="A1374" s="71">
        <v>27</v>
      </c>
      <c r="B1374" s="2" t="s">
        <v>6012</v>
      </c>
      <c r="C1374" s="71">
        <v>15</v>
      </c>
      <c r="D1374" s="2" t="s">
        <v>6469</v>
      </c>
      <c r="E1374" s="74">
        <v>0</v>
      </c>
      <c r="F1374" s="71">
        <v>5</v>
      </c>
      <c r="G1374" s="2" t="s">
        <v>1603</v>
      </c>
      <c r="H1374" s="73" t="s">
        <v>6523</v>
      </c>
      <c r="I1374" s="100" t="s">
        <v>6524</v>
      </c>
      <c r="J1374" s="2" t="s">
        <v>24</v>
      </c>
      <c r="K1374" s="2" t="s">
        <v>25</v>
      </c>
      <c r="L1374" s="2" t="s">
        <v>6098</v>
      </c>
      <c r="M1374" s="2" t="s">
        <v>24</v>
      </c>
      <c r="N1374" s="2" t="s">
        <v>25</v>
      </c>
      <c r="O1374" s="2" t="s">
        <v>6098</v>
      </c>
      <c r="P1374" s="51">
        <v>0</v>
      </c>
      <c r="Q1374" s="99" t="s">
        <v>6476</v>
      </c>
    </row>
    <row r="1375" spans="1:17">
      <c r="A1375" s="71">
        <v>27</v>
      </c>
      <c r="B1375" s="2" t="s">
        <v>6012</v>
      </c>
      <c r="C1375" s="71">
        <v>15</v>
      </c>
      <c r="D1375" s="2" t="s">
        <v>6469</v>
      </c>
      <c r="E1375" s="74">
        <v>0</v>
      </c>
      <c r="F1375" s="71">
        <v>6</v>
      </c>
      <c r="G1375" s="2" t="s">
        <v>323</v>
      </c>
      <c r="H1375" s="73" t="s">
        <v>6525</v>
      </c>
      <c r="I1375" s="100" t="s">
        <v>6526</v>
      </c>
      <c r="J1375" s="2" t="s">
        <v>24</v>
      </c>
      <c r="K1375" s="2" t="s">
        <v>25</v>
      </c>
      <c r="L1375" s="2" t="s">
        <v>6473</v>
      </c>
      <c r="M1375" s="2" t="s">
        <v>24</v>
      </c>
      <c r="N1375" s="2" t="s">
        <v>25</v>
      </c>
      <c r="O1375" s="2" t="s">
        <v>6473</v>
      </c>
      <c r="P1375" s="51">
        <v>0</v>
      </c>
      <c r="Q1375" s="99" t="s">
        <v>326</v>
      </c>
    </row>
    <row r="1376" spans="1:17">
      <c r="A1376" s="71">
        <v>27</v>
      </c>
      <c r="B1376" s="2" t="s">
        <v>6012</v>
      </c>
      <c r="C1376" s="71">
        <v>15</v>
      </c>
      <c r="D1376" s="2" t="s">
        <v>6469</v>
      </c>
      <c r="E1376" s="74">
        <v>0</v>
      </c>
      <c r="F1376" s="71">
        <v>7</v>
      </c>
      <c r="G1376" s="2" t="s">
        <v>6470</v>
      </c>
      <c r="H1376" s="73" t="s">
        <v>6527</v>
      </c>
      <c r="I1376" s="100" t="s">
        <v>6528</v>
      </c>
      <c r="J1376" s="2" t="s">
        <v>24</v>
      </c>
      <c r="K1376" s="2" t="s">
        <v>206</v>
      </c>
      <c r="M1376" s="2" t="s">
        <v>24</v>
      </c>
      <c r="N1376" s="2" t="s">
        <v>206</v>
      </c>
      <c r="P1376" s="51">
        <v>0</v>
      </c>
      <c r="Q1376" s="99" t="s">
        <v>6477</v>
      </c>
    </row>
    <row r="1377" spans="1:18">
      <c r="A1377" s="71">
        <v>27</v>
      </c>
      <c r="B1377" s="2" t="s">
        <v>6012</v>
      </c>
      <c r="C1377" s="71">
        <v>15</v>
      </c>
      <c r="D1377" s="2" t="s">
        <v>6469</v>
      </c>
      <c r="E1377" s="74">
        <v>0</v>
      </c>
      <c r="F1377" s="71">
        <v>8</v>
      </c>
      <c r="G1377" s="2" t="s">
        <v>3736</v>
      </c>
      <c r="H1377" s="73" t="s">
        <v>6529</v>
      </c>
      <c r="I1377" s="100" t="s">
        <v>6530</v>
      </c>
      <c r="J1377" s="2" t="s">
        <v>24</v>
      </c>
      <c r="K1377" s="2" t="s">
        <v>25</v>
      </c>
      <c r="L1377" s="2" t="s">
        <v>6478</v>
      </c>
      <c r="M1377" s="2" t="s">
        <v>24</v>
      </c>
      <c r="N1377" s="2" t="s">
        <v>25</v>
      </c>
      <c r="O1377" s="2" t="s">
        <v>6478</v>
      </c>
      <c r="P1377" s="51">
        <v>0</v>
      </c>
      <c r="Q1377" s="99" t="s">
        <v>6479</v>
      </c>
    </row>
    <row r="1378" spans="1:18">
      <c r="A1378" s="71">
        <v>27</v>
      </c>
      <c r="B1378" s="2" t="s">
        <v>6012</v>
      </c>
      <c r="C1378" s="71">
        <v>15</v>
      </c>
      <c r="D1378" s="2" t="s">
        <v>6469</v>
      </c>
      <c r="E1378" s="74">
        <v>0</v>
      </c>
      <c r="F1378" s="71">
        <v>9</v>
      </c>
      <c r="G1378" s="2" t="s">
        <v>6471</v>
      </c>
      <c r="H1378" s="73" t="s">
        <v>6531</v>
      </c>
      <c r="I1378" s="100" t="s">
        <v>6532</v>
      </c>
      <c r="J1378" s="2" t="s">
        <v>24</v>
      </c>
      <c r="K1378" s="2" t="s">
        <v>23</v>
      </c>
      <c r="M1378" s="2" t="s">
        <v>24</v>
      </c>
      <c r="N1378" s="2" t="s">
        <v>23</v>
      </c>
      <c r="P1378" s="51">
        <v>0</v>
      </c>
      <c r="Q1378" s="99" t="s">
        <v>6480</v>
      </c>
    </row>
    <row r="1379" spans="1:18">
      <c r="A1379" s="71">
        <v>27</v>
      </c>
      <c r="B1379" s="2" t="s">
        <v>6012</v>
      </c>
      <c r="C1379" s="71">
        <v>15</v>
      </c>
      <c r="D1379" s="2" t="s">
        <v>6469</v>
      </c>
      <c r="E1379" s="74">
        <v>0</v>
      </c>
      <c r="F1379" s="71">
        <v>10</v>
      </c>
      <c r="G1379" s="2" t="s">
        <v>273</v>
      </c>
      <c r="H1379" s="73" t="s">
        <v>6533</v>
      </c>
      <c r="I1379" s="100" t="s">
        <v>6534</v>
      </c>
      <c r="J1379" s="2" t="s">
        <v>24</v>
      </c>
      <c r="K1379" s="5" t="s">
        <v>139</v>
      </c>
      <c r="M1379" s="2" t="s">
        <v>24</v>
      </c>
      <c r="N1379" s="5" t="s">
        <v>139</v>
      </c>
      <c r="P1379" s="51">
        <v>0</v>
      </c>
      <c r="Q1379" s="99" t="s">
        <v>6243</v>
      </c>
    </row>
    <row r="1380" spans="1:18">
      <c r="A1380" s="71">
        <v>27</v>
      </c>
      <c r="B1380" s="2" t="s">
        <v>6012</v>
      </c>
      <c r="C1380" s="71">
        <v>15</v>
      </c>
      <c r="D1380" s="2" t="s">
        <v>6469</v>
      </c>
      <c r="E1380" s="74">
        <v>0</v>
      </c>
      <c r="F1380" s="71">
        <v>11</v>
      </c>
      <c r="G1380" s="2" t="s">
        <v>889</v>
      </c>
      <c r="H1380" s="73" t="s">
        <v>6535</v>
      </c>
      <c r="I1380" s="100" t="s">
        <v>6536</v>
      </c>
      <c r="J1380" s="2" t="s">
        <v>24</v>
      </c>
      <c r="K1380" s="5" t="s">
        <v>139</v>
      </c>
      <c r="M1380" s="2" t="s">
        <v>24</v>
      </c>
      <c r="N1380" s="5" t="s">
        <v>139</v>
      </c>
      <c r="P1380" s="51">
        <v>0</v>
      </c>
      <c r="Q1380" s="99" t="s">
        <v>6481</v>
      </c>
    </row>
    <row r="1381" spans="1:18">
      <c r="A1381" s="71">
        <v>27</v>
      </c>
      <c r="B1381" s="2" t="s">
        <v>6012</v>
      </c>
      <c r="C1381" s="71">
        <v>16</v>
      </c>
      <c r="D1381" s="2" t="s">
        <v>7692</v>
      </c>
      <c r="E1381" s="74">
        <v>0</v>
      </c>
      <c r="F1381" s="71">
        <v>0</v>
      </c>
      <c r="G1381" s="2" t="s">
        <v>20</v>
      </c>
      <c r="H1381" s="73" t="s">
        <v>6537</v>
      </c>
      <c r="I1381" s="76" t="s">
        <v>7794</v>
      </c>
      <c r="J1381" s="2" t="s">
        <v>23</v>
      </c>
      <c r="K1381" s="2" t="s">
        <v>23</v>
      </c>
      <c r="M1381" s="2" t="s">
        <v>24</v>
      </c>
      <c r="N1381" s="2" t="s">
        <v>25</v>
      </c>
      <c r="O1381" s="2" t="s">
        <v>26</v>
      </c>
      <c r="P1381" s="51">
        <v>0</v>
      </c>
      <c r="Q1381" s="1" t="s">
        <v>6489</v>
      </c>
    </row>
    <row r="1382" spans="1:18">
      <c r="A1382" s="71">
        <v>27</v>
      </c>
      <c r="B1382" s="2" t="s">
        <v>6012</v>
      </c>
      <c r="C1382" s="71">
        <v>16</v>
      </c>
      <c r="D1382" s="2" t="s">
        <v>7692</v>
      </c>
      <c r="E1382" s="74">
        <v>0</v>
      </c>
      <c r="F1382" s="71">
        <v>1</v>
      </c>
      <c r="G1382" s="2" t="s">
        <v>6035</v>
      </c>
      <c r="H1382" s="73" t="s">
        <v>6538</v>
      </c>
      <c r="I1382" s="100" t="s">
        <v>7795</v>
      </c>
      <c r="J1382" s="2" t="s">
        <v>24</v>
      </c>
      <c r="K1382" s="2" t="s">
        <v>25</v>
      </c>
      <c r="L1382" s="2" t="s">
        <v>6036</v>
      </c>
      <c r="M1382" s="2" t="s">
        <v>24</v>
      </c>
      <c r="N1382" s="2" t="s">
        <v>25</v>
      </c>
      <c r="O1382" s="2" t="s">
        <v>6037</v>
      </c>
      <c r="P1382" s="51">
        <v>0</v>
      </c>
      <c r="Q1382" s="99" t="s">
        <v>6038</v>
      </c>
    </row>
    <row r="1383" spans="1:18">
      <c r="A1383" s="71">
        <v>27</v>
      </c>
      <c r="B1383" s="2" t="s">
        <v>6012</v>
      </c>
      <c r="C1383" s="71">
        <v>16</v>
      </c>
      <c r="D1383" s="2" t="s">
        <v>7692</v>
      </c>
      <c r="E1383" s="74">
        <v>0</v>
      </c>
      <c r="F1383" s="71">
        <v>2</v>
      </c>
      <c r="G1383" s="2" t="s">
        <v>6090</v>
      </c>
      <c r="H1383" s="73" t="s">
        <v>6539</v>
      </c>
      <c r="I1383" s="100" t="s">
        <v>7796</v>
      </c>
      <c r="J1383" s="2" t="s">
        <v>23</v>
      </c>
      <c r="K1383" s="2" t="s">
        <v>23</v>
      </c>
      <c r="M1383" s="2" t="s">
        <v>24</v>
      </c>
      <c r="N1383" s="2" t="s">
        <v>23</v>
      </c>
      <c r="P1383" s="51">
        <v>0</v>
      </c>
      <c r="Q1383" s="99" t="s">
        <v>6097</v>
      </c>
    </row>
    <row r="1384" spans="1:18">
      <c r="A1384" s="71">
        <v>27</v>
      </c>
      <c r="B1384" s="2" t="s">
        <v>6012</v>
      </c>
      <c r="C1384" s="71">
        <v>16</v>
      </c>
      <c r="D1384" s="2" t="s">
        <v>7692</v>
      </c>
      <c r="E1384" s="74">
        <v>0</v>
      </c>
      <c r="F1384" s="71">
        <v>3</v>
      </c>
      <c r="G1384" s="2" t="s">
        <v>6482</v>
      </c>
      <c r="H1384" s="73" t="s">
        <v>6540</v>
      </c>
      <c r="I1384" s="100" t="s">
        <v>7797</v>
      </c>
      <c r="J1384" s="2" t="s">
        <v>24</v>
      </c>
      <c r="K1384" s="2" t="s">
        <v>23</v>
      </c>
      <c r="L1384" s="2" t="s">
        <v>6490</v>
      </c>
      <c r="M1384" s="2" t="s">
        <v>24</v>
      </c>
      <c r="N1384" s="2" t="s">
        <v>23</v>
      </c>
      <c r="O1384" s="2" t="s">
        <v>6491</v>
      </c>
      <c r="P1384" s="51">
        <v>0</v>
      </c>
      <c r="Q1384" s="99" t="s">
        <v>6492</v>
      </c>
    </row>
    <row r="1385" spans="1:18">
      <c r="A1385" s="71">
        <v>27</v>
      </c>
      <c r="B1385" s="2" t="s">
        <v>6012</v>
      </c>
      <c r="C1385" s="71">
        <v>16</v>
      </c>
      <c r="D1385" s="2" t="s">
        <v>7692</v>
      </c>
      <c r="E1385" s="74">
        <v>0</v>
      </c>
      <c r="F1385" s="71">
        <v>4</v>
      </c>
      <c r="G1385" s="2" t="s">
        <v>6471</v>
      </c>
      <c r="H1385" s="73" t="s">
        <v>6541</v>
      </c>
      <c r="I1385" s="100" t="s">
        <v>7798</v>
      </c>
      <c r="J1385" s="2" t="s">
        <v>24</v>
      </c>
      <c r="K1385" s="2" t="s">
        <v>206</v>
      </c>
      <c r="M1385" s="2" t="s">
        <v>24</v>
      </c>
      <c r="N1385" s="2" t="s">
        <v>206</v>
      </c>
      <c r="P1385" s="51">
        <v>0</v>
      </c>
      <c r="Q1385" s="99" t="s">
        <v>6493</v>
      </c>
    </row>
    <row r="1386" spans="1:18">
      <c r="A1386" s="71">
        <v>27</v>
      </c>
      <c r="B1386" s="2" t="s">
        <v>6012</v>
      </c>
      <c r="C1386" s="71">
        <v>16</v>
      </c>
      <c r="D1386" s="2" t="s">
        <v>7692</v>
      </c>
      <c r="E1386" s="74">
        <v>0</v>
      </c>
      <c r="F1386" s="71">
        <v>5</v>
      </c>
      <c r="G1386" s="2" t="s">
        <v>1957</v>
      </c>
      <c r="H1386" s="73" t="s">
        <v>6542</v>
      </c>
      <c r="I1386" s="100" t="s">
        <v>7799</v>
      </c>
      <c r="J1386" s="2" t="s">
        <v>23</v>
      </c>
      <c r="K1386" s="2" t="s">
        <v>23</v>
      </c>
      <c r="M1386" s="2" t="s">
        <v>24</v>
      </c>
      <c r="N1386" s="2" t="s">
        <v>116</v>
      </c>
      <c r="O1386" s="16" t="s">
        <v>6494</v>
      </c>
      <c r="P1386" s="51">
        <v>0</v>
      </c>
      <c r="Q1386" s="99" t="s">
        <v>6495</v>
      </c>
    </row>
    <row r="1387" spans="1:18">
      <c r="A1387" s="71">
        <v>27</v>
      </c>
      <c r="B1387" s="2" t="s">
        <v>6012</v>
      </c>
      <c r="C1387" s="71">
        <v>16</v>
      </c>
      <c r="D1387" s="2" t="s">
        <v>7692</v>
      </c>
      <c r="E1387" s="74">
        <v>0</v>
      </c>
      <c r="F1387" s="71">
        <v>6</v>
      </c>
      <c r="G1387" s="2" t="s">
        <v>6483</v>
      </c>
      <c r="H1387" s="73" t="s">
        <v>6543</v>
      </c>
      <c r="I1387" s="100" t="s">
        <v>7800</v>
      </c>
      <c r="J1387" s="2" t="s">
        <v>24</v>
      </c>
      <c r="K1387" s="2" t="s">
        <v>25</v>
      </c>
      <c r="L1387" s="2" t="s">
        <v>6496</v>
      </c>
      <c r="M1387" s="2" t="s">
        <v>24</v>
      </c>
      <c r="N1387" s="2" t="s">
        <v>25</v>
      </c>
      <c r="O1387" s="2" t="s">
        <v>6497</v>
      </c>
      <c r="P1387" s="51">
        <v>0</v>
      </c>
      <c r="Q1387" s="99" t="s">
        <v>6498</v>
      </c>
      <c r="R1387" s="6" t="s">
        <v>6499</v>
      </c>
    </row>
    <row r="1388" spans="1:18">
      <c r="A1388" s="71">
        <v>27</v>
      </c>
      <c r="B1388" s="2" t="s">
        <v>6012</v>
      </c>
      <c r="C1388" s="71">
        <v>16</v>
      </c>
      <c r="D1388" s="2" t="s">
        <v>7692</v>
      </c>
      <c r="E1388" s="74">
        <v>0</v>
      </c>
      <c r="F1388" s="71">
        <v>7</v>
      </c>
      <c r="G1388" s="2" t="s">
        <v>6484</v>
      </c>
      <c r="H1388" s="73" t="s">
        <v>6544</v>
      </c>
      <c r="I1388" s="100" t="s">
        <v>7801</v>
      </c>
      <c r="J1388" s="2" t="s">
        <v>24</v>
      </c>
      <c r="K1388" s="2" t="s">
        <v>25</v>
      </c>
      <c r="L1388" s="2" t="s">
        <v>6500</v>
      </c>
      <c r="M1388" s="2" t="s">
        <v>24</v>
      </c>
      <c r="N1388" s="2" t="s">
        <v>25</v>
      </c>
      <c r="O1388" s="2" t="s">
        <v>6501</v>
      </c>
      <c r="P1388" s="51">
        <v>0</v>
      </c>
      <c r="Q1388" s="99" t="s">
        <v>6502</v>
      </c>
    </row>
    <row r="1389" spans="1:18">
      <c r="A1389" s="71">
        <v>27</v>
      </c>
      <c r="B1389" s="2" t="s">
        <v>6012</v>
      </c>
      <c r="C1389" s="71">
        <v>16</v>
      </c>
      <c r="D1389" s="2" t="s">
        <v>7692</v>
      </c>
      <c r="E1389" s="74">
        <v>0</v>
      </c>
      <c r="F1389" s="71">
        <v>8</v>
      </c>
      <c r="G1389" s="2" t="s">
        <v>6485</v>
      </c>
      <c r="H1389" s="73" t="s">
        <v>6545</v>
      </c>
      <c r="I1389" s="100" t="s">
        <v>7802</v>
      </c>
      <c r="J1389" s="2" t="s">
        <v>24</v>
      </c>
      <c r="K1389" s="2" t="s">
        <v>25</v>
      </c>
      <c r="L1389" s="2" t="s">
        <v>6503</v>
      </c>
      <c r="M1389" s="2" t="s">
        <v>24</v>
      </c>
      <c r="N1389" s="2" t="s">
        <v>25</v>
      </c>
      <c r="O1389" s="2" t="s">
        <v>6504</v>
      </c>
      <c r="P1389" s="51">
        <v>0</v>
      </c>
      <c r="Q1389" s="99" t="s">
        <v>6505</v>
      </c>
    </row>
    <row r="1390" spans="1:18">
      <c r="A1390" s="71">
        <v>27</v>
      </c>
      <c r="B1390" s="2" t="s">
        <v>6012</v>
      </c>
      <c r="C1390" s="71">
        <v>16</v>
      </c>
      <c r="D1390" s="2" t="s">
        <v>7692</v>
      </c>
      <c r="E1390" s="74">
        <v>0</v>
      </c>
      <c r="F1390" s="71">
        <v>9</v>
      </c>
      <c r="G1390" s="2" t="s">
        <v>6486</v>
      </c>
      <c r="H1390" s="73" t="s">
        <v>6546</v>
      </c>
      <c r="I1390" s="100" t="s">
        <v>7803</v>
      </c>
      <c r="J1390" s="2" t="s">
        <v>24</v>
      </c>
      <c r="K1390" s="2" t="s">
        <v>25</v>
      </c>
      <c r="L1390" s="2" t="s">
        <v>6506</v>
      </c>
      <c r="M1390" s="2" t="s">
        <v>24</v>
      </c>
      <c r="N1390" s="2" t="s">
        <v>25</v>
      </c>
      <c r="O1390" s="2" t="s">
        <v>6507</v>
      </c>
      <c r="P1390" s="51">
        <v>0</v>
      </c>
      <c r="Q1390" s="99" t="s">
        <v>6508</v>
      </c>
    </row>
    <row r="1391" spans="1:18">
      <c r="A1391" s="71">
        <v>27</v>
      </c>
      <c r="B1391" s="2" t="s">
        <v>6012</v>
      </c>
      <c r="C1391" s="71">
        <v>16</v>
      </c>
      <c r="D1391" s="2" t="s">
        <v>7692</v>
      </c>
      <c r="E1391" s="74">
        <v>0</v>
      </c>
      <c r="F1391" s="71">
        <v>10</v>
      </c>
      <c r="G1391" s="2" t="s">
        <v>6487</v>
      </c>
      <c r="H1391" s="73" t="s">
        <v>6547</v>
      </c>
      <c r="I1391" s="100" t="s">
        <v>7804</v>
      </c>
      <c r="J1391" s="2" t="s">
        <v>24</v>
      </c>
      <c r="K1391" s="2" t="s">
        <v>25</v>
      </c>
      <c r="L1391" s="2" t="s">
        <v>8095</v>
      </c>
      <c r="M1391" s="2" t="s">
        <v>24</v>
      </c>
      <c r="N1391" s="2" t="s">
        <v>25</v>
      </c>
      <c r="O1391" s="2" t="s">
        <v>8095</v>
      </c>
      <c r="P1391" s="51">
        <v>0</v>
      </c>
      <c r="Q1391" s="99" t="s">
        <v>8093</v>
      </c>
      <c r="R1391" s="2" t="s">
        <v>8094</v>
      </c>
    </row>
    <row r="1392" spans="1:18" ht="105">
      <c r="A1392" s="71">
        <v>27</v>
      </c>
      <c r="B1392" s="2" t="s">
        <v>6012</v>
      </c>
      <c r="C1392" s="71">
        <v>16</v>
      </c>
      <c r="D1392" s="2" t="s">
        <v>7692</v>
      </c>
      <c r="E1392" s="74">
        <v>0</v>
      </c>
      <c r="F1392" s="71">
        <v>11</v>
      </c>
      <c r="G1392" s="2" t="s">
        <v>8092</v>
      </c>
      <c r="H1392" s="73" t="s">
        <v>6548</v>
      </c>
      <c r="I1392" s="100" t="s">
        <v>8096</v>
      </c>
      <c r="J1392" s="2" t="s">
        <v>24</v>
      </c>
      <c r="K1392" s="2" t="s">
        <v>23</v>
      </c>
      <c r="M1392" s="2" t="s">
        <v>24</v>
      </c>
      <c r="N1392" s="2" t="s">
        <v>23</v>
      </c>
      <c r="P1392" s="51">
        <v>0</v>
      </c>
      <c r="Q1392" s="99" t="s">
        <v>6509</v>
      </c>
      <c r="R1392" s="6" t="s">
        <v>6510</v>
      </c>
    </row>
    <row r="1393" spans="1:18" ht="90">
      <c r="A1393" s="71">
        <v>27</v>
      </c>
      <c r="B1393" s="2" t="s">
        <v>6012</v>
      </c>
      <c r="C1393" s="71">
        <v>16</v>
      </c>
      <c r="D1393" s="2" t="s">
        <v>7692</v>
      </c>
      <c r="E1393" s="74">
        <v>0</v>
      </c>
      <c r="F1393" s="71">
        <v>12</v>
      </c>
      <c r="G1393" s="2" t="s">
        <v>6488</v>
      </c>
      <c r="H1393" s="73" t="s">
        <v>8097</v>
      </c>
      <c r="I1393" s="100" t="s">
        <v>7805</v>
      </c>
      <c r="J1393" s="2" t="s">
        <v>23</v>
      </c>
      <c r="K1393" s="2" t="s">
        <v>23</v>
      </c>
      <c r="M1393" s="2" t="s">
        <v>24</v>
      </c>
      <c r="N1393" s="2" t="s">
        <v>23</v>
      </c>
      <c r="P1393" s="51">
        <v>0</v>
      </c>
      <c r="Q1393" s="99" t="s">
        <v>6511</v>
      </c>
      <c r="R1393" s="6" t="s">
        <v>6512</v>
      </c>
    </row>
    <row r="1394" spans="1:18">
      <c r="A1394" s="71">
        <v>27</v>
      </c>
      <c r="B1394" s="2" t="s">
        <v>6012</v>
      </c>
      <c r="C1394" s="71">
        <v>17</v>
      </c>
      <c r="D1394" s="2" t="s">
        <v>6553</v>
      </c>
      <c r="E1394" s="74">
        <v>0</v>
      </c>
      <c r="F1394" s="71">
        <v>0</v>
      </c>
      <c r="G1394" s="2" t="s">
        <v>20</v>
      </c>
      <c r="H1394" s="73" t="s">
        <v>6579</v>
      </c>
      <c r="I1394" s="76" t="s">
        <v>6580</v>
      </c>
      <c r="J1394" s="2" t="s">
        <v>23</v>
      </c>
      <c r="K1394" s="2" t="s">
        <v>23</v>
      </c>
      <c r="M1394" s="2" t="s">
        <v>24</v>
      </c>
      <c r="N1394" s="2" t="s">
        <v>25</v>
      </c>
      <c r="O1394" s="2" t="s">
        <v>26</v>
      </c>
      <c r="P1394" s="51">
        <v>0</v>
      </c>
      <c r="Q1394" s="1" t="s">
        <v>6562</v>
      </c>
      <c r="R1394" s="2" t="s">
        <v>6563</v>
      </c>
    </row>
    <row r="1395" spans="1:18">
      <c r="A1395" s="71">
        <v>27</v>
      </c>
      <c r="B1395" s="2" t="s">
        <v>6012</v>
      </c>
      <c r="C1395" s="71">
        <v>17</v>
      </c>
      <c r="D1395" s="2" t="s">
        <v>6553</v>
      </c>
      <c r="E1395" s="74">
        <v>0</v>
      </c>
      <c r="F1395" s="71">
        <v>1</v>
      </c>
      <c r="G1395" s="2" t="s">
        <v>6035</v>
      </c>
      <c r="H1395" s="73" t="s">
        <v>6581</v>
      </c>
      <c r="I1395" s="100" t="s">
        <v>6582</v>
      </c>
      <c r="J1395" s="2" t="s">
        <v>24</v>
      </c>
      <c r="K1395" s="2" t="s">
        <v>25</v>
      </c>
      <c r="L1395" s="2" t="s">
        <v>6036</v>
      </c>
      <c r="M1395" s="2" t="s">
        <v>24</v>
      </c>
      <c r="N1395" s="2" t="s">
        <v>25</v>
      </c>
      <c r="O1395" s="2" t="s">
        <v>6037</v>
      </c>
      <c r="P1395" s="51">
        <v>0</v>
      </c>
      <c r="Q1395" s="99" t="s">
        <v>6038</v>
      </c>
    </row>
    <row r="1396" spans="1:18">
      <c r="A1396" s="71">
        <v>27</v>
      </c>
      <c r="B1396" s="2" t="s">
        <v>6012</v>
      </c>
      <c r="C1396" s="71">
        <v>17</v>
      </c>
      <c r="D1396" s="2" t="s">
        <v>6553</v>
      </c>
      <c r="E1396" s="74">
        <v>0</v>
      </c>
      <c r="F1396" s="71">
        <v>2</v>
      </c>
      <c r="G1396" s="2" t="s">
        <v>6090</v>
      </c>
      <c r="H1396" s="73" t="s">
        <v>6583</v>
      </c>
      <c r="I1396" s="100" t="s">
        <v>6584</v>
      </c>
      <c r="J1396" s="2" t="s">
        <v>23</v>
      </c>
      <c r="K1396" s="2" t="s">
        <v>23</v>
      </c>
      <c r="M1396" s="2" t="s">
        <v>24</v>
      </c>
      <c r="N1396" s="2" t="s">
        <v>23</v>
      </c>
      <c r="P1396" s="51">
        <v>0</v>
      </c>
      <c r="Q1396" s="99" t="s">
        <v>6564</v>
      </c>
    </row>
    <row r="1397" spans="1:18">
      <c r="A1397" s="71">
        <v>27</v>
      </c>
      <c r="B1397" s="2" t="s">
        <v>6012</v>
      </c>
      <c r="C1397" s="71">
        <v>17</v>
      </c>
      <c r="D1397" s="2" t="s">
        <v>6553</v>
      </c>
      <c r="E1397" s="74">
        <v>0</v>
      </c>
      <c r="F1397" s="71">
        <v>3</v>
      </c>
      <c r="G1397" s="2" t="s">
        <v>6554</v>
      </c>
      <c r="H1397" s="73" t="s">
        <v>6585</v>
      </c>
      <c r="I1397" s="100" t="s">
        <v>6565</v>
      </c>
      <c r="J1397" s="2" t="s">
        <v>24</v>
      </c>
      <c r="K1397" s="2" t="s">
        <v>116</v>
      </c>
      <c r="L1397" s="16" t="s">
        <v>6565</v>
      </c>
      <c r="M1397" s="2" t="s">
        <v>24</v>
      </c>
      <c r="N1397" s="2" t="s">
        <v>116</v>
      </c>
      <c r="O1397" s="16" t="s">
        <v>6565</v>
      </c>
      <c r="P1397" s="51">
        <v>0</v>
      </c>
      <c r="Q1397" s="99" t="s">
        <v>6566</v>
      </c>
    </row>
    <row r="1398" spans="1:18">
      <c r="A1398" s="71">
        <v>27</v>
      </c>
      <c r="B1398" s="2" t="s">
        <v>6012</v>
      </c>
      <c r="C1398" s="71">
        <v>17</v>
      </c>
      <c r="D1398" s="2" t="s">
        <v>6553</v>
      </c>
      <c r="E1398" s="74">
        <v>0</v>
      </c>
      <c r="F1398" s="71">
        <v>4</v>
      </c>
      <c r="G1398" s="2" t="s">
        <v>6555</v>
      </c>
      <c r="H1398" s="73" t="s">
        <v>6586</v>
      </c>
      <c r="I1398" s="100" t="s">
        <v>6587</v>
      </c>
      <c r="J1398" s="2" t="s">
        <v>24</v>
      </c>
      <c r="K1398" s="2" t="s">
        <v>23</v>
      </c>
      <c r="L1398" s="2" t="s">
        <v>6567</v>
      </c>
      <c r="M1398" s="2" t="s">
        <v>24</v>
      </c>
      <c r="N1398" s="2" t="s">
        <v>23</v>
      </c>
      <c r="O1398" s="2" t="s">
        <v>6567</v>
      </c>
      <c r="P1398" s="51">
        <v>0</v>
      </c>
      <c r="Q1398" s="99" t="s">
        <v>6568</v>
      </c>
    </row>
    <row r="1399" spans="1:18">
      <c r="A1399" s="71">
        <v>27</v>
      </c>
      <c r="B1399" s="2" t="s">
        <v>6012</v>
      </c>
      <c r="C1399" s="71">
        <v>17</v>
      </c>
      <c r="D1399" s="2" t="s">
        <v>6553</v>
      </c>
      <c r="E1399" s="74">
        <v>0</v>
      </c>
      <c r="F1399" s="71">
        <v>5</v>
      </c>
      <c r="G1399" s="2" t="s">
        <v>6556</v>
      </c>
      <c r="H1399" s="73" t="s">
        <v>6588</v>
      </c>
      <c r="I1399" s="100" t="s">
        <v>6589</v>
      </c>
      <c r="J1399" s="2" t="s">
        <v>24</v>
      </c>
      <c r="K1399" s="2" t="s">
        <v>23</v>
      </c>
      <c r="L1399" s="2" t="s">
        <v>6567</v>
      </c>
      <c r="M1399" s="2" t="s">
        <v>24</v>
      </c>
      <c r="N1399" s="2" t="s">
        <v>23</v>
      </c>
      <c r="O1399" s="2" t="s">
        <v>6567</v>
      </c>
      <c r="P1399" s="51">
        <v>0</v>
      </c>
      <c r="Q1399" s="99" t="s">
        <v>6569</v>
      </c>
    </row>
    <row r="1400" spans="1:18">
      <c r="A1400" s="71">
        <v>27</v>
      </c>
      <c r="B1400" s="2" t="s">
        <v>6012</v>
      </c>
      <c r="C1400" s="71">
        <v>17</v>
      </c>
      <c r="D1400" s="2" t="s">
        <v>6553</v>
      </c>
      <c r="E1400" s="74">
        <v>0</v>
      </c>
      <c r="F1400" s="71">
        <v>6</v>
      </c>
      <c r="G1400" s="2" t="s">
        <v>6557</v>
      </c>
      <c r="H1400" s="73" t="s">
        <v>6590</v>
      </c>
      <c r="I1400" s="100" t="s">
        <v>6591</v>
      </c>
      <c r="J1400" s="2" t="s">
        <v>24</v>
      </c>
      <c r="K1400" s="2" t="s">
        <v>23</v>
      </c>
      <c r="L1400" s="2" t="s">
        <v>6570</v>
      </c>
      <c r="M1400" s="2" t="s">
        <v>24</v>
      </c>
      <c r="N1400" s="2" t="s">
        <v>23</v>
      </c>
      <c r="O1400" s="2" t="s">
        <v>6570</v>
      </c>
      <c r="P1400" s="51">
        <v>0</v>
      </c>
      <c r="Q1400" s="99" t="s">
        <v>6571</v>
      </c>
    </row>
    <row r="1401" spans="1:18">
      <c r="A1401" s="71">
        <v>27</v>
      </c>
      <c r="B1401" s="2" t="s">
        <v>6012</v>
      </c>
      <c r="C1401" s="71">
        <v>17</v>
      </c>
      <c r="D1401" s="2" t="s">
        <v>6553</v>
      </c>
      <c r="E1401" s="74">
        <v>0</v>
      </c>
      <c r="F1401" s="71">
        <v>7</v>
      </c>
      <c r="G1401" s="2" t="s">
        <v>6558</v>
      </c>
      <c r="H1401" s="73" t="s">
        <v>6592</v>
      </c>
      <c r="I1401" s="100" t="s">
        <v>6593</v>
      </c>
      <c r="J1401" s="2" t="s">
        <v>24</v>
      </c>
      <c r="K1401" s="2" t="s">
        <v>23</v>
      </c>
      <c r="L1401" s="2" t="s">
        <v>6572</v>
      </c>
      <c r="M1401" s="2" t="s">
        <v>24</v>
      </c>
      <c r="N1401" s="2" t="s">
        <v>23</v>
      </c>
      <c r="O1401" s="2" t="s">
        <v>6572</v>
      </c>
      <c r="P1401" s="51">
        <v>0</v>
      </c>
      <c r="Q1401" s="99" t="s">
        <v>6573</v>
      </c>
    </row>
    <row r="1402" spans="1:18">
      <c r="A1402" s="71">
        <v>27</v>
      </c>
      <c r="B1402" s="2" t="s">
        <v>6012</v>
      </c>
      <c r="C1402" s="71">
        <v>17</v>
      </c>
      <c r="D1402" s="2" t="s">
        <v>6553</v>
      </c>
      <c r="E1402" s="74">
        <v>0</v>
      </c>
      <c r="F1402" s="71">
        <v>8</v>
      </c>
      <c r="G1402" s="2" t="s">
        <v>318</v>
      </c>
      <c r="H1402" s="73" t="s">
        <v>6594</v>
      </c>
      <c r="I1402" s="100" t="s">
        <v>6595</v>
      </c>
      <c r="J1402" s="2" t="s">
        <v>24</v>
      </c>
      <c r="K1402" s="5" t="s">
        <v>139</v>
      </c>
      <c r="L1402" s="2" t="s">
        <v>6574</v>
      </c>
      <c r="M1402" s="2" t="s">
        <v>24</v>
      </c>
      <c r="N1402" s="5" t="s">
        <v>139</v>
      </c>
      <c r="O1402" s="2" t="s">
        <v>6574</v>
      </c>
      <c r="P1402" s="51">
        <v>0</v>
      </c>
      <c r="Q1402" s="99" t="s">
        <v>6575</v>
      </c>
    </row>
    <row r="1403" spans="1:18">
      <c r="A1403" s="71">
        <v>27</v>
      </c>
      <c r="B1403" s="2" t="s">
        <v>6012</v>
      </c>
      <c r="C1403" s="71">
        <v>17</v>
      </c>
      <c r="D1403" s="2" t="s">
        <v>6553</v>
      </c>
      <c r="E1403" s="74">
        <v>0</v>
      </c>
      <c r="F1403" s="71">
        <v>9</v>
      </c>
      <c r="G1403" s="2" t="s">
        <v>6559</v>
      </c>
      <c r="H1403" s="73" t="s">
        <v>6596</v>
      </c>
      <c r="I1403" s="100" t="s">
        <v>6597</v>
      </c>
      <c r="J1403" s="2" t="s">
        <v>24</v>
      </c>
      <c r="K1403" s="2" t="s">
        <v>23</v>
      </c>
      <c r="M1403" s="2" t="s">
        <v>24</v>
      </c>
      <c r="N1403" s="2" t="s">
        <v>23</v>
      </c>
      <c r="P1403" s="51">
        <v>0</v>
      </c>
      <c r="Q1403" s="99" t="s">
        <v>678</v>
      </c>
      <c r="R1403" s="2" t="s">
        <v>6576</v>
      </c>
    </row>
    <row r="1404" spans="1:18">
      <c r="A1404" s="71">
        <v>27</v>
      </c>
      <c r="B1404" s="2" t="s">
        <v>6012</v>
      </c>
      <c r="C1404" s="71">
        <v>17</v>
      </c>
      <c r="D1404" s="2" t="s">
        <v>6553</v>
      </c>
      <c r="E1404" s="74">
        <v>0</v>
      </c>
      <c r="F1404" s="71">
        <v>10</v>
      </c>
      <c r="G1404" s="2" t="s">
        <v>6560</v>
      </c>
      <c r="H1404" s="73" t="s">
        <v>6598</v>
      </c>
      <c r="I1404" s="100" t="s">
        <v>6599</v>
      </c>
      <c r="J1404" s="2" t="s">
        <v>24</v>
      </c>
      <c r="K1404" s="2" t="s">
        <v>23</v>
      </c>
      <c r="M1404" s="2" t="s">
        <v>24</v>
      </c>
      <c r="N1404" s="2" t="s">
        <v>23</v>
      </c>
      <c r="P1404" s="51">
        <v>0</v>
      </c>
      <c r="Q1404" s="99" t="s">
        <v>682</v>
      </c>
    </row>
    <row r="1405" spans="1:18">
      <c r="A1405" s="71">
        <v>27</v>
      </c>
      <c r="B1405" s="2" t="s">
        <v>6012</v>
      </c>
      <c r="C1405" s="71">
        <v>17</v>
      </c>
      <c r="D1405" s="2" t="s">
        <v>6553</v>
      </c>
      <c r="E1405" s="74">
        <v>0</v>
      </c>
      <c r="F1405" s="71">
        <v>11</v>
      </c>
      <c r="G1405" s="2" t="s">
        <v>6561</v>
      </c>
      <c r="H1405" s="73" t="s">
        <v>6600</v>
      </c>
      <c r="I1405" s="100" t="s">
        <v>6601</v>
      </c>
      <c r="J1405" s="2" t="s">
        <v>24</v>
      </c>
      <c r="K1405" s="2" t="s">
        <v>133</v>
      </c>
      <c r="L1405" s="2" t="s">
        <v>6577</v>
      </c>
      <c r="M1405" s="2" t="s">
        <v>24</v>
      </c>
      <c r="N1405" s="2" t="s">
        <v>133</v>
      </c>
      <c r="O1405" s="2" t="s">
        <v>6577</v>
      </c>
      <c r="P1405" s="51">
        <v>0</v>
      </c>
      <c r="Q1405" s="99" t="s">
        <v>707</v>
      </c>
    </row>
    <row r="1406" spans="1:18">
      <c r="A1406" s="71">
        <v>27</v>
      </c>
      <c r="B1406" s="2" t="s">
        <v>6012</v>
      </c>
      <c r="C1406" s="71">
        <v>17</v>
      </c>
      <c r="D1406" s="2" t="s">
        <v>6553</v>
      </c>
      <c r="E1406" s="74">
        <v>0</v>
      </c>
      <c r="F1406" s="71">
        <v>12</v>
      </c>
      <c r="G1406" s="2" t="s">
        <v>370</v>
      </c>
      <c r="H1406" s="73" t="s">
        <v>6602</v>
      </c>
      <c r="I1406" s="100" t="s">
        <v>6603</v>
      </c>
      <c r="J1406" s="2" t="s">
        <v>24</v>
      </c>
      <c r="K1406" s="2" t="s">
        <v>23</v>
      </c>
      <c r="L1406" s="2" t="s">
        <v>6578</v>
      </c>
      <c r="M1406" s="2" t="s">
        <v>24</v>
      </c>
      <c r="N1406" s="2" t="s">
        <v>23</v>
      </c>
      <c r="O1406" s="2" t="s">
        <v>6578</v>
      </c>
      <c r="P1406" s="51">
        <v>0</v>
      </c>
      <c r="Q1406" s="99" t="s">
        <v>374</v>
      </c>
    </row>
    <row r="1407" spans="1:18">
      <c r="A1407" s="71">
        <v>27</v>
      </c>
      <c r="B1407" s="2" t="s">
        <v>6012</v>
      </c>
      <c r="C1407" s="71">
        <v>18</v>
      </c>
      <c r="D1407" s="2" t="s">
        <v>6611</v>
      </c>
      <c r="E1407" s="74">
        <v>0</v>
      </c>
      <c r="F1407" s="71">
        <v>0</v>
      </c>
      <c r="G1407" s="2" t="s">
        <v>20</v>
      </c>
      <c r="H1407" s="73" t="s">
        <v>6631</v>
      </c>
      <c r="I1407" s="76" t="s">
        <v>6632</v>
      </c>
      <c r="J1407" s="2" t="s">
        <v>23</v>
      </c>
      <c r="K1407" s="2" t="s">
        <v>23</v>
      </c>
      <c r="M1407" s="2" t="s">
        <v>24</v>
      </c>
      <c r="N1407" s="2" t="s">
        <v>25</v>
      </c>
      <c r="O1407" s="2" t="s">
        <v>26</v>
      </c>
      <c r="P1407" s="51">
        <v>0</v>
      </c>
      <c r="Q1407" s="1" t="s">
        <v>6619</v>
      </c>
      <c r="R1407" s="2" t="s">
        <v>6563</v>
      </c>
    </row>
    <row r="1408" spans="1:18">
      <c r="A1408" s="71">
        <v>27</v>
      </c>
      <c r="B1408" s="2" t="s">
        <v>6012</v>
      </c>
      <c r="C1408" s="71">
        <v>18</v>
      </c>
      <c r="D1408" s="2" t="s">
        <v>6611</v>
      </c>
      <c r="E1408" s="74">
        <v>0</v>
      </c>
      <c r="F1408" s="71">
        <v>1</v>
      </c>
      <c r="G1408" s="2" t="s">
        <v>6035</v>
      </c>
      <c r="H1408" s="73" t="s">
        <v>6633</v>
      </c>
      <c r="I1408" s="100" t="s">
        <v>6634</v>
      </c>
      <c r="J1408" s="2" t="s">
        <v>23</v>
      </c>
      <c r="K1408" s="2" t="s">
        <v>23</v>
      </c>
      <c r="M1408" s="2" t="s">
        <v>24</v>
      </c>
      <c r="N1408" s="2" t="s">
        <v>25</v>
      </c>
      <c r="O1408" s="2" t="s">
        <v>6037</v>
      </c>
      <c r="P1408" s="51">
        <v>0</v>
      </c>
      <c r="Q1408" s="99" t="s">
        <v>6038</v>
      </c>
    </row>
    <row r="1409" spans="1:18">
      <c r="A1409" s="71">
        <v>27</v>
      </c>
      <c r="B1409" s="2" t="s">
        <v>6012</v>
      </c>
      <c r="C1409" s="71">
        <v>18</v>
      </c>
      <c r="D1409" s="2" t="s">
        <v>6611</v>
      </c>
      <c r="E1409" s="74">
        <v>0</v>
      </c>
      <c r="F1409" s="71">
        <v>2</v>
      </c>
      <c r="G1409" s="2" t="s">
        <v>6090</v>
      </c>
      <c r="H1409" s="73" t="s">
        <v>6635</v>
      </c>
      <c r="I1409" s="100" t="s">
        <v>6636</v>
      </c>
      <c r="J1409" s="2" t="s">
        <v>23</v>
      </c>
      <c r="K1409" s="2" t="s">
        <v>23</v>
      </c>
      <c r="M1409" s="2" t="s">
        <v>24</v>
      </c>
      <c r="N1409" s="2" t="s">
        <v>23</v>
      </c>
      <c r="P1409" s="51">
        <v>0</v>
      </c>
      <c r="Q1409" s="99" t="s">
        <v>6564</v>
      </c>
    </row>
    <row r="1410" spans="1:18">
      <c r="A1410" s="71">
        <v>27</v>
      </c>
      <c r="B1410" s="2" t="s">
        <v>6012</v>
      </c>
      <c r="C1410" s="71">
        <v>18</v>
      </c>
      <c r="D1410" s="2" t="s">
        <v>6611</v>
      </c>
      <c r="E1410" s="74">
        <v>0</v>
      </c>
      <c r="F1410" s="71">
        <v>3</v>
      </c>
      <c r="G1410" s="2" t="s">
        <v>6612</v>
      </c>
      <c r="H1410" s="73" t="s">
        <v>6637</v>
      </c>
      <c r="I1410" s="100" t="s">
        <v>6638</v>
      </c>
      <c r="J1410" s="2" t="s">
        <v>23</v>
      </c>
      <c r="K1410" s="2" t="s">
        <v>23</v>
      </c>
      <c r="M1410" s="2" t="s">
        <v>24</v>
      </c>
      <c r="N1410" s="5" t="s">
        <v>139</v>
      </c>
      <c r="P1410" s="51">
        <v>0</v>
      </c>
      <c r="Q1410" s="99" t="s">
        <v>803</v>
      </c>
    </row>
    <row r="1411" spans="1:18">
      <c r="A1411" s="71">
        <v>27</v>
      </c>
      <c r="B1411" s="2" t="s">
        <v>6012</v>
      </c>
      <c r="C1411" s="71">
        <v>18</v>
      </c>
      <c r="D1411" s="2" t="s">
        <v>6611</v>
      </c>
      <c r="E1411" s="74">
        <v>0</v>
      </c>
      <c r="F1411" s="71">
        <v>4</v>
      </c>
      <c r="G1411" s="2" t="s">
        <v>6613</v>
      </c>
      <c r="H1411" s="73" t="s">
        <v>6639</v>
      </c>
      <c r="I1411" s="100" t="s">
        <v>6620</v>
      </c>
      <c r="J1411" s="2" t="s">
        <v>23</v>
      </c>
      <c r="K1411" s="2" t="s">
        <v>23</v>
      </c>
      <c r="M1411" s="2" t="s">
        <v>24</v>
      </c>
      <c r="N1411" s="2" t="s">
        <v>116</v>
      </c>
      <c r="O1411" s="16" t="s">
        <v>6620</v>
      </c>
      <c r="P1411" s="51">
        <v>0</v>
      </c>
      <c r="Q1411" s="99" t="s">
        <v>647</v>
      </c>
    </row>
    <row r="1412" spans="1:18">
      <c r="A1412" s="71">
        <v>27</v>
      </c>
      <c r="B1412" s="2" t="s">
        <v>6012</v>
      </c>
      <c r="C1412" s="71">
        <v>18</v>
      </c>
      <c r="D1412" s="2" t="s">
        <v>6611</v>
      </c>
      <c r="E1412" s="74">
        <v>0</v>
      </c>
      <c r="F1412" s="71">
        <v>5</v>
      </c>
      <c r="G1412" s="2" t="s">
        <v>6614</v>
      </c>
      <c r="H1412" s="73" t="s">
        <v>6640</v>
      </c>
      <c r="I1412" s="100" t="s">
        <v>6621</v>
      </c>
      <c r="J1412" s="2" t="s">
        <v>23</v>
      </c>
      <c r="K1412" s="2" t="s">
        <v>23</v>
      </c>
      <c r="M1412" s="2" t="s">
        <v>24</v>
      </c>
      <c r="N1412" s="2" t="s">
        <v>116</v>
      </c>
      <c r="O1412" s="16" t="s">
        <v>6621</v>
      </c>
      <c r="P1412" s="51">
        <v>0</v>
      </c>
      <c r="Q1412" s="99" t="s">
        <v>6622</v>
      </c>
    </row>
    <row r="1413" spans="1:18">
      <c r="A1413" s="71">
        <v>27</v>
      </c>
      <c r="B1413" s="2" t="s">
        <v>6012</v>
      </c>
      <c r="C1413" s="71">
        <v>18</v>
      </c>
      <c r="D1413" s="2" t="s">
        <v>6611</v>
      </c>
      <c r="E1413" s="74">
        <v>0</v>
      </c>
      <c r="F1413" s="71">
        <v>6</v>
      </c>
      <c r="G1413" s="2" t="s">
        <v>6615</v>
      </c>
      <c r="H1413" s="73" t="s">
        <v>6641</v>
      </c>
      <c r="I1413" s="100" t="s">
        <v>6623</v>
      </c>
      <c r="J1413" s="2" t="s">
        <v>23</v>
      </c>
      <c r="K1413" s="2" t="s">
        <v>23</v>
      </c>
      <c r="M1413" s="2" t="s">
        <v>24</v>
      </c>
      <c r="N1413" s="2" t="s">
        <v>116</v>
      </c>
      <c r="O1413" s="16" t="s">
        <v>6623</v>
      </c>
      <c r="P1413" s="51">
        <v>0</v>
      </c>
      <c r="Q1413" s="99" t="s">
        <v>6624</v>
      </c>
    </row>
    <row r="1414" spans="1:18">
      <c r="A1414" s="71">
        <v>27</v>
      </c>
      <c r="B1414" s="2" t="s">
        <v>6012</v>
      </c>
      <c r="C1414" s="71">
        <v>18</v>
      </c>
      <c r="D1414" s="2" t="s">
        <v>6611</v>
      </c>
      <c r="E1414" s="74">
        <v>0</v>
      </c>
      <c r="F1414" s="71">
        <v>7</v>
      </c>
      <c r="G1414" s="2" t="s">
        <v>6616</v>
      </c>
      <c r="H1414" s="73" t="s">
        <v>6642</v>
      </c>
      <c r="I1414" s="100" t="s">
        <v>6643</v>
      </c>
      <c r="J1414" s="2" t="s">
        <v>23</v>
      </c>
      <c r="K1414" s="2" t="s">
        <v>23</v>
      </c>
      <c r="M1414" s="2" t="s">
        <v>24</v>
      </c>
      <c r="N1414" s="5" t="s">
        <v>25</v>
      </c>
      <c r="O1414" s="2" t="s">
        <v>6625</v>
      </c>
      <c r="P1414" s="51">
        <v>0</v>
      </c>
      <c r="Q1414" s="99" t="s">
        <v>6626</v>
      </c>
    </row>
    <row r="1415" spans="1:18">
      <c r="A1415" s="71">
        <v>27</v>
      </c>
      <c r="B1415" s="2" t="s">
        <v>6012</v>
      </c>
      <c r="C1415" s="71">
        <v>18</v>
      </c>
      <c r="D1415" s="2" t="s">
        <v>6611</v>
      </c>
      <c r="E1415" s="74">
        <v>0</v>
      </c>
      <c r="F1415" s="71">
        <v>8</v>
      </c>
      <c r="G1415" s="2" t="s">
        <v>6617</v>
      </c>
      <c r="H1415" s="73" t="s">
        <v>6644</v>
      </c>
      <c r="I1415" s="100" t="s">
        <v>6627</v>
      </c>
      <c r="J1415" s="2" t="s">
        <v>23</v>
      </c>
      <c r="K1415" s="2" t="s">
        <v>23</v>
      </c>
      <c r="M1415" s="2" t="s">
        <v>24</v>
      </c>
      <c r="N1415" s="2" t="s">
        <v>116</v>
      </c>
      <c r="O1415" s="16" t="s">
        <v>6627</v>
      </c>
      <c r="P1415" s="51">
        <v>0</v>
      </c>
      <c r="Q1415" s="99" t="s">
        <v>6628</v>
      </c>
    </row>
    <row r="1416" spans="1:18">
      <c r="A1416" s="71">
        <v>27</v>
      </c>
      <c r="B1416" s="2" t="s">
        <v>6012</v>
      </c>
      <c r="C1416" s="71">
        <v>18</v>
      </c>
      <c r="D1416" s="2" t="s">
        <v>6611</v>
      </c>
      <c r="E1416" s="74">
        <v>0</v>
      </c>
      <c r="F1416" s="71">
        <v>9</v>
      </c>
      <c r="G1416" s="2" t="s">
        <v>6618</v>
      </c>
      <c r="H1416" s="73" t="s">
        <v>6645</v>
      </c>
      <c r="I1416" s="100" t="s">
        <v>6629</v>
      </c>
      <c r="J1416" s="2" t="s">
        <v>23</v>
      </c>
      <c r="K1416" s="2" t="s">
        <v>23</v>
      </c>
      <c r="M1416" s="2" t="s">
        <v>24</v>
      </c>
      <c r="N1416" s="2" t="s">
        <v>116</v>
      </c>
      <c r="O1416" s="16" t="s">
        <v>6629</v>
      </c>
      <c r="P1416" s="51">
        <v>0</v>
      </c>
      <c r="Q1416" s="99" t="s">
        <v>6630</v>
      </c>
    </row>
    <row r="1417" spans="1:18">
      <c r="A1417" s="71">
        <v>27</v>
      </c>
      <c r="B1417" s="2" t="s">
        <v>6012</v>
      </c>
      <c r="C1417" s="71">
        <v>19</v>
      </c>
      <c r="D1417" s="2" t="s">
        <v>6658</v>
      </c>
      <c r="E1417" s="74">
        <v>0</v>
      </c>
      <c r="F1417" s="71">
        <v>0</v>
      </c>
      <c r="G1417" s="2" t="s">
        <v>20</v>
      </c>
      <c r="H1417" s="73" t="s">
        <v>6680</v>
      </c>
      <c r="I1417" s="76" t="s">
        <v>6681</v>
      </c>
      <c r="J1417" s="2" t="s">
        <v>23</v>
      </c>
      <c r="K1417" s="2" t="s">
        <v>23</v>
      </c>
      <c r="M1417" s="2" t="s">
        <v>24</v>
      </c>
      <c r="N1417" s="2" t="s">
        <v>25</v>
      </c>
      <c r="O1417" s="2" t="s">
        <v>26</v>
      </c>
      <c r="P1417" s="51">
        <v>0</v>
      </c>
      <c r="Q1417" s="1" t="s">
        <v>6666</v>
      </c>
      <c r="R1417" s="2" t="s">
        <v>6563</v>
      </c>
    </row>
    <row r="1418" spans="1:18">
      <c r="A1418" s="71">
        <v>27</v>
      </c>
      <c r="B1418" s="2" t="s">
        <v>6012</v>
      </c>
      <c r="C1418" s="71">
        <v>19</v>
      </c>
      <c r="D1418" s="2" t="s">
        <v>6658</v>
      </c>
      <c r="E1418" s="74">
        <v>0</v>
      </c>
      <c r="F1418" s="71">
        <v>1</v>
      </c>
      <c r="G1418" s="2" t="s">
        <v>6035</v>
      </c>
      <c r="H1418" s="73" t="s">
        <v>6682</v>
      </c>
      <c r="I1418" s="100" t="s">
        <v>6683</v>
      </c>
      <c r="J1418" s="2" t="s">
        <v>24</v>
      </c>
      <c r="K1418" s="2" t="s">
        <v>25</v>
      </c>
      <c r="L1418" s="2" t="s">
        <v>6036</v>
      </c>
      <c r="M1418" s="2" t="s">
        <v>24</v>
      </c>
      <c r="N1418" s="2" t="s">
        <v>25</v>
      </c>
      <c r="O1418" s="2" t="s">
        <v>6037</v>
      </c>
      <c r="P1418" s="51">
        <v>0</v>
      </c>
      <c r="Q1418" s="99" t="s">
        <v>6038</v>
      </c>
    </row>
    <row r="1419" spans="1:18">
      <c r="A1419" s="71">
        <v>27</v>
      </c>
      <c r="B1419" s="2" t="s">
        <v>6012</v>
      </c>
      <c r="C1419" s="71">
        <v>19</v>
      </c>
      <c r="D1419" s="2" t="s">
        <v>6658</v>
      </c>
      <c r="E1419" s="74">
        <v>0</v>
      </c>
      <c r="F1419" s="71">
        <v>2</v>
      </c>
      <c r="G1419" s="2" t="s">
        <v>6090</v>
      </c>
      <c r="H1419" s="73" t="s">
        <v>6684</v>
      </c>
      <c r="I1419" s="100" t="s">
        <v>6685</v>
      </c>
      <c r="J1419" s="2" t="s">
        <v>24</v>
      </c>
      <c r="K1419" s="2" t="s">
        <v>23</v>
      </c>
      <c r="M1419" s="2" t="s">
        <v>24</v>
      </c>
      <c r="N1419" s="2" t="s">
        <v>23</v>
      </c>
      <c r="P1419" s="51">
        <v>0</v>
      </c>
      <c r="Q1419" s="99" t="s">
        <v>6667</v>
      </c>
    </row>
    <row r="1420" spans="1:18">
      <c r="A1420" s="71">
        <v>27</v>
      </c>
      <c r="B1420" s="2" t="s">
        <v>6012</v>
      </c>
      <c r="C1420" s="71">
        <v>19</v>
      </c>
      <c r="D1420" s="2" t="s">
        <v>6658</v>
      </c>
      <c r="E1420" s="74">
        <v>0</v>
      </c>
      <c r="F1420" s="71">
        <v>3</v>
      </c>
      <c r="G1420" s="2" t="s">
        <v>6612</v>
      </c>
      <c r="H1420" s="73" t="s">
        <v>6686</v>
      </c>
      <c r="I1420" s="100" t="s">
        <v>6687</v>
      </c>
      <c r="J1420" s="2" t="s">
        <v>24</v>
      </c>
      <c r="K1420" s="5" t="s">
        <v>139</v>
      </c>
      <c r="M1420" s="2" t="s">
        <v>24</v>
      </c>
      <c r="N1420" s="5" t="s">
        <v>139</v>
      </c>
      <c r="P1420" s="51">
        <v>0</v>
      </c>
      <c r="Q1420" s="99" t="s">
        <v>803</v>
      </c>
    </row>
    <row r="1421" spans="1:18">
      <c r="A1421" s="71">
        <v>27</v>
      </c>
      <c r="B1421" s="2" t="s">
        <v>6012</v>
      </c>
      <c r="C1421" s="71">
        <v>19</v>
      </c>
      <c r="D1421" s="2" t="s">
        <v>6658</v>
      </c>
      <c r="E1421" s="74">
        <v>0</v>
      </c>
      <c r="F1421" s="71">
        <v>4</v>
      </c>
      <c r="G1421" s="2" t="s">
        <v>6659</v>
      </c>
      <c r="H1421" s="73" t="s">
        <v>6688</v>
      </c>
      <c r="I1421" s="100" t="s">
        <v>6689</v>
      </c>
      <c r="J1421" s="2" t="s">
        <v>24</v>
      </c>
      <c r="K1421" s="2" t="s">
        <v>23</v>
      </c>
      <c r="L1421" s="2" t="s">
        <v>6668</v>
      </c>
      <c r="M1421" s="2" t="s">
        <v>24</v>
      </c>
      <c r="N1421" s="2" t="s">
        <v>23</v>
      </c>
      <c r="O1421" s="2" t="s">
        <v>6668</v>
      </c>
      <c r="P1421" s="51">
        <v>0</v>
      </c>
      <c r="Q1421" s="99" t="s">
        <v>6669</v>
      </c>
    </row>
    <row r="1422" spans="1:18">
      <c r="A1422" s="71">
        <v>27</v>
      </c>
      <c r="B1422" s="2" t="s">
        <v>6012</v>
      </c>
      <c r="C1422" s="71">
        <v>19</v>
      </c>
      <c r="D1422" s="2" t="s">
        <v>6658</v>
      </c>
      <c r="E1422" s="74">
        <v>0</v>
      </c>
      <c r="F1422" s="71">
        <v>5</v>
      </c>
      <c r="G1422" s="2" t="s">
        <v>6660</v>
      </c>
      <c r="H1422" s="73" t="s">
        <v>6690</v>
      </c>
      <c r="I1422" s="100" t="s">
        <v>6691</v>
      </c>
      <c r="J1422" s="2" t="s">
        <v>24</v>
      </c>
      <c r="K1422" s="2" t="s">
        <v>23</v>
      </c>
      <c r="L1422" s="2" t="s">
        <v>6670</v>
      </c>
      <c r="M1422" s="2" t="s">
        <v>24</v>
      </c>
      <c r="N1422" s="2" t="s">
        <v>23</v>
      </c>
      <c r="O1422" s="2" t="s">
        <v>6670</v>
      </c>
      <c r="P1422" s="51">
        <v>0</v>
      </c>
      <c r="Q1422" s="99" t="s">
        <v>6671</v>
      </c>
    </row>
    <row r="1423" spans="1:18">
      <c r="A1423" s="71">
        <v>27</v>
      </c>
      <c r="B1423" s="2" t="s">
        <v>6012</v>
      </c>
      <c r="C1423" s="71">
        <v>19</v>
      </c>
      <c r="D1423" s="2" t="s">
        <v>6658</v>
      </c>
      <c r="E1423" s="74">
        <v>0</v>
      </c>
      <c r="F1423" s="71">
        <v>6</v>
      </c>
      <c r="G1423" s="2" t="s">
        <v>6661</v>
      </c>
      <c r="H1423" s="73" t="s">
        <v>6692</v>
      </c>
      <c r="I1423" s="100" t="s">
        <v>6693</v>
      </c>
      <c r="J1423" s="2" t="s">
        <v>24</v>
      </c>
      <c r="K1423" s="2" t="s">
        <v>23</v>
      </c>
      <c r="L1423" s="2" t="s">
        <v>6672</v>
      </c>
      <c r="M1423" s="2" t="s">
        <v>24</v>
      </c>
      <c r="N1423" s="2" t="s">
        <v>23</v>
      </c>
      <c r="O1423" s="2" t="s">
        <v>6672</v>
      </c>
      <c r="P1423" s="51">
        <v>0</v>
      </c>
      <c r="Q1423" s="99" t="s">
        <v>6673</v>
      </c>
    </row>
    <row r="1424" spans="1:18">
      <c r="A1424" s="71">
        <v>27</v>
      </c>
      <c r="B1424" s="2" t="s">
        <v>6012</v>
      </c>
      <c r="C1424" s="71">
        <v>19</v>
      </c>
      <c r="D1424" s="2" t="s">
        <v>6658</v>
      </c>
      <c r="E1424" s="74">
        <v>0</v>
      </c>
      <c r="F1424" s="71">
        <v>7</v>
      </c>
      <c r="G1424" s="2" t="s">
        <v>6662</v>
      </c>
      <c r="H1424" s="73" t="s">
        <v>6694</v>
      </c>
      <c r="I1424" s="100" t="s">
        <v>6695</v>
      </c>
      <c r="J1424" s="2" t="s">
        <v>24</v>
      </c>
      <c r="K1424" s="2" t="s">
        <v>23</v>
      </c>
      <c r="L1424" s="2" t="s">
        <v>6668</v>
      </c>
      <c r="M1424" s="2" t="s">
        <v>24</v>
      </c>
      <c r="N1424" s="2" t="s">
        <v>23</v>
      </c>
      <c r="O1424" s="2" t="s">
        <v>6668</v>
      </c>
      <c r="P1424" s="51">
        <v>0</v>
      </c>
      <c r="Q1424" s="99" t="s">
        <v>6674</v>
      </c>
    </row>
    <row r="1425" spans="1:18">
      <c r="A1425" s="71">
        <v>27</v>
      </c>
      <c r="B1425" s="2" t="s">
        <v>6012</v>
      </c>
      <c r="C1425" s="71">
        <v>19</v>
      </c>
      <c r="D1425" s="2" t="s">
        <v>6658</v>
      </c>
      <c r="E1425" s="74">
        <v>0</v>
      </c>
      <c r="F1425" s="71">
        <v>8</v>
      </c>
      <c r="G1425" s="2" t="s">
        <v>6663</v>
      </c>
      <c r="H1425" s="73" t="s">
        <v>6696</v>
      </c>
      <c r="I1425" s="100" t="s">
        <v>6697</v>
      </c>
      <c r="J1425" s="2" t="s">
        <v>24</v>
      </c>
      <c r="K1425" s="2" t="s">
        <v>23</v>
      </c>
      <c r="L1425" s="2" t="s">
        <v>6675</v>
      </c>
      <c r="M1425" s="2" t="s">
        <v>24</v>
      </c>
      <c r="N1425" s="2" t="s">
        <v>23</v>
      </c>
      <c r="O1425" s="2" t="s">
        <v>6676</v>
      </c>
      <c r="P1425" s="51">
        <v>0</v>
      </c>
      <c r="Q1425" s="99" t="s">
        <v>6677</v>
      </c>
    </row>
    <row r="1426" spans="1:18">
      <c r="A1426" s="71">
        <v>27</v>
      </c>
      <c r="B1426" s="2" t="s">
        <v>6012</v>
      </c>
      <c r="C1426" s="71">
        <v>19</v>
      </c>
      <c r="D1426" s="2" t="s">
        <v>6658</v>
      </c>
      <c r="E1426" s="74">
        <v>0</v>
      </c>
      <c r="F1426" s="71">
        <v>9</v>
      </c>
      <c r="G1426" s="2" t="s">
        <v>6664</v>
      </c>
      <c r="H1426" s="73" t="s">
        <v>6698</v>
      </c>
      <c r="I1426" s="100" t="s">
        <v>6699</v>
      </c>
      <c r="J1426" s="2" t="s">
        <v>24</v>
      </c>
      <c r="K1426" s="2" t="s">
        <v>23</v>
      </c>
      <c r="L1426" s="2" t="s">
        <v>6675</v>
      </c>
      <c r="M1426" s="2" t="s">
        <v>24</v>
      </c>
      <c r="N1426" s="2" t="s">
        <v>23</v>
      </c>
      <c r="O1426" s="2" t="s">
        <v>6676</v>
      </c>
      <c r="P1426" s="51">
        <v>0</v>
      </c>
      <c r="Q1426" s="99" t="s">
        <v>6678</v>
      </c>
    </row>
    <row r="1427" spans="1:18">
      <c r="A1427" s="71">
        <v>27</v>
      </c>
      <c r="B1427" s="2" t="s">
        <v>6012</v>
      </c>
      <c r="C1427" s="71">
        <v>19</v>
      </c>
      <c r="D1427" s="2" t="s">
        <v>6658</v>
      </c>
      <c r="E1427" s="74">
        <v>0</v>
      </c>
      <c r="F1427" s="71">
        <v>10</v>
      </c>
      <c r="G1427" s="2" t="s">
        <v>6665</v>
      </c>
      <c r="H1427" s="73" t="s">
        <v>6700</v>
      </c>
      <c r="I1427" s="100" t="s">
        <v>6701</v>
      </c>
      <c r="J1427" s="2" t="s">
        <v>24</v>
      </c>
      <c r="K1427" s="2" t="s">
        <v>23</v>
      </c>
      <c r="L1427" s="2" t="s">
        <v>6675</v>
      </c>
      <c r="M1427" s="2" t="s">
        <v>24</v>
      </c>
      <c r="N1427" s="2" t="s">
        <v>23</v>
      </c>
      <c r="O1427" s="2" t="s">
        <v>6676</v>
      </c>
      <c r="P1427" s="51">
        <v>0</v>
      </c>
      <c r="Q1427" s="99" t="s">
        <v>6679</v>
      </c>
    </row>
    <row r="1428" spans="1:18">
      <c r="A1428" s="71">
        <v>27</v>
      </c>
      <c r="B1428" s="2" t="s">
        <v>6012</v>
      </c>
      <c r="C1428" s="71">
        <v>20</v>
      </c>
      <c r="D1428" s="2" t="s">
        <v>6702</v>
      </c>
      <c r="E1428" s="74">
        <v>0</v>
      </c>
      <c r="F1428" s="71">
        <v>0</v>
      </c>
      <c r="G1428" s="2" t="s">
        <v>20</v>
      </c>
      <c r="H1428" s="73" t="s">
        <v>6725</v>
      </c>
      <c r="I1428" s="76" t="s">
        <v>6726</v>
      </c>
      <c r="J1428" s="2" t="s">
        <v>23</v>
      </c>
      <c r="K1428" s="2" t="s">
        <v>23</v>
      </c>
      <c r="M1428" s="2" t="s">
        <v>24</v>
      </c>
      <c r="N1428" s="2" t="s">
        <v>25</v>
      </c>
      <c r="O1428" s="2" t="s">
        <v>26</v>
      </c>
      <c r="P1428" s="51">
        <v>0</v>
      </c>
      <c r="Q1428" s="1" t="s">
        <v>6713</v>
      </c>
      <c r="R1428" s="2" t="s">
        <v>6563</v>
      </c>
    </row>
    <row r="1429" spans="1:18">
      <c r="A1429" s="71">
        <v>27</v>
      </c>
      <c r="B1429" s="2" t="s">
        <v>6012</v>
      </c>
      <c r="C1429" s="71">
        <v>20</v>
      </c>
      <c r="D1429" s="2" t="s">
        <v>6702</v>
      </c>
      <c r="E1429" s="74">
        <v>0</v>
      </c>
      <c r="F1429" s="71">
        <v>1</v>
      </c>
      <c r="G1429" s="2" t="s">
        <v>6035</v>
      </c>
      <c r="H1429" s="73" t="s">
        <v>6727</v>
      </c>
      <c r="I1429" s="100" t="s">
        <v>6728</v>
      </c>
      <c r="J1429" s="2" t="s">
        <v>24</v>
      </c>
      <c r="K1429" s="2" t="s">
        <v>25</v>
      </c>
      <c r="L1429" s="2" t="s">
        <v>6036</v>
      </c>
      <c r="M1429" s="2" t="s">
        <v>24</v>
      </c>
      <c r="N1429" s="2" t="s">
        <v>25</v>
      </c>
      <c r="O1429" s="2" t="s">
        <v>6037</v>
      </c>
      <c r="P1429" s="51">
        <v>0</v>
      </c>
      <c r="Q1429" s="99" t="s">
        <v>6038</v>
      </c>
    </row>
    <row r="1430" spans="1:18">
      <c r="A1430" s="71">
        <v>27</v>
      </c>
      <c r="B1430" s="2" t="s">
        <v>6012</v>
      </c>
      <c r="C1430" s="71">
        <v>20</v>
      </c>
      <c r="D1430" s="2" t="s">
        <v>6702</v>
      </c>
      <c r="E1430" s="74">
        <v>0</v>
      </c>
      <c r="F1430" s="71">
        <v>2</v>
      </c>
      <c r="G1430" s="2" t="s">
        <v>6090</v>
      </c>
      <c r="H1430" s="73" t="s">
        <v>6729</v>
      </c>
      <c r="I1430" s="100" t="s">
        <v>6730</v>
      </c>
      <c r="J1430" s="2" t="s">
        <v>24</v>
      </c>
      <c r="K1430" s="2" t="s">
        <v>23</v>
      </c>
      <c r="M1430" s="2" t="s">
        <v>24</v>
      </c>
      <c r="N1430" s="2" t="s">
        <v>23</v>
      </c>
      <c r="P1430" s="51">
        <v>0</v>
      </c>
      <c r="Q1430" s="99" t="s">
        <v>6564</v>
      </c>
    </row>
    <row r="1431" spans="1:18">
      <c r="A1431" s="71">
        <v>27</v>
      </c>
      <c r="B1431" s="2" t="s">
        <v>6012</v>
      </c>
      <c r="C1431" s="71">
        <v>20</v>
      </c>
      <c r="D1431" s="2" t="s">
        <v>6702</v>
      </c>
      <c r="E1431" s="74">
        <v>0</v>
      </c>
      <c r="F1431" s="71">
        <v>3</v>
      </c>
      <c r="G1431" s="2" t="s">
        <v>6703</v>
      </c>
      <c r="H1431" s="73" t="s">
        <v>6731</v>
      </c>
      <c r="I1431" s="100" t="s">
        <v>6732</v>
      </c>
      <c r="J1431" s="2" t="s">
        <v>24</v>
      </c>
      <c r="K1431" s="2" t="s">
        <v>23</v>
      </c>
      <c r="L1431" s="2" t="s">
        <v>6714</v>
      </c>
      <c r="M1431" s="2" t="s">
        <v>24</v>
      </c>
      <c r="N1431" s="2" t="s">
        <v>23</v>
      </c>
      <c r="O1431" s="2" t="s">
        <v>6714</v>
      </c>
      <c r="P1431" s="51">
        <v>0</v>
      </c>
      <c r="Q1431" s="99" t="s">
        <v>713</v>
      </c>
    </row>
    <row r="1432" spans="1:18">
      <c r="A1432" s="71">
        <v>27</v>
      </c>
      <c r="B1432" s="2" t="s">
        <v>6012</v>
      </c>
      <c r="C1432" s="71">
        <v>20</v>
      </c>
      <c r="D1432" s="2" t="s">
        <v>6702</v>
      </c>
      <c r="E1432" s="74">
        <v>0</v>
      </c>
      <c r="F1432" s="71">
        <v>4</v>
      </c>
      <c r="G1432" s="2" t="s">
        <v>6704</v>
      </c>
      <c r="H1432" s="73" t="s">
        <v>6733</v>
      </c>
      <c r="I1432" s="100" t="s">
        <v>6734</v>
      </c>
      <c r="J1432" s="2" t="s">
        <v>24</v>
      </c>
      <c r="K1432" s="2" t="s">
        <v>23</v>
      </c>
      <c r="L1432" s="2" t="s">
        <v>6194</v>
      </c>
      <c r="M1432" s="2" t="s">
        <v>24</v>
      </c>
      <c r="N1432" s="2" t="s">
        <v>23</v>
      </c>
      <c r="O1432" s="2" t="s">
        <v>6194</v>
      </c>
      <c r="P1432" s="51">
        <v>0</v>
      </c>
      <c r="Q1432" s="99" t="s">
        <v>6715</v>
      </c>
    </row>
    <row r="1433" spans="1:18">
      <c r="A1433" s="71">
        <v>27</v>
      </c>
      <c r="B1433" s="2" t="s">
        <v>6012</v>
      </c>
      <c r="C1433" s="71">
        <v>20</v>
      </c>
      <c r="D1433" s="2" t="s">
        <v>6702</v>
      </c>
      <c r="E1433" s="74">
        <v>0</v>
      </c>
      <c r="F1433" s="71">
        <v>5</v>
      </c>
      <c r="G1433" s="2" t="s">
        <v>6705</v>
      </c>
      <c r="H1433" s="73" t="s">
        <v>6735</v>
      </c>
      <c r="I1433" s="100" t="s">
        <v>6736</v>
      </c>
      <c r="J1433" s="2" t="s">
        <v>24</v>
      </c>
      <c r="K1433" s="2" t="s">
        <v>23</v>
      </c>
      <c r="L1433" s="2" t="s">
        <v>6197</v>
      </c>
      <c r="M1433" s="2" t="s">
        <v>24</v>
      </c>
      <c r="N1433" s="2" t="s">
        <v>23</v>
      </c>
      <c r="O1433" s="2" t="s">
        <v>6197</v>
      </c>
      <c r="P1433" s="51">
        <v>0</v>
      </c>
      <c r="Q1433" s="99" t="s">
        <v>6716</v>
      </c>
    </row>
    <row r="1434" spans="1:18">
      <c r="A1434" s="71">
        <v>27</v>
      </c>
      <c r="B1434" s="2" t="s">
        <v>6012</v>
      </c>
      <c r="C1434" s="71">
        <v>20</v>
      </c>
      <c r="D1434" s="2" t="s">
        <v>6702</v>
      </c>
      <c r="E1434" s="74">
        <v>0</v>
      </c>
      <c r="F1434" s="71">
        <v>6</v>
      </c>
      <c r="G1434" s="2" t="s">
        <v>6706</v>
      </c>
      <c r="H1434" s="73" t="s">
        <v>6737</v>
      </c>
      <c r="I1434" s="100" t="s">
        <v>6738</v>
      </c>
      <c r="J1434" s="2" t="s">
        <v>24</v>
      </c>
      <c r="K1434" s="2" t="s">
        <v>23</v>
      </c>
      <c r="L1434" s="2" t="s">
        <v>6714</v>
      </c>
      <c r="M1434" s="2" t="s">
        <v>24</v>
      </c>
      <c r="N1434" s="2" t="s">
        <v>23</v>
      </c>
      <c r="O1434" s="2" t="s">
        <v>6714</v>
      </c>
      <c r="P1434" s="51">
        <v>0</v>
      </c>
      <c r="Q1434" s="99" t="s">
        <v>6717</v>
      </c>
    </row>
    <row r="1435" spans="1:18">
      <c r="A1435" s="71">
        <v>27</v>
      </c>
      <c r="B1435" s="2" t="s">
        <v>6012</v>
      </c>
      <c r="C1435" s="71">
        <v>20</v>
      </c>
      <c r="D1435" s="2" t="s">
        <v>6702</v>
      </c>
      <c r="E1435" s="74">
        <v>0</v>
      </c>
      <c r="F1435" s="71">
        <v>7</v>
      </c>
      <c r="G1435" s="2" t="s">
        <v>6707</v>
      </c>
      <c r="H1435" s="73" t="s">
        <v>6739</v>
      </c>
      <c r="I1435" s="100" t="s">
        <v>6740</v>
      </c>
      <c r="J1435" s="2" t="s">
        <v>24</v>
      </c>
      <c r="K1435" s="2" t="s">
        <v>23</v>
      </c>
      <c r="L1435" s="2" t="s">
        <v>6194</v>
      </c>
      <c r="M1435" s="2" t="s">
        <v>24</v>
      </c>
      <c r="N1435" s="2" t="s">
        <v>23</v>
      </c>
      <c r="O1435" s="2" t="s">
        <v>6194</v>
      </c>
      <c r="P1435" s="51">
        <v>0</v>
      </c>
      <c r="Q1435" s="99" t="s">
        <v>6718</v>
      </c>
    </row>
    <row r="1436" spans="1:18">
      <c r="A1436" s="71">
        <v>27</v>
      </c>
      <c r="B1436" s="2" t="s">
        <v>6012</v>
      </c>
      <c r="C1436" s="71">
        <v>20</v>
      </c>
      <c r="D1436" s="2" t="s">
        <v>6702</v>
      </c>
      <c r="E1436" s="74">
        <v>0</v>
      </c>
      <c r="F1436" s="71">
        <v>8</v>
      </c>
      <c r="G1436" s="2" t="s">
        <v>6708</v>
      </c>
      <c r="H1436" s="73" t="s">
        <v>6741</v>
      </c>
      <c r="I1436" s="100" t="s">
        <v>6742</v>
      </c>
      <c r="J1436" s="2" t="s">
        <v>24</v>
      </c>
      <c r="K1436" s="2" t="s">
        <v>23</v>
      </c>
      <c r="L1436" s="2" t="s">
        <v>6197</v>
      </c>
      <c r="M1436" s="2" t="s">
        <v>24</v>
      </c>
      <c r="N1436" s="2" t="s">
        <v>23</v>
      </c>
      <c r="O1436" s="2" t="s">
        <v>6197</v>
      </c>
      <c r="P1436" s="51">
        <v>0</v>
      </c>
      <c r="Q1436" s="99" t="s">
        <v>6719</v>
      </c>
    </row>
    <row r="1437" spans="1:18">
      <c r="A1437" s="71">
        <v>27</v>
      </c>
      <c r="B1437" s="2" t="s">
        <v>6012</v>
      </c>
      <c r="C1437" s="71">
        <v>20</v>
      </c>
      <c r="D1437" s="2" t="s">
        <v>6702</v>
      </c>
      <c r="E1437" s="74">
        <v>0</v>
      </c>
      <c r="F1437" s="71">
        <v>9</v>
      </c>
      <c r="G1437" s="2" t="s">
        <v>6709</v>
      </c>
      <c r="H1437" s="73" t="s">
        <v>6743</v>
      </c>
      <c r="I1437" s="100" t="s">
        <v>6744</v>
      </c>
      <c r="J1437" s="2" t="s">
        <v>24</v>
      </c>
      <c r="K1437" s="2" t="s">
        <v>23</v>
      </c>
      <c r="L1437" s="2" t="s">
        <v>6714</v>
      </c>
      <c r="M1437" s="2" t="s">
        <v>24</v>
      </c>
      <c r="N1437" s="2" t="s">
        <v>23</v>
      </c>
      <c r="O1437" s="2" t="s">
        <v>6714</v>
      </c>
      <c r="P1437" s="51">
        <v>0</v>
      </c>
      <c r="Q1437" s="99" t="s">
        <v>6720</v>
      </c>
    </row>
    <row r="1438" spans="1:18">
      <c r="A1438" s="71">
        <v>27</v>
      </c>
      <c r="B1438" s="2" t="s">
        <v>6012</v>
      </c>
      <c r="C1438" s="71">
        <v>20</v>
      </c>
      <c r="D1438" s="2" t="s">
        <v>6702</v>
      </c>
      <c r="E1438" s="74">
        <v>0</v>
      </c>
      <c r="F1438" s="71">
        <v>10</v>
      </c>
      <c r="G1438" s="2" t="s">
        <v>6710</v>
      </c>
      <c r="H1438" s="73" t="s">
        <v>6745</v>
      </c>
      <c r="I1438" s="100" t="s">
        <v>6746</v>
      </c>
      <c r="J1438" s="2" t="s">
        <v>24</v>
      </c>
      <c r="K1438" s="2" t="s">
        <v>23</v>
      </c>
      <c r="L1438" s="2" t="s">
        <v>6194</v>
      </c>
      <c r="M1438" s="2" t="s">
        <v>24</v>
      </c>
      <c r="N1438" s="2" t="s">
        <v>23</v>
      </c>
      <c r="O1438" s="2" t="s">
        <v>6194</v>
      </c>
      <c r="P1438" s="51">
        <v>0</v>
      </c>
      <c r="Q1438" s="99" t="s">
        <v>6721</v>
      </c>
    </row>
    <row r="1439" spans="1:18">
      <c r="A1439" s="71">
        <v>27</v>
      </c>
      <c r="B1439" s="2" t="s">
        <v>6012</v>
      </c>
      <c r="C1439" s="71">
        <v>20</v>
      </c>
      <c r="D1439" s="2" t="s">
        <v>6702</v>
      </c>
      <c r="E1439" s="74">
        <v>0</v>
      </c>
      <c r="F1439" s="71">
        <v>11</v>
      </c>
      <c r="G1439" s="2" t="s">
        <v>6711</v>
      </c>
      <c r="H1439" s="73" t="s">
        <v>6747</v>
      </c>
      <c r="I1439" s="100" t="s">
        <v>6748</v>
      </c>
      <c r="J1439" s="2" t="s">
        <v>24</v>
      </c>
      <c r="K1439" s="2" t="s">
        <v>23</v>
      </c>
      <c r="L1439" s="2" t="s">
        <v>6197</v>
      </c>
      <c r="M1439" s="2" t="s">
        <v>24</v>
      </c>
      <c r="N1439" s="2" t="s">
        <v>23</v>
      </c>
      <c r="O1439" s="2" t="s">
        <v>6197</v>
      </c>
      <c r="P1439" s="51">
        <v>0</v>
      </c>
      <c r="Q1439" s="99" t="s">
        <v>6722</v>
      </c>
    </row>
    <row r="1440" spans="1:18" ht="30">
      <c r="A1440" s="71">
        <v>27</v>
      </c>
      <c r="B1440" s="2" t="s">
        <v>6012</v>
      </c>
      <c r="C1440" s="71">
        <v>20</v>
      </c>
      <c r="D1440" s="2" t="s">
        <v>6702</v>
      </c>
      <c r="E1440" s="74">
        <v>0</v>
      </c>
      <c r="F1440" s="71">
        <v>12</v>
      </c>
      <c r="G1440" s="2" t="s">
        <v>6712</v>
      </c>
      <c r="H1440" s="73" t="s">
        <v>6749</v>
      </c>
      <c r="I1440" s="100" t="s">
        <v>6750</v>
      </c>
      <c r="J1440" s="2" t="s">
        <v>24</v>
      </c>
      <c r="K1440" s="2" t="s">
        <v>23</v>
      </c>
      <c r="M1440" s="2" t="s">
        <v>24</v>
      </c>
      <c r="N1440" s="2" t="s">
        <v>23</v>
      </c>
      <c r="P1440" s="51">
        <v>0</v>
      </c>
      <c r="Q1440" s="99" t="s">
        <v>6723</v>
      </c>
      <c r="R1440" s="6" t="s">
        <v>6724</v>
      </c>
    </row>
    <row r="1441" spans="1:18">
      <c r="A1441" s="71">
        <v>27</v>
      </c>
      <c r="B1441" s="2" t="s">
        <v>6012</v>
      </c>
      <c r="C1441" s="71">
        <v>21</v>
      </c>
      <c r="D1441" s="2" t="s">
        <v>6751</v>
      </c>
      <c r="E1441" s="74">
        <v>0</v>
      </c>
      <c r="F1441" s="71">
        <v>0</v>
      </c>
      <c r="G1441" s="2" t="s">
        <v>20</v>
      </c>
      <c r="H1441" s="73" t="s">
        <v>6766</v>
      </c>
      <c r="I1441" s="76" t="s">
        <v>6767</v>
      </c>
      <c r="J1441" s="2" t="s">
        <v>23</v>
      </c>
      <c r="K1441" s="2" t="s">
        <v>23</v>
      </c>
      <c r="M1441" s="2" t="s">
        <v>24</v>
      </c>
      <c r="N1441" s="2" t="s">
        <v>25</v>
      </c>
      <c r="O1441" s="2" t="s">
        <v>26</v>
      </c>
      <c r="P1441" s="51">
        <v>0</v>
      </c>
      <c r="Q1441" s="1" t="s">
        <v>6757</v>
      </c>
      <c r="R1441" s="2" t="s">
        <v>6563</v>
      </c>
    </row>
    <row r="1442" spans="1:18">
      <c r="A1442" s="71">
        <v>27</v>
      </c>
      <c r="B1442" s="2" t="s">
        <v>6012</v>
      </c>
      <c r="C1442" s="71">
        <v>21</v>
      </c>
      <c r="D1442" s="2" t="s">
        <v>6751</v>
      </c>
      <c r="E1442" s="74">
        <v>0</v>
      </c>
      <c r="F1442" s="71">
        <v>1</v>
      </c>
      <c r="G1442" s="2" t="s">
        <v>6035</v>
      </c>
      <c r="H1442" s="73" t="s">
        <v>6768</v>
      </c>
      <c r="I1442" s="100" t="s">
        <v>6769</v>
      </c>
      <c r="J1442" s="2" t="s">
        <v>23</v>
      </c>
      <c r="K1442" s="2" t="s">
        <v>23</v>
      </c>
      <c r="M1442" s="2" t="s">
        <v>24</v>
      </c>
      <c r="N1442" s="2" t="s">
        <v>25</v>
      </c>
      <c r="O1442" s="2" t="s">
        <v>6037</v>
      </c>
      <c r="P1442" s="51">
        <v>0</v>
      </c>
      <c r="Q1442" s="99" t="s">
        <v>6038</v>
      </c>
    </row>
    <row r="1443" spans="1:18">
      <c r="A1443" s="71">
        <v>27</v>
      </c>
      <c r="B1443" s="2" t="s">
        <v>6012</v>
      </c>
      <c r="C1443" s="71">
        <v>21</v>
      </c>
      <c r="D1443" s="2" t="s">
        <v>6751</v>
      </c>
      <c r="E1443" s="74">
        <v>0</v>
      </c>
      <c r="F1443" s="71">
        <v>2</v>
      </c>
      <c r="G1443" s="2" t="s">
        <v>6090</v>
      </c>
      <c r="H1443" s="73" t="s">
        <v>6770</v>
      </c>
      <c r="I1443" s="100" t="s">
        <v>6771</v>
      </c>
      <c r="J1443" s="2" t="s">
        <v>23</v>
      </c>
      <c r="K1443" s="2" t="s">
        <v>23</v>
      </c>
      <c r="M1443" s="2" t="s">
        <v>24</v>
      </c>
      <c r="N1443" s="2" t="s">
        <v>23</v>
      </c>
      <c r="P1443" s="51">
        <v>0</v>
      </c>
      <c r="Q1443" s="99" t="s">
        <v>6564</v>
      </c>
    </row>
    <row r="1444" spans="1:18">
      <c r="A1444" s="71">
        <v>27</v>
      </c>
      <c r="B1444" s="2" t="s">
        <v>6012</v>
      </c>
      <c r="C1444" s="71">
        <v>21</v>
      </c>
      <c r="D1444" s="2" t="s">
        <v>6751</v>
      </c>
      <c r="E1444" s="74">
        <v>0</v>
      </c>
      <c r="F1444" s="71">
        <v>3</v>
      </c>
      <c r="G1444" s="2" t="s">
        <v>1512</v>
      </c>
      <c r="H1444" s="73" t="s">
        <v>6772</v>
      </c>
      <c r="I1444" s="100" t="s">
        <v>6773</v>
      </c>
      <c r="J1444" s="2" t="s">
        <v>23</v>
      </c>
      <c r="K1444" s="2" t="s">
        <v>23</v>
      </c>
      <c r="M1444" s="2" t="s">
        <v>24</v>
      </c>
      <c r="N1444" s="2" t="s">
        <v>23</v>
      </c>
      <c r="O1444" s="2" t="s">
        <v>6625</v>
      </c>
      <c r="P1444" s="51">
        <v>0</v>
      </c>
      <c r="Q1444" s="99" t="s">
        <v>6758</v>
      </c>
    </row>
    <row r="1445" spans="1:18">
      <c r="A1445" s="71">
        <v>27</v>
      </c>
      <c r="B1445" s="2" t="s">
        <v>6012</v>
      </c>
      <c r="C1445" s="71">
        <v>21</v>
      </c>
      <c r="D1445" s="2" t="s">
        <v>6751</v>
      </c>
      <c r="E1445" s="74">
        <v>0</v>
      </c>
      <c r="F1445" s="71">
        <v>4</v>
      </c>
      <c r="G1445" s="2" t="s">
        <v>6752</v>
      </c>
      <c r="H1445" s="73" t="s">
        <v>6774</v>
      </c>
      <c r="I1445" s="100" t="s">
        <v>6775</v>
      </c>
      <c r="J1445" s="2" t="s">
        <v>23</v>
      </c>
      <c r="K1445" s="2" t="s">
        <v>23</v>
      </c>
      <c r="M1445" s="2" t="s">
        <v>24</v>
      </c>
      <c r="N1445" s="2" t="s">
        <v>23</v>
      </c>
      <c r="O1445" s="2" t="s">
        <v>6625</v>
      </c>
      <c r="P1445" s="51">
        <v>0</v>
      </c>
      <c r="Q1445" s="99" t="s">
        <v>6759</v>
      </c>
    </row>
    <row r="1446" spans="1:18">
      <c r="A1446" s="71">
        <v>27</v>
      </c>
      <c r="B1446" s="2" t="s">
        <v>6012</v>
      </c>
      <c r="C1446" s="71">
        <v>21</v>
      </c>
      <c r="D1446" s="2" t="s">
        <v>6751</v>
      </c>
      <c r="E1446" s="74">
        <v>0</v>
      </c>
      <c r="F1446" s="71">
        <v>5</v>
      </c>
      <c r="G1446" s="2" t="s">
        <v>6753</v>
      </c>
      <c r="H1446" s="73" t="s">
        <v>6776</v>
      </c>
      <c r="I1446" s="100" t="s">
        <v>6777</v>
      </c>
      <c r="J1446" s="2" t="s">
        <v>23</v>
      </c>
      <c r="K1446" s="2" t="s">
        <v>23</v>
      </c>
      <c r="M1446" s="2" t="s">
        <v>24</v>
      </c>
      <c r="N1446" s="2" t="s">
        <v>116</v>
      </c>
      <c r="O1446" s="16" t="s">
        <v>6760</v>
      </c>
      <c r="P1446" s="51">
        <v>0</v>
      </c>
      <c r="Q1446" s="99" t="s">
        <v>6761</v>
      </c>
      <c r="R1446" s="2" t="s">
        <v>6762</v>
      </c>
    </row>
    <row r="1447" spans="1:18">
      <c r="A1447" s="71">
        <v>27</v>
      </c>
      <c r="B1447" s="2" t="s">
        <v>6012</v>
      </c>
      <c r="C1447" s="71">
        <v>21</v>
      </c>
      <c r="D1447" s="2" t="s">
        <v>6751</v>
      </c>
      <c r="E1447" s="74">
        <v>0</v>
      </c>
      <c r="F1447" s="71">
        <v>6</v>
      </c>
      <c r="G1447" s="2" t="s">
        <v>6754</v>
      </c>
      <c r="H1447" s="73" t="s">
        <v>6778</v>
      </c>
      <c r="I1447" s="100" t="s">
        <v>6779</v>
      </c>
      <c r="J1447" s="2" t="s">
        <v>23</v>
      </c>
      <c r="K1447" s="2" t="s">
        <v>23</v>
      </c>
      <c r="M1447" s="2" t="s">
        <v>24</v>
      </c>
      <c r="N1447" s="2" t="s">
        <v>116</v>
      </c>
      <c r="O1447" s="16" t="s">
        <v>6760</v>
      </c>
      <c r="P1447" s="51">
        <v>0</v>
      </c>
      <c r="Q1447" s="99" t="s">
        <v>6763</v>
      </c>
      <c r="R1447" s="2" t="s">
        <v>6762</v>
      </c>
    </row>
    <row r="1448" spans="1:18">
      <c r="A1448" s="71">
        <v>27</v>
      </c>
      <c r="B1448" s="2" t="s">
        <v>6012</v>
      </c>
      <c r="C1448" s="71">
        <v>21</v>
      </c>
      <c r="D1448" s="2" t="s">
        <v>6751</v>
      </c>
      <c r="E1448" s="74">
        <v>0</v>
      </c>
      <c r="F1448" s="71">
        <v>7</v>
      </c>
      <c r="G1448" s="2" t="s">
        <v>6755</v>
      </c>
      <c r="H1448" s="73" t="s">
        <v>6780</v>
      </c>
      <c r="I1448" s="100" t="s">
        <v>6781</v>
      </c>
      <c r="J1448" s="2" t="s">
        <v>23</v>
      </c>
      <c r="K1448" s="2" t="s">
        <v>23</v>
      </c>
      <c r="M1448" s="2" t="s">
        <v>24</v>
      </c>
      <c r="N1448" s="2" t="s">
        <v>116</v>
      </c>
      <c r="O1448" s="16" t="s">
        <v>6760</v>
      </c>
      <c r="P1448" s="51">
        <v>0</v>
      </c>
      <c r="Q1448" s="99" t="s">
        <v>6764</v>
      </c>
      <c r="R1448" s="2" t="s">
        <v>6762</v>
      </c>
    </row>
    <row r="1449" spans="1:18">
      <c r="A1449" s="71">
        <v>27</v>
      </c>
      <c r="B1449" s="2" t="s">
        <v>6012</v>
      </c>
      <c r="C1449" s="71">
        <v>21</v>
      </c>
      <c r="D1449" s="2" t="s">
        <v>6751</v>
      </c>
      <c r="E1449" s="74">
        <v>0</v>
      </c>
      <c r="F1449" s="71">
        <v>8</v>
      </c>
      <c r="G1449" s="2" t="s">
        <v>6756</v>
      </c>
      <c r="H1449" s="73" t="s">
        <v>6782</v>
      </c>
      <c r="I1449" s="100" t="s">
        <v>6783</v>
      </c>
      <c r="J1449" s="2" t="s">
        <v>23</v>
      </c>
      <c r="K1449" s="2" t="s">
        <v>23</v>
      </c>
      <c r="M1449" s="2" t="s">
        <v>24</v>
      </c>
      <c r="N1449" s="2" t="s">
        <v>116</v>
      </c>
      <c r="O1449" s="16" t="s">
        <v>6760</v>
      </c>
      <c r="P1449" s="51">
        <v>0</v>
      </c>
      <c r="Q1449" s="99" t="s">
        <v>6765</v>
      </c>
      <c r="R1449" s="2" t="s">
        <v>6762</v>
      </c>
    </row>
    <row r="1450" spans="1:18">
      <c r="A1450" s="71">
        <v>27</v>
      </c>
      <c r="B1450" s="2" t="s">
        <v>6012</v>
      </c>
      <c r="C1450" s="71">
        <v>22</v>
      </c>
      <c r="D1450" s="2" t="s">
        <v>6814</v>
      </c>
      <c r="E1450" s="74">
        <v>0</v>
      </c>
      <c r="F1450" s="71">
        <v>0</v>
      </c>
      <c r="G1450" s="2" t="s">
        <v>20</v>
      </c>
      <c r="H1450" s="73" t="s">
        <v>6832</v>
      </c>
      <c r="I1450" s="76" t="s">
        <v>6833</v>
      </c>
      <c r="J1450" s="2" t="s">
        <v>23</v>
      </c>
      <c r="K1450" s="2" t="s">
        <v>23</v>
      </c>
      <c r="M1450" s="2" t="s">
        <v>24</v>
      </c>
      <c r="N1450" s="2" t="s">
        <v>25</v>
      </c>
      <c r="O1450" s="2" t="s">
        <v>26</v>
      </c>
      <c r="P1450" s="51">
        <v>0</v>
      </c>
      <c r="Q1450" s="1" t="s">
        <v>6821</v>
      </c>
      <c r="R1450" s="2" t="s">
        <v>6822</v>
      </c>
    </row>
    <row r="1451" spans="1:18">
      <c r="A1451" s="71">
        <v>27</v>
      </c>
      <c r="B1451" s="2" t="s">
        <v>6012</v>
      </c>
      <c r="C1451" s="71">
        <v>22</v>
      </c>
      <c r="D1451" s="2" t="s">
        <v>6814</v>
      </c>
      <c r="E1451" s="74">
        <v>0</v>
      </c>
      <c r="F1451" s="71">
        <v>1</v>
      </c>
      <c r="G1451" s="2" t="s">
        <v>6035</v>
      </c>
      <c r="H1451" s="73" t="s">
        <v>6834</v>
      </c>
      <c r="I1451" s="100" t="s">
        <v>6835</v>
      </c>
      <c r="J1451" s="2" t="s">
        <v>23</v>
      </c>
      <c r="K1451" s="2" t="s">
        <v>23</v>
      </c>
      <c r="M1451" s="2" t="s">
        <v>24</v>
      </c>
      <c r="N1451" s="2" t="s">
        <v>25</v>
      </c>
      <c r="O1451" s="2" t="s">
        <v>6037</v>
      </c>
      <c r="P1451" s="51">
        <v>0</v>
      </c>
      <c r="Q1451" s="99" t="s">
        <v>6038</v>
      </c>
    </row>
    <row r="1452" spans="1:18">
      <c r="A1452" s="71">
        <v>27</v>
      </c>
      <c r="B1452" s="2" t="s">
        <v>6012</v>
      </c>
      <c r="C1452" s="71">
        <v>22</v>
      </c>
      <c r="D1452" s="2" t="s">
        <v>6814</v>
      </c>
      <c r="E1452" s="74">
        <v>0</v>
      </c>
      <c r="F1452" s="71">
        <v>2</v>
      </c>
      <c r="G1452" s="2" t="s">
        <v>6090</v>
      </c>
      <c r="H1452" s="73" t="s">
        <v>6836</v>
      </c>
      <c r="I1452" s="100" t="s">
        <v>6837</v>
      </c>
      <c r="J1452" s="2" t="s">
        <v>23</v>
      </c>
      <c r="K1452" s="2" t="s">
        <v>23</v>
      </c>
      <c r="M1452" s="2" t="s">
        <v>24</v>
      </c>
      <c r="N1452" s="2" t="s">
        <v>23</v>
      </c>
      <c r="P1452" s="51">
        <v>0</v>
      </c>
      <c r="Q1452" s="99" t="s">
        <v>6564</v>
      </c>
    </row>
    <row r="1453" spans="1:18">
      <c r="A1453" s="71">
        <v>27</v>
      </c>
      <c r="B1453" s="2" t="s">
        <v>6012</v>
      </c>
      <c r="C1453" s="71">
        <v>22</v>
      </c>
      <c r="D1453" s="2" t="s">
        <v>6814</v>
      </c>
      <c r="E1453" s="74">
        <v>0</v>
      </c>
      <c r="F1453" s="71">
        <v>3</v>
      </c>
      <c r="G1453" s="2" t="s">
        <v>6815</v>
      </c>
      <c r="H1453" s="73" t="s">
        <v>6838</v>
      </c>
      <c r="I1453" s="100" t="s">
        <v>6839</v>
      </c>
      <c r="J1453" s="2" t="s">
        <v>23</v>
      </c>
      <c r="K1453" s="2" t="s">
        <v>23</v>
      </c>
      <c r="M1453" s="2" t="s">
        <v>24</v>
      </c>
      <c r="N1453" s="2" t="s">
        <v>23</v>
      </c>
      <c r="P1453" s="51">
        <v>0</v>
      </c>
      <c r="Q1453" s="99" t="s">
        <v>6823</v>
      </c>
    </row>
    <row r="1454" spans="1:18">
      <c r="A1454" s="71">
        <v>27</v>
      </c>
      <c r="B1454" s="2" t="s">
        <v>6012</v>
      </c>
      <c r="C1454" s="71">
        <v>22</v>
      </c>
      <c r="D1454" s="2" t="s">
        <v>6814</v>
      </c>
      <c r="E1454" s="74">
        <v>0</v>
      </c>
      <c r="F1454" s="71">
        <v>4</v>
      </c>
      <c r="G1454" s="2" t="s">
        <v>6816</v>
      </c>
      <c r="H1454" s="73" t="s">
        <v>6840</v>
      </c>
      <c r="I1454" s="100" t="s">
        <v>6841</v>
      </c>
      <c r="J1454" s="2" t="s">
        <v>23</v>
      </c>
      <c r="K1454" s="2" t="s">
        <v>23</v>
      </c>
      <c r="M1454" s="2" t="s">
        <v>24</v>
      </c>
      <c r="N1454" s="2" t="s">
        <v>23</v>
      </c>
      <c r="P1454" s="51">
        <v>0</v>
      </c>
      <c r="Q1454" s="99" t="s">
        <v>6824</v>
      </c>
    </row>
    <row r="1455" spans="1:18">
      <c r="A1455" s="71">
        <v>27</v>
      </c>
      <c r="B1455" s="2" t="s">
        <v>6012</v>
      </c>
      <c r="C1455" s="71">
        <v>22</v>
      </c>
      <c r="D1455" s="2" t="s">
        <v>6814</v>
      </c>
      <c r="E1455" s="74">
        <v>0</v>
      </c>
      <c r="F1455" s="71">
        <v>5</v>
      </c>
      <c r="G1455" s="2" t="s">
        <v>6817</v>
      </c>
      <c r="H1455" s="73" t="s">
        <v>6842</v>
      </c>
      <c r="I1455" s="100" t="s">
        <v>6843</v>
      </c>
      <c r="J1455" s="2" t="s">
        <v>23</v>
      </c>
      <c r="K1455" s="2" t="s">
        <v>23</v>
      </c>
      <c r="M1455" s="2" t="s">
        <v>24</v>
      </c>
      <c r="N1455" s="2" t="s">
        <v>23</v>
      </c>
      <c r="P1455" s="51">
        <v>0</v>
      </c>
      <c r="Q1455" s="99" t="s">
        <v>6825</v>
      </c>
    </row>
    <row r="1456" spans="1:18">
      <c r="A1456" s="71">
        <v>27</v>
      </c>
      <c r="B1456" s="2" t="s">
        <v>6012</v>
      </c>
      <c r="C1456" s="71">
        <v>22</v>
      </c>
      <c r="D1456" s="2" t="s">
        <v>6814</v>
      </c>
      <c r="E1456" s="74">
        <v>0</v>
      </c>
      <c r="F1456" s="71">
        <v>6</v>
      </c>
      <c r="G1456" s="2" t="s">
        <v>6818</v>
      </c>
      <c r="H1456" s="73" t="s">
        <v>6844</v>
      </c>
      <c r="I1456" s="100" t="s">
        <v>6845</v>
      </c>
      <c r="J1456" s="2" t="s">
        <v>23</v>
      </c>
      <c r="K1456" s="2" t="s">
        <v>23</v>
      </c>
      <c r="M1456" s="2" t="s">
        <v>24</v>
      </c>
      <c r="N1456" s="2" t="s">
        <v>23</v>
      </c>
      <c r="P1456" s="51">
        <v>0</v>
      </c>
      <c r="Q1456" s="99" t="s">
        <v>6826</v>
      </c>
    </row>
    <row r="1457" spans="1:18">
      <c r="A1457" s="71">
        <v>27</v>
      </c>
      <c r="B1457" s="2" t="s">
        <v>6012</v>
      </c>
      <c r="C1457" s="71">
        <v>22</v>
      </c>
      <c r="D1457" s="2" t="s">
        <v>6814</v>
      </c>
      <c r="E1457" s="74">
        <v>0</v>
      </c>
      <c r="F1457" s="71">
        <v>7</v>
      </c>
      <c r="G1457" s="2" t="s">
        <v>815</v>
      </c>
      <c r="H1457" s="73" t="s">
        <v>6846</v>
      </c>
      <c r="I1457" s="100" t="s">
        <v>6847</v>
      </c>
      <c r="J1457" s="2" t="s">
        <v>23</v>
      </c>
      <c r="K1457" s="2" t="s">
        <v>23</v>
      </c>
      <c r="M1457" s="2" t="s">
        <v>24</v>
      </c>
      <c r="N1457" s="2" t="s">
        <v>23</v>
      </c>
      <c r="P1457" s="51">
        <v>0</v>
      </c>
      <c r="Q1457" s="99" t="s">
        <v>818</v>
      </c>
    </row>
    <row r="1458" spans="1:18">
      <c r="A1458" s="71">
        <v>27</v>
      </c>
      <c r="B1458" s="2" t="s">
        <v>6012</v>
      </c>
      <c r="C1458" s="71">
        <v>22</v>
      </c>
      <c r="D1458" s="2" t="s">
        <v>6814</v>
      </c>
      <c r="E1458" s="74">
        <v>0</v>
      </c>
      <c r="F1458" s="71">
        <v>8</v>
      </c>
      <c r="G1458" s="2" t="s">
        <v>6819</v>
      </c>
      <c r="H1458" s="73" t="s">
        <v>6848</v>
      </c>
      <c r="I1458" s="100" t="s">
        <v>6849</v>
      </c>
      <c r="J1458" s="2" t="s">
        <v>23</v>
      </c>
      <c r="K1458" s="2" t="s">
        <v>23</v>
      </c>
      <c r="M1458" s="2" t="s">
        <v>24</v>
      </c>
      <c r="N1458" s="2" t="s">
        <v>23</v>
      </c>
      <c r="P1458" s="51">
        <v>0</v>
      </c>
      <c r="Q1458" s="99" t="s">
        <v>6827</v>
      </c>
    </row>
    <row r="1459" spans="1:18">
      <c r="A1459" s="71">
        <v>27</v>
      </c>
      <c r="B1459" s="2" t="s">
        <v>6012</v>
      </c>
      <c r="C1459" s="71">
        <v>22</v>
      </c>
      <c r="D1459" s="2" t="s">
        <v>6814</v>
      </c>
      <c r="E1459" s="74">
        <v>0</v>
      </c>
      <c r="F1459" s="71">
        <v>9</v>
      </c>
      <c r="G1459" s="2" t="s">
        <v>6820</v>
      </c>
      <c r="H1459" s="73" t="s">
        <v>6850</v>
      </c>
      <c r="I1459" s="100" t="s">
        <v>6851</v>
      </c>
      <c r="J1459" s="2" t="s">
        <v>23</v>
      </c>
      <c r="K1459" s="2" t="s">
        <v>23</v>
      </c>
      <c r="M1459" s="2" t="s">
        <v>24</v>
      </c>
      <c r="N1459" s="2" t="s">
        <v>23</v>
      </c>
      <c r="P1459" s="51">
        <v>0</v>
      </c>
      <c r="Q1459" s="99" t="s">
        <v>6828</v>
      </c>
    </row>
    <row r="1460" spans="1:18">
      <c r="A1460" s="71">
        <v>27</v>
      </c>
      <c r="B1460" s="2" t="s">
        <v>6012</v>
      </c>
      <c r="C1460" s="71">
        <v>23</v>
      </c>
      <c r="D1460" s="2" t="s">
        <v>6829</v>
      </c>
      <c r="E1460" s="74">
        <v>0</v>
      </c>
      <c r="F1460" s="71">
        <v>0</v>
      </c>
      <c r="G1460" s="2" t="s">
        <v>20</v>
      </c>
      <c r="H1460" s="73" t="s">
        <v>6852</v>
      </c>
      <c r="I1460" s="76" t="s">
        <v>6853</v>
      </c>
      <c r="J1460" s="2" t="s">
        <v>24</v>
      </c>
      <c r="K1460" s="2" t="s">
        <v>25</v>
      </c>
      <c r="L1460" s="2" t="s">
        <v>26</v>
      </c>
      <c r="M1460" s="2" t="s">
        <v>24</v>
      </c>
      <c r="N1460" s="2" t="s">
        <v>25</v>
      </c>
      <c r="O1460" s="2" t="s">
        <v>26</v>
      </c>
      <c r="P1460" s="51">
        <v>0</v>
      </c>
      <c r="Q1460" s="1" t="s">
        <v>6831</v>
      </c>
    </row>
    <row r="1461" spans="1:18">
      <c r="A1461" s="71">
        <v>27</v>
      </c>
      <c r="B1461" s="2" t="s">
        <v>6012</v>
      </c>
      <c r="C1461" s="71">
        <v>23</v>
      </c>
      <c r="D1461" s="2" t="s">
        <v>6829</v>
      </c>
      <c r="E1461" s="74">
        <v>0</v>
      </c>
      <c r="F1461" s="71">
        <v>1</v>
      </c>
      <c r="G1461" s="2" t="s">
        <v>6035</v>
      </c>
      <c r="H1461" s="73" t="s">
        <v>6854</v>
      </c>
      <c r="I1461" s="100" t="s">
        <v>6855</v>
      </c>
      <c r="J1461" s="2" t="s">
        <v>24</v>
      </c>
      <c r="K1461" s="2" t="s">
        <v>25</v>
      </c>
      <c r="L1461" s="2" t="s">
        <v>6037</v>
      </c>
      <c r="M1461" s="2" t="s">
        <v>24</v>
      </c>
      <c r="N1461" s="2" t="s">
        <v>25</v>
      </c>
      <c r="O1461" s="2" t="s">
        <v>6037</v>
      </c>
      <c r="P1461" s="51">
        <v>0</v>
      </c>
      <c r="Q1461" s="99" t="s">
        <v>6038</v>
      </c>
    </row>
    <row r="1462" spans="1:18">
      <c r="A1462" s="71">
        <v>27</v>
      </c>
      <c r="B1462" s="2" t="s">
        <v>6012</v>
      </c>
      <c r="C1462" s="71">
        <v>23</v>
      </c>
      <c r="D1462" s="2" t="s">
        <v>6829</v>
      </c>
      <c r="E1462" s="74">
        <v>0</v>
      </c>
      <c r="F1462" s="71">
        <v>2</v>
      </c>
      <c r="G1462" s="2" t="s">
        <v>1111</v>
      </c>
      <c r="H1462" s="73" t="s">
        <v>6856</v>
      </c>
      <c r="I1462" s="100" t="s">
        <v>10601</v>
      </c>
      <c r="J1462" s="2" t="s">
        <v>24</v>
      </c>
      <c r="K1462" s="2" t="s">
        <v>23</v>
      </c>
      <c r="M1462" s="2" t="s">
        <v>24</v>
      </c>
      <c r="N1462" s="2" t="s">
        <v>23</v>
      </c>
      <c r="P1462" s="51">
        <v>0</v>
      </c>
      <c r="Q1462" s="99" t="s">
        <v>10599</v>
      </c>
    </row>
    <row r="1463" spans="1:18">
      <c r="A1463" s="71">
        <v>27</v>
      </c>
      <c r="B1463" s="2" t="s">
        <v>6012</v>
      </c>
      <c r="C1463" s="71">
        <v>23</v>
      </c>
      <c r="D1463" s="2" t="s">
        <v>6829</v>
      </c>
      <c r="E1463" s="74">
        <v>0</v>
      </c>
      <c r="F1463" s="71">
        <v>3</v>
      </c>
      <c r="G1463" s="2" t="s">
        <v>4049</v>
      </c>
      <c r="H1463" s="73" t="s">
        <v>6857</v>
      </c>
      <c r="I1463" s="100" t="s">
        <v>6858</v>
      </c>
      <c r="J1463" s="2" t="s">
        <v>8105</v>
      </c>
      <c r="K1463" s="2" t="s">
        <v>23</v>
      </c>
      <c r="L1463" s="16" t="s">
        <v>10602</v>
      </c>
      <c r="M1463" s="2" t="s">
        <v>8105</v>
      </c>
      <c r="N1463" s="2" t="s">
        <v>23</v>
      </c>
      <c r="O1463" s="16" t="s">
        <v>10602</v>
      </c>
      <c r="P1463" s="51">
        <v>0</v>
      </c>
      <c r="Q1463" s="99" t="s">
        <v>10600</v>
      </c>
    </row>
    <row r="1464" spans="1:18">
      <c r="A1464" s="71">
        <v>27</v>
      </c>
      <c r="B1464" s="2" t="s">
        <v>6012</v>
      </c>
      <c r="C1464" s="71">
        <v>24</v>
      </c>
      <c r="D1464" s="2" t="s">
        <v>6859</v>
      </c>
      <c r="E1464" s="74">
        <v>0</v>
      </c>
      <c r="F1464" s="71">
        <v>0</v>
      </c>
      <c r="G1464" s="2" t="s">
        <v>20</v>
      </c>
      <c r="H1464" s="73" t="s">
        <v>6874</v>
      </c>
      <c r="I1464" s="76" t="s">
        <v>6875</v>
      </c>
      <c r="J1464" s="2" t="s">
        <v>24</v>
      </c>
      <c r="K1464" s="2" t="s">
        <v>25</v>
      </c>
      <c r="L1464" s="2" t="s">
        <v>26</v>
      </c>
      <c r="M1464" s="2" t="s">
        <v>24</v>
      </c>
      <c r="N1464" s="2" t="s">
        <v>25</v>
      </c>
      <c r="O1464" s="2" t="s">
        <v>26</v>
      </c>
      <c r="P1464" s="51">
        <v>0</v>
      </c>
      <c r="Q1464" s="1" t="s">
        <v>6861</v>
      </c>
    </row>
    <row r="1465" spans="1:18">
      <c r="A1465" s="71">
        <v>27</v>
      </c>
      <c r="B1465" s="2" t="s">
        <v>6012</v>
      </c>
      <c r="C1465" s="71">
        <v>24</v>
      </c>
      <c r="D1465" s="2" t="s">
        <v>6859</v>
      </c>
      <c r="E1465" s="74">
        <v>0</v>
      </c>
      <c r="F1465" s="71">
        <v>1</v>
      </c>
      <c r="G1465" s="2" t="s">
        <v>6035</v>
      </c>
      <c r="H1465" s="73" t="s">
        <v>6876</v>
      </c>
      <c r="I1465" s="100" t="s">
        <v>6877</v>
      </c>
      <c r="J1465" s="2" t="s">
        <v>24</v>
      </c>
      <c r="K1465" s="2" t="s">
        <v>25</v>
      </c>
      <c r="L1465" s="2" t="s">
        <v>6037</v>
      </c>
      <c r="M1465" s="2" t="s">
        <v>24</v>
      </c>
      <c r="N1465" s="2" t="s">
        <v>25</v>
      </c>
      <c r="O1465" s="2" t="s">
        <v>6037</v>
      </c>
      <c r="P1465" s="51">
        <v>0</v>
      </c>
      <c r="Q1465" s="99" t="s">
        <v>6038</v>
      </c>
    </row>
    <row r="1466" spans="1:18">
      <c r="A1466" s="71">
        <v>27</v>
      </c>
      <c r="B1466" s="2" t="s">
        <v>6012</v>
      </c>
      <c r="C1466" s="71">
        <v>24</v>
      </c>
      <c r="D1466" s="2" t="s">
        <v>6859</v>
      </c>
      <c r="E1466" s="74">
        <v>0</v>
      </c>
      <c r="F1466" s="71">
        <v>2</v>
      </c>
      <c r="G1466" s="2" t="s">
        <v>6090</v>
      </c>
      <c r="H1466" s="73" t="s">
        <v>6878</v>
      </c>
      <c r="I1466" s="100" t="s">
        <v>6879</v>
      </c>
      <c r="J1466" s="2" t="s">
        <v>23</v>
      </c>
      <c r="K1466" s="2" t="s">
        <v>23</v>
      </c>
      <c r="M1466" s="2" t="s">
        <v>24</v>
      </c>
      <c r="N1466" s="2" t="s">
        <v>23</v>
      </c>
      <c r="P1466" s="51">
        <v>0</v>
      </c>
      <c r="Q1466" s="99" t="s">
        <v>6862</v>
      </c>
    </row>
    <row r="1467" spans="1:18" ht="90">
      <c r="A1467" s="71">
        <v>27</v>
      </c>
      <c r="B1467" s="2" t="s">
        <v>6012</v>
      </c>
      <c r="C1467" s="71">
        <v>24</v>
      </c>
      <c r="D1467" s="2" t="s">
        <v>6859</v>
      </c>
      <c r="E1467" s="74">
        <v>0</v>
      </c>
      <c r="F1467" s="71">
        <v>3</v>
      </c>
      <c r="G1467" s="2" t="s">
        <v>2601</v>
      </c>
      <c r="H1467" s="73" t="s">
        <v>6880</v>
      </c>
      <c r="I1467" s="100" t="s">
        <v>6881</v>
      </c>
      <c r="J1467" s="2" t="s">
        <v>24</v>
      </c>
      <c r="K1467" s="2" t="s">
        <v>23</v>
      </c>
      <c r="M1467" s="2" t="s">
        <v>24</v>
      </c>
      <c r="N1467" s="2" t="s">
        <v>23</v>
      </c>
      <c r="P1467" s="51">
        <v>0</v>
      </c>
      <c r="Q1467" s="99" t="s">
        <v>6863</v>
      </c>
      <c r="R1467" s="6" t="s">
        <v>6864</v>
      </c>
    </row>
    <row r="1468" spans="1:18">
      <c r="A1468" s="71">
        <v>27</v>
      </c>
      <c r="B1468" s="2" t="s">
        <v>6012</v>
      </c>
      <c r="C1468" s="71">
        <v>24</v>
      </c>
      <c r="D1468" s="2" t="s">
        <v>6859</v>
      </c>
      <c r="E1468" s="74">
        <v>0</v>
      </c>
      <c r="F1468" s="71">
        <v>4</v>
      </c>
      <c r="G1468" s="2" t="s">
        <v>6660</v>
      </c>
      <c r="H1468" s="73" t="s">
        <v>6882</v>
      </c>
      <c r="I1468" s="100" t="s">
        <v>6883</v>
      </c>
      <c r="J1468" s="2" t="s">
        <v>24</v>
      </c>
      <c r="K1468" s="2" t="s">
        <v>133</v>
      </c>
      <c r="M1468" s="2" t="s">
        <v>24</v>
      </c>
      <c r="N1468" s="2" t="s">
        <v>133</v>
      </c>
      <c r="P1468" s="51">
        <v>0</v>
      </c>
      <c r="Q1468" s="99" t="s">
        <v>2574</v>
      </c>
      <c r="R1468" s="6"/>
    </row>
    <row r="1469" spans="1:18">
      <c r="A1469" s="71">
        <v>27</v>
      </c>
      <c r="B1469" s="2" t="s">
        <v>6012</v>
      </c>
      <c r="C1469" s="71">
        <v>24</v>
      </c>
      <c r="D1469" s="2" t="s">
        <v>6859</v>
      </c>
      <c r="E1469" s="74">
        <v>0</v>
      </c>
      <c r="F1469" s="71">
        <v>5</v>
      </c>
      <c r="G1469" s="2" t="s">
        <v>6860</v>
      </c>
      <c r="H1469" s="73" t="s">
        <v>6884</v>
      </c>
      <c r="I1469" s="100" t="s">
        <v>6885</v>
      </c>
      <c r="J1469" s="2" t="s">
        <v>24</v>
      </c>
      <c r="K1469" s="2" t="s">
        <v>263</v>
      </c>
      <c r="M1469" s="2" t="s">
        <v>24</v>
      </c>
      <c r="N1469" s="2" t="s">
        <v>263</v>
      </c>
      <c r="P1469" s="51">
        <v>0</v>
      </c>
      <c r="Q1469" s="99" t="s">
        <v>2579</v>
      </c>
      <c r="R1469" s="6"/>
    </row>
    <row r="1470" spans="1:18">
      <c r="A1470" s="71">
        <v>27</v>
      </c>
      <c r="B1470" s="2" t="s">
        <v>6012</v>
      </c>
      <c r="C1470" s="71">
        <v>25</v>
      </c>
      <c r="D1470" s="2" t="s">
        <v>7693</v>
      </c>
      <c r="E1470" s="74">
        <v>0</v>
      </c>
      <c r="F1470" s="71">
        <v>0</v>
      </c>
      <c r="G1470" s="2" t="s">
        <v>20</v>
      </c>
      <c r="H1470" s="73" t="s">
        <v>6886</v>
      </c>
      <c r="I1470" s="76" t="s">
        <v>7806</v>
      </c>
      <c r="J1470" s="2" t="s">
        <v>24</v>
      </c>
      <c r="K1470" s="2" t="s">
        <v>25</v>
      </c>
      <c r="L1470" s="2" t="s">
        <v>26</v>
      </c>
      <c r="M1470" s="2" t="s">
        <v>24</v>
      </c>
      <c r="N1470" s="2" t="s">
        <v>25</v>
      </c>
      <c r="O1470" s="2" t="s">
        <v>26</v>
      </c>
      <c r="P1470" s="51">
        <v>0</v>
      </c>
      <c r="Q1470" s="1" t="s">
        <v>6868</v>
      </c>
    </row>
    <row r="1471" spans="1:18">
      <c r="A1471" s="71">
        <v>27</v>
      </c>
      <c r="B1471" s="2" t="s">
        <v>6012</v>
      </c>
      <c r="C1471" s="71">
        <v>25</v>
      </c>
      <c r="D1471" s="2" t="s">
        <v>7693</v>
      </c>
      <c r="E1471" s="74">
        <v>0</v>
      </c>
      <c r="F1471" s="71">
        <v>1</v>
      </c>
      <c r="G1471" s="2" t="s">
        <v>6035</v>
      </c>
      <c r="H1471" s="73" t="s">
        <v>6887</v>
      </c>
      <c r="I1471" s="100" t="s">
        <v>7807</v>
      </c>
      <c r="J1471" s="2" t="s">
        <v>24</v>
      </c>
      <c r="K1471" s="2" t="s">
        <v>25</v>
      </c>
      <c r="L1471" s="2" t="s">
        <v>6037</v>
      </c>
      <c r="M1471" s="2" t="s">
        <v>24</v>
      </c>
      <c r="N1471" s="2" t="s">
        <v>25</v>
      </c>
      <c r="O1471" s="2" t="s">
        <v>6037</v>
      </c>
      <c r="P1471" s="51">
        <v>0</v>
      </c>
      <c r="Q1471" s="99" t="s">
        <v>6038</v>
      </c>
    </row>
    <row r="1472" spans="1:18">
      <c r="A1472" s="71">
        <v>27</v>
      </c>
      <c r="B1472" s="2" t="s">
        <v>6012</v>
      </c>
      <c r="C1472" s="71">
        <v>25</v>
      </c>
      <c r="D1472" s="2" t="s">
        <v>7693</v>
      </c>
      <c r="E1472" s="74">
        <v>0</v>
      </c>
      <c r="F1472" s="71">
        <v>2</v>
      </c>
      <c r="G1472" s="2" t="s">
        <v>6090</v>
      </c>
      <c r="H1472" s="73" t="s">
        <v>6888</v>
      </c>
      <c r="I1472" s="100" t="s">
        <v>7808</v>
      </c>
      <c r="J1472" s="2" t="s">
        <v>23</v>
      </c>
      <c r="K1472" s="2" t="s">
        <v>23</v>
      </c>
      <c r="M1472" s="2" t="s">
        <v>24</v>
      </c>
      <c r="N1472" s="2" t="s">
        <v>23</v>
      </c>
      <c r="P1472" s="51">
        <v>0</v>
      </c>
      <c r="Q1472" s="99" t="s">
        <v>6862</v>
      </c>
    </row>
    <row r="1473" spans="1:18">
      <c r="A1473" s="71">
        <v>27</v>
      </c>
      <c r="B1473" s="2" t="s">
        <v>6012</v>
      </c>
      <c r="C1473" s="71">
        <v>25</v>
      </c>
      <c r="D1473" s="2" t="s">
        <v>7693</v>
      </c>
      <c r="E1473" s="74">
        <v>0</v>
      </c>
      <c r="F1473" s="71">
        <v>3</v>
      </c>
      <c r="G1473" s="2" t="s">
        <v>2601</v>
      </c>
      <c r="H1473" s="73" t="s">
        <v>6889</v>
      </c>
      <c r="I1473" s="100" t="s">
        <v>7809</v>
      </c>
      <c r="J1473" s="2" t="s">
        <v>24</v>
      </c>
      <c r="K1473" s="2" t="s">
        <v>23</v>
      </c>
      <c r="M1473" s="2" t="s">
        <v>24</v>
      </c>
      <c r="N1473" s="2" t="s">
        <v>23</v>
      </c>
      <c r="P1473" s="51">
        <v>0</v>
      </c>
      <c r="Q1473" s="99" t="s">
        <v>6863</v>
      </c>
      <c r="R1473" s="2" t="s">
        <v>6869</v>
      </c>
    </row>
    <row r="1474" spans="1:18">
      <c r="A1474" s="71">
        <v>27</v>
      </c>
      <c r="B1474" s="2" t="s">
        <v>6012</v>
      </c>
      <c r="C1474" s="71">
        <v>25</v>
      </c>
      <c r="D1474" s="2" t="s">
        <v>7693</v>
      </c>
      <c r="E1474" s="74">
        <v>0</v>
      </c>
      <c r="F1474" s="71">
        <v>4</v>
      </c>
      <c r="G1474" s="2" t="s">
        <v>6865</v>
      </c>
      <c r="H1474" s="73" t="s">
        <v>6890</v>
      </c>
      <c r="I1474" s="100" t="s">
        <v>7810</v>
      </c>
      <c r="J1474" s="2" t="s">
        <v>24</v>
      </c>
      <c r="K1474" s="5" t="s">
        <v>139</v>
      </c>
      <c r="M1474" s="2" t="s">
        <v>24</v>
      </c>
      <c r="N1474" s="5" t="s">
        <v>139</v>
      </c>
      <c r="P1474" s="51">
        <v>0</v>
      </c>
      <c r="Q1474" s="99" t="s">
        <v>6870</v>
      </c>
    </row>
    <row r="1475" spans="1:18">
      <c r="A1475" s="71">
        <v>27</v>
      </c>
      <c r="B1475" s="2" t="s">
        <v>6012</v>
      </c>
      <c r="C1475" s="71">
        <v>25</v>
      </c>
      <c r="D1475" s="2" t="s">
        <v>7693</v>
      </c>
      <c r="E1475" s="74">
        <v>0</v>
      </c>
      <c r="F1475" s="71">
        <v>5</v>
      </c>
      <c r="G1475" s="2" t="s">
        <v>268</v>
      </c>
      <c r="H1475" s="73" t="s">
        <v>6891</v>
      </c>
      <c r="I1475" s="100" t="s">
        <v>7811</v>
      </c>
      <c r="J1475" s="2" t="s">
        <v>24</v>
      </c>
      <c r="K1475" s="2" t="s">
        <v>206</v>
      </c>
      <c r="M1475" s="2" t="s">
        <v>24</v>
      </c>
      <c r="N1475" s="2" t="s">
        <v>206</v>
      </c>
      <c r="P1475" s="51">
        <v>0</v>
      </c>
      <c r="Q1475" s="99" t="s">
        <v>6871</v>
      </c>
    </row>
    <row r="1476" spans="1:18">
      <c r="A1476" s="71">
        <v>27</v>
      </c>
      <c r="B1476" s="2" t="s">
        <v>6012</v>
      </c>
      <c r="C1476" s="71">
        <v>25</v>
      </c>
      <c r="D1476" s="2" t="s">
        <v>7693</v>
      </c>
      <c r="E1476" s="74">
        <v>0</v>
      </c>
      <c r="F1476" s="71">
        <v>6</v>
      </c>
      <c r="G1476" s="2" t="s">
        <v>6866</v>
      </c>
      <c r="H1476" s="73" t="s">
        <v>6892</v>
      </c>
      <c r="I1476" s="100" t="s">
        <v>7812</v>
      </c>
      <c r="J1476" s="2" t="s">
        <v>24</v>
      </c>
      <c r="K1476" s="2" t="s">
        <v>49</v>
      </c>
      <c r="M1476" s="2" t="s">
        <v>24</v>
      </c>
      <c r="N1476" s="2" t="s">
        <v>49</v>
      </c>
      <c r="P1476" s="51">
        <v>0</v>
      </c>
      <c r="Q1476" s="99" t="s">
        <v>2298</v>
      </c>
    </row>
    <row r="1477" spans="1:18">
      <c r="A1477" s="71">
        <v>27</v>
      </c>
      <c r="B1477" s="2" t="s">
        <v>6012</v>
      </c>
      <c r="C1477" s="71">
        <v>25</v>
      </c>
      <c r="D1477" s="2" t="s">
        <v>7693</v>
      </c>
      <c r="E1477" s="74">
        <v>0</v>
      </c>
      <c r="F1477" s="71">
        <v>7</v>
      </c>
      <c r="G1477" s="2" t="s">
        <v>6867</v>
      </c>
      <c r="H1477" s="73" t="s">
        <v>6893</v>
      </c>
      <c r="I1477" s="100" t="s">
        <v>7813</v>
      </c>
      <c r="J1477" s="2" t="s">
        <v>24</v>
      </c>
      <c r="K1477" s="2" t="s">
        <v>116</v>
      </c>
      <c r="L1477" s="16" t="s">
        <v>6872</v>
      </c>
      <c r="M1477" s="2" t="s">
        <v>24</v>
      </c>
      <c r="N1477" s="2" t="s">
        <v>116</v>
      </c>
      <c r="O1477" s="16" t="s">
        <v>6872</v>
      </c>
      <c r="P1477" s="51">
        <v>0</v>
      </c>
      <c r="Q1477" s="99" t="s">
        <v>6873</v>
      </c>
    </row>
    <row r="1478" spans="1:18">
      <c r="A1478" s="71">
        <v>27</v>
      </c>
      <c r="B1478" s="2" t="s">
        <v>6012</v>
      </c>
      <c r="C1478" s="71">
        <v>26</v>
      </c>
      <c r="D1478" s="2" t="s">
        <v>7694</v>
      </c>
      <c r="E1478" s="74">
        <v>0</v>
      </c>
      <c r="F1478" s="71">
        <v>0</v>
      </c>
      <c r="G1478" s="2" t="s">
        <v>20</v>
      </c>
      <c r="H1478" s="73" t="s">
        <v>6911</v>
      </c>
      <c r="I1478" s="76" t="s">
        <v>7814</v>
      </c>
      <c r="J1478" s="2" t="s">
        <v>24</v>
      </c>
      <c r="K1478" s="2" t="s">
        <v>25</v>
      </c>
      <c r="L1478" s="2" t="s">
        <v>26</v>
      </c>
      <c r="M1478" s="2" t="s">
        <v>24</v>
      </c>
      <c r="N1478" s="2" t="s">
        <v>25</v>
      </c>
      <c r="O1478" s="2" t="s">
        <v>26</v>
      </c>
      <c r="P1478" s="51">
        <v>0</v>
      </c>
      <c r="Q1478" s="1" t="s">
        <v>6899</v>
      </c>
    </row>
    <row r="1479" spans="1:18">
      <c r="A1479" s="71">
        <v>27</v>
      </c>
      <c r="B1479" s="2" t="s">
        <v>6012</v>
      </c>
      <c r="C1479" s="71">
        <v>26</v>
      </c>
      <c r="D1479" s="2" t="s">
        <v>7694</v>
      </c>
      <c r="E1479" s="74">
        <v>0</v>
      </c>
      <c r="F1479" s="71">
        <v>1</v>
      </c>
      <c r="G1479" s="2" t="s">
        <v>6035</v>
      </c>
      <c r="H1479" s="73" t="s">
        <v>6912</v>
      </c>
      <c r="I1479" s="100" t="s">
        <v>7815</v>
      </c>
      <c r="J1479" s="2" t="s">
        <v>24</v>
      </c>
      <c r="K1479" s="2" t="s">
        <v>25</v>
      </c>
      <c r="L1479" s="2" t="s">
        <v>6037</v>
      </c>
      <c r="M1479" s="2" t="s">
        <v>24</v>
      </c>
      <c r="N1479" s="2" t="s">
        <v>25</v>
      </c>
      <c r="O1479" s="2" t="s">
        <v>6037</v>
      </c>
      <c r="P1479" s="51">
        <v>0</v>
      </c>
      <c r="Q1479" s="99" t="s">
        <v>6038</v>
      </c>
    </row>
    <row r="1480" spans="1:18">
      <c r="A1480" s="71">
        <v>27</v>
      </c>
      <c r="B1480" s="2" t="s">
        <v>6012</v>
      </c>
      <c r="C1480" s="71">
        <v>26</v>
      </c>
      <c r="D1480" s="2" t="s">
        <v>7694</v>
      </c>
      <c r="E1480" s="74">
        <v>0</v>
      </c>
      <c r="F1480" s="71">
        <v>2</v>
      </c>
      <c r="G1480" s="2" t="s">
        <v>6090</v>
      </c>
      <c r="H1480" s="73" t="s">
        <v>6913</v>
      </c>
      <c r="I1480" s="100" t="s">
        <v>7816</v>
      </c>
      <c r="J1480" s="2" t="s">
        <v>23</v>
      </c>
      <c r="K1480" s="2" t="s">
        <v>23</v>
      </c>
      <c r="M1480" s="2" t="s">
        <v>24</v>
      </c>
      <c r="N1480" s="2" t="s">
        <v>23</v>
      </c>
      <c r="P1480" s="51">
        <v>0</v>
      </c>
      <c r="Q1480" s="99" t="s">
        <v>6862</v>
      </c>
    </row>
    <row r="1481" spans="1:18">
      <c r="A1481" s="71">
        <v>27</v>
      </c>
      <c r="B1481" s="2" t="s">
        <v>6012</v>
      </c>
      <c r="C1481" s="71">
        <v>26</v>
      </c>
      <c r="D1481" s="2" t="s">
        <v>7694</v>
      </c>
      <c r="E1481" s="74">
        <v>0</v>
      </c>
      <c r="F1481" s="71">
        <v>3</v>
      </c>
      <c r="G1481" s="2" t="s">
        <v>2601</v>
      </c>
      <c r="H1481" s="73" t="s">
        <v>6914</v>
      </c>
      <c r="I1481" s="100" t="s">
        <v>7817</v>
      </c>
      <c r="J1481" s="2" t="s">
        <v>24</v>
      </c>
      <c r="K1481" s="2" t="s">
        <v>23</v>
      </c>
      <c r="M1481" s="2" t="s">
        <v>24</v>
      </c>
      <c r="N1481" s="2" t="s">
        <v>23</v>
      </c>
      <c r="P1481" s="51">
        <v>0</v>
      </c>
      <c r="Q1481" s="99" t="s">
        <v>6863</v>
      </c>
      <c r="R1481" s="2" t="s">
        <v>6869</v>
      </c>
    </row>
    <row r="1482" spans="1:18">
      <c r="A1482" s="71">
        <v>27</v>
      </c>
      <c r="B1482" s="2" t="s">
        <v>6012</v>
      </c>
      <c r="C1482" s="71">
        <v>26</v>
      </c>
      <c r="D1482" s="2" t="s">
        <v>7694</v>
      </c>
      <c r="E1482" s="74">
        <v>0</v>
      </c>
      <c r="F1482" s="71">
        <v>4</v>
      </c>
      <c r="G1482" s="2" t="s">
        <v>291</v>
      </c>
      <c r="H1482" s="73" t="s">
        <v>6915</v>
      </c>
      <c r="I1482" s="100" t="s">
        <v>7818</v>
      </c>
      <c r="J1482" s="2" t="s">
        <v>24</v>
      </c>
      <c r="K1482" s="2" t="s">
        <v>206</v>
      </c>
      <c r="M1482" s="2" t="s">
        <v>24</v>
      </c>
      <c r="N1482" s="2" t="s">
        <v>206</v>
      </c>
      <c r="P1482" s="51">
        <v>0</v>
      </c>
      <c r="Q1482" s="99" t="s">
        <v>6900</v>
      </c>
    </row>
    <row r="1483" spans="1:18">
      <c r="A1483" s="71">
        <v>27</v>
      </c>
      <c r="B1483" s="2" t="s">
        <v>6012</v>
      </c>
      <c r="C1483" s="71">
        <v>26</v>
      </c>
      <c r="D1483" s="2" t="s">
        <v>7694</v>
      </c>
      <c r="E1483" s="74">
        <v>0</v>
      </c>
      <c r="F1483" s="71">
        <v>5</v>
      </c>
      <c r="G1483" s="2" t="s">
        <v>6896</v>
      </c>
      <c r="H1483" s="73" t="s">
        <v>6916</v>
      </c>
      <c r="I1483" s="100" t="s">
        <v>7819</v>
      </c>
      <c r="J1483" s="2" t="s">
        <v>24</v>
      </c>
      <c r="K1483" s="2" t="s">
        <v>298</v>
      </c>
      <c r="M1483" s="2" t="s">
        <v>24</v>
      </c>
      <c r="N1483" s="2" t="s">
        <v>298</v>
      </c>
      <c r="P1483" s="51">
        <v>0</v>
      </c>
      <c r="Q1483" s="99" t="s">
        <v>6901</v>
      </c>
    </row>
    <row r="1484" spans="1:18">
      <c r="A1484" s="71">
        <v>27</v>
      </c>
      <c r="B1484" s="2" t="s">
        <v>6012</v>
      </c>
      <c r="C1484" s="71">
        <v>26</v>
      </c>
      <c r="D1484" s="2" t="s">
        <v>7694</v>
      </c>
      <c r="E1484" s="74">
        <v>0</v>
      </c>
      <c r="F1484" s="71">
        <v>6</v>
      </c>
      <c r="G1484" s="2" t="s">
        <v>6897</v>
      </c>
      <c r="H1484" s="73" t="s">
        <v>6917</v>
      </c>
      <c r="I1484" s="100" t="s">
        <v>7820</v>
      </c>
      <c r="J1484" s="2" t="s">
        <v>24</v>
      </c>
      <c r="K1484" s="2" t="s">
        <v>206</v>
      </c>
      <c r="M1484" s="2" t="s">
        <v>24</v>
      </c>
      <c r="N1484" s="2" t="s">
        <v>206</v>
      </c>
      <c r="P1484" s="51">
        <v>0</v>
      </c>
      <c r="Q1484" s="99" t="s">
        <v>6902</v>
      </c>
    </row>
    <row r="1485" spans="1:18">
      <c r="A1485" s="71">
        <v>27</v>
      </c>
      <c r="B1485" s="2" t="s">
        <v>6012</v>
      </c>
      <c r="C1485" s="71">
        <v>26</v>
      </c>
      <c r="D1485" s="2" t="s">
        <v>7694</v>
      </c>
      <c r="E1485" s="74">
        <v>0</v>
      </c>
      <c r="F1485" s="71">
        <v>7</v>
      </c>
      <c r="G1485" s="2" t="s">
        <v>6898</v>
      </c>
      <c r="H1485" s="73" t="s">
        <v>6918</v>
      </c>
      <c r="I1485" s="100" t="s">
        <v>7821</v>
      </c>
      <c r="J1485" s="2" t="s">
        <v>24</v>
      </c>
      <c r="K1485" s="2" t="s">
        <v>133</v>
      </c>
      <c r="M1485" s="2" t="s">
        <v>24</v>
      </c>
      <c r="N1485" s="2" t="s">
        <v>133</v>
      </c>
      <c r="P1485" s="51">
        <v>0</v>
      </c>
      <c r="Q1485" s="99" t="s">
        <v>6903</v>
      </c>
    </row>
    <row r="1486" spans="1:18">
      <c r="A1486" s="71">
        <v>27</v>
      </c>
      <c r="B1486" s="2" t="s">
        <v>6012</v>
      </c>
      <c r="C1486" s="71">
        <v>27</v>
      </c>
      <c r="D1486" s="2" t="s">
        <v>7695</v>
      </c>
      <c r="E1486" s="74">
        <v>0</v>
      </c>
      <c r="F1486" s="71">
        <v>0</v>
      </c>
      <c r="G1486" s="2" t="s">
        <v>20</v>
      </c>
      <c r="H1486" s="73" t="s">
        <v>6919</v>
      </c>
      <c r="I1486" s="76" t="s">
        <v>7822</v>
      </c>
      <c r="J1486" s="2" t="s">
        <v>24</v>
      </c>
      <c r="K1486" s="2" t="s">
        <v>25</v>
      </c>
      <c r="L1486" s="2" t="s">
        <v>26</v>
      </c>
      <c r="M1486" s="2" t="s">
        <v>24</v>
      </c>
      <c r="N1486" s="2" t="s">
        <v>25</v>
      </c>
      <c r="O1486" s="2" t="s">
        <v>26</v>
      </c>
      <c r="P1486" s="51">
        <v>0</v>
      </c>
      <c r="Q1486" s="1" t="s">
        <v>6905</v>
      </c>
    </row>
    <row r="1487" spans="1:18">
      <c r="A1487" s="71">
        <v>27</v>
      </c>
      <c r="B1487" s="2" t="s">
        <v>6012</v>
      </c>
      <c r="C1487" s="71">
        <v>27</v>
      </c>
      <c r="D1487" s="2" t="s">
        <v>7695</v>
      </c>
      <c r="E1487" s="74">
        <v>0</v>
      </c>
      <c r="F1487" s="71">
        <v>1</v>
      </c>
      <c r="G1487" s="2" t="s">
        <v>6035</v>
      </c>
      <c r="H1487" s="73" t="s">
        <v>6920</v>
      </c>
      <c r="I1487" s="100" t="s">
        <v>7823</v>
      </c>
      <c r="J1487" s="2" t="s">
        <v>24</v>
      </c>
      <c r="K1487" s="2" t="s">
        <v>25</v>
      </c>
      <c r="L1487" s="2" t="s">
        <v>6037</v>
      </c>
      <c r="M1487" s="2" t="s">
        <v>24</v>
      </c>
      <c r="N1487" s="2" t="s">
        <v>25</v>
      </c>
      <c r="O1487" s="2" t="s">
        <v>6037</v>
      </c>
      <c r="P1487" s="51">
        <v>0</v>
      </c>
      <c r="Q1487" s="99" t="s">
        <v>6038</v>
      </c>
    </row>
    <row r="1488" spans="1:18">
      <c r="A1488" s="71">
        <v>27</v>
      </c>
      <c r="B1488" s="2" t="s">
        <v>6012</v>
      </c>
      <c r="C1488" s="71">
        <v>27</v>
      </c>
      <c r="D1488" s="2" t="s">
        <v>7695</v>
      </c>
      <c r="E1488" s="74">
        <v>0</v>
      </c>
      <c r="F1488" s="71">
        <v>2</v>
      </c>
      <c r="G1488" s="2" t="s">
        <v>6090</v>
      </c>
      <c r="H1488" s="73" t="s">
        <v>6921</v>
      </c>
      <c r="I1488" s="100" t="s">
        <v>7824</v>
      </c>
      <c r="J1488" s="2" t="s">
        <v>23</v>
      </c>
      <c r="K1488" s="2" t="s">
        <v>23</v>
      </c>
      <c r="M1488" s="2" t="s">
        <v>24</v>
      </c>
      <c r="N1488" s="2" t="s">
        <v>23</v>
      </c>
      <c r="P1488" s="51">
        <v>0</v>
      </c>
      <c r="Q1488" s="99" t="s">
        <v>6862</v>
      </c>
    </row>
    <row r="1489" spans="1:18">
      <c r="A1489" s="71">
        <v>27</v>
      </c>
      <c r="B1489" s="2" t="s">
        <v>6012</v>
      </c>
      <c r="C1489" s="71">
        <v>27</v>
      </c>
      <c r="D1489" s="2" t="s">
        <v>7695</v>
      </c>
      <c r="E1489" s="74">
        <v>0</v>
      </c>
      <c r="F1489" s="71">
        <v>3</v>
      </c>
      <c r="G1489" s="2" t="s">
        <v>2601</v>
      </c>
      <c r="H1489" s="73" t="s">
        <v>6922</v>
      </c>
      <c r="I1489" s="100" t="s">
        <v>7825</v>
      </c>
      <c r="J1489" s="2" t="s">
        <v>24</v>
      </c>
      <c r="K1489" s="2" t="s">
        <v>23</v>
      </c>
      <c r="M1489" s="2" t="s">
        <v>24</v>
      </c>
      <c r="N1489" s="2" t="s">
        <v>23</v>
      </c>
      <c r="P1489" s="51">
        <v>0</v>
      </c>
      <c r="Q1489" s="99" t="s">
        <v>6863</v>
      </c>
      <c r="R1489" s="2" t="s">
        <v>6869</v>
      </c>
    </row>
    <row r="1490" spans="1:18">
      <c r="A1490" s="71">
        <v>27</v>
      </c>
      <c r="B1490" s="2" t="s">
        <v>6012</v>
      </c>
      <c r="C1490" s="71">
        <v>27</v>
      </c>
      <c r="D1490" s="2" t="s">
        <v>7695</v>
      </c>
      <c r="E1490" s="74">
        <v>0</v>
      </c>
      <c r="F1490" s="71">
        <v>4</v>
      </c>
      <c r="G1490" s="2" t="s">
        <v>6904</v>
      </c>
      <c r="H1490" s="73" t="s">
        <v>6923</v>
      </c>
      <c r="I1490" s="100" t="s">
        <v>7826</v>
      </c>
      <c r="J1490" s="2" t="s">
        <v>24</v>
      </c>
      <c r="K1490" s="2" t="s">
        <v>116</v>
      </c>
      <c r="L1490" s="16" t="s">
        <v>6906</v>
      </c>
      <c r="M1490" s="2" t="s">
        <v>24</v>
      </c>
      <c r="N1490" s="2" t="s">
        <v>116</v>
      </c>
      <c r="O1490" s="16" t="s">
        <v>6906</v>
      </c>
      <c r="P1490" s="51">
        <v>0</v>
      </c>
      <c r="Q1490" s="99" t="s">
        <v>6907</v>
      </c>
    </row>
    <row r="1491" spans="1:18">
      <c r="A1491" s="71">
        <v>27</v>
      </c>
      <c r="B1491" s="2" t="s">
        <v>6012</v>
      </c>
      <c r="C1491" s="71">
        <v>27</v>
      </c>
      <c r="D1491" s="2" t="s">
        <v>7695</v>
      </c>
      <c r="E1491" s="74">
        <v>0</v>
      </c>
      <c r="F1491" s="71">
        <v>5</v>
      </c>
      <c r="G1491" s="2" t="s">
        <v>6660</v>
      </c>
      <c r="H1491" s="73" t="s">
        <v>6924</v>
      </c>
      <c r="I1491" s="100" t="s">
        <v>7827</v>
      </c>
      <c r="J1491" s="2" t="s">
        <v>24</v>
      </c>
      <c r="K1491" s="2" t="s">
        <v>133</v>
      </c>
      <c r="L1491" s="16"/>
      <c r="M1491" s="2" t="s">
        <v>24</v>
      </c>
      <c r="N1491" s="2" t="s">
        <v>133</v>
      </c>
      <c r="O1491" s="16"/>
      <c r="P1491" s="51">
        <v>0</v>
      </c>
      <c r="Q1491" s="99" t="s">
        <v>6908</v>
      </c>
    </row>
    <row r="1492" spans="1:18">
      <c r="A1492" s="71">
        <v>27</v>
      </c>
      <c r="B1492" s="2" t="s">
        <v>6012</v>
      </c>
      <c r="C1492" s="71">
        <v>27</v>
      </c>
      <c r="D1492" s="2" t="s">
        <v>7695</v>
      </c>
      <c r="E1492" s="74">
        <v>0</v>
      </c>
      <c r="F1492" s="71">
        <v>6</v>
      </c>
      <c r="G1492" s="2" t="s">
        <v>6860</v>
      </c>
      <c r="H1492" s="73" t="s">
        <v>6925</v>
      </c>
      <c r="I1492" s="100" t="s">
        <v>7828</v>
      </c>
      <c r="J1492" s="2" t="s">
        <v>24</v>
      </c>
      <c r="K1492" s="2" t="s">
        <v>263</v>
      </c>
      <c r="L1492" s="16"/>
      <c r="M1492" s="2" t="s">
        <v>24</v>
      </c>
      <c r="N1492" s="2" t="s">
        <v>263</v>
      </c>
      <c r="O1492" s="16"/>
      <c r="P1492" s="51">
        <v>0</v>
      </c>
      <c r="Q1492" s="99" t="s">
        <v>6909</v>
      </c>
    </row>
    <row r="1493" spans="1:18">
      <c r="A1493" s="71">
        <v>27</v>
      </c>
      <c r="B1493" s="2" t="s">
        <v>6012</v>
      </c>
      <c r="C1493" s="71">
        <v>27</v>
      </c>
      <c r="D1493" s="2" t="s">
        <v>7695</v>
      </c>
      <c r="E1493" s="74">
        <v>0</v>
      </c>
      <c r="F1493" s="71">
        <v>7</v>
      </c>
      <c r="G1493" s="2" t="s">
        <v>2392</v>
      </c>
      <c r="H1493" s="73" t="s">
        <v>6926</v>
      </c>
      <c r="I1493" s="100" t="s">
        <v>7829</v>
      </c>
      <c r="J1493" s="2" t="s">
        <v>24</v>
      </c>
      <c r="K1493" s="2" t="s">
        <v>116</v>
      </c>
      <c r="L1493" s="16" t="s">
        <v>6910</v>
      </c>
      <c r="M1493" s="2" t="s">
        <v>24</v>
      </c>
      <c r="N1493" s="2" t="s">
        <v>116</v>
      </c>
      <c r="O1493" s="16" t="s">
        <v>6910</v>
      </c>
      <c r="P1493" s="51">
        <v>0</v>
      </c>
      <c r="Q1493" s="99" t="s">
        <v>290</v>
      </c>
    </row>
    <row r="1494" spans="1:18">
      <c r="A1494" s="71">
        <v>27</v>
      </c>
      <c r="B1494" s="2" t="s">
        <v>6012</v>
      </c>
      <c r="C1494" s="71">
        <v>28</v>
      </c>
      <c r="D1494" s="2" t="s">
        <v>7696</v>
      </c>
      <c r="E1494" s="74">
        <v>0</v>
      </c>
      <c r="F1494" s="71">
        <v>0</v>
      </c>
      <c r="G1494" s="2" t="s">
        <v>20</v>
      </c>
      <c r="H1494" s="73" t="s">
        <v>7044</v>
      </c>
      <c r="I1494" s="76" t="s">
        <v>7830</v>
      </c>
      <c r="J1494" s="2" t="s">
        <v>24</v>
      </c>
      <c r="K1494" s="2" t="s">
        <v>25</v>
      </c>
      <c r="L1494" s="2" t="s">
        <v>26</v>
      </c>
      <c r="M1494" s="2" t="s">
        <v>24</v>
      </c>
      <c r="N1494" s="2" t="s">
        <v>25</v>
      </c>
      <c r="O1494" s="2" t="s">
        <v>26</v>
      </c>
      <c r="P1494" s="51">
        <v>0</v>
      </c>
      <c r="Q1494" s="1" t="s">
        <v>6930</v>
      </c>
    </row>
    <row r="1495" spans="1:18">
      <c r="A1495" s="71">
        <v>27</v>
      </c>
      <c r="B1495" s="2" t="s">
        <v>6012</v>
      </c>
      <c r="C1495" s="71">
        <v>28</v>
      </c>
      <c r="D1495" s="2" t="s">
        <v>7696</v>
      </c>
      <c r="E1495" s="74">
        <v>0</v>
      </c>
      <c r="F1495" s="71">
        <v>1</v>
      </c>
      <c r="G1495" s="2" t="s">
        <v>6035</v>
      </c>
      <c r="H1495" s="73" t="s">
        <v>7045</v>
      </c>
      <c r="I1495" s="100" t="s">
        <v>7831</v>
      </c>
      <c r="J1495" s="2" t="s">
        <v>24</v>
      </c>
      <c r="K1495" s="2" t="s">
        <v>25</v>
      </c>
      <c r="L1495" s="2" t="s">
        <v>6037</v>
      </c>
      <c r="M1495" s="2" t="s">
        <v>24</v>
      </c>
      <c r="N1495" s="2" t="s">
        <v>25</v>
      </c>
      <c r="O1495" s="2" t="s">
        <v>6037</v>
      </c>
      <c r="P1495" s="51">
        <v>0</v>
      </c>
      <c r="Q1495" s="99" t="s">
        <v>6038</v>
      </c>
    </row>
    <row r="1496" spans="1:18">
      <c r="A1496" s="71">
        <v>27</v>
      </c>
      <c r="B1496" s="2" t="s">
        <v>6012</v>
      </c>
      <c r="C1496" s="71">
        <v>28</v>
      </c>
      <c r="D1496" s="2" t="s">
        <v>7696</v>
      </c>
      <c r="E1496" s="74">
        <v>0</v>
      </c>
      <c r="F1496" s="71">
        <v>2</v>
      </c>
      <c r="G1496" s="2" t="s">
        <v>6090</v>
      </c>
      <c r="H1496" s="73" t="s">
        <v>7046</v>
      </c>
      <c r="I1496" s="100" t="s">
        <v>7832</v>
      </c>
      <c r="J1496" s="2" t="s">
        <v>23</v>
      </c>
      <c r="K1496" s="2" t="s">
        <v>23</v>
      </c>
      <c r="M1496" s="2" t="s">
        <v>24</v>
      </c>
      <c r="N1496" s="2" t="s">
        <v>23</v>
      </c>
      <c r="P1496" s="51">
        <v>0</v>
      </c>
      <c r="Q1496" s="99" t="s">
        <v>6862</v>
      </c>
    </row>
    <row r="1497" spans="1:18">
      <c r="A1497" s="71">
        <v>27</v>
      </c>
      <c r="B1497" s="2" t="s">
        <v>6012</v>
      </c>
      <c r="C1497" s="71">
        <v>28</v>
      </c>
      <c r="D1497" s="2" t="s">
        <v>7696</v>
      </c>
      <c r="E1497" s="74">
        <v>0</v>
      </c>
      <c r="F1497" s="71">
        <v>3</v>
      </c>
      <c r="G1497" s="2" t="s">
        <v>2601</v>
      </c>
      <c r="H1497" s="73" t="s">
        <v>7047</v>
      </c>
      <c r="I1497" s="100" t="s">
        <v>7833</v>
      </c>
      <c r="J1497" s="2" t="s">
        <v>24</v>
      </c>
      <c r="K1497" s="2" t="s">
        <v>23</v>
      </c>
      <c r="M1497" s="2" t="s">
        <v>24</v>
      </c>
      <c r="N1497" s="2" t="s">
        <v>23</v>
      </c>
      <c r="P1497" s="51">
        <v>0</v>
      </c>
      <c r="Q1497" s="99" t="s">
        <v>6863</v>
      </c>
      <c r="R1497" s="2" t="s">
        <v>6869</v>
      </c>
    </row>
    <row r="1498" spans="1:18">
      <c r="A1498" s="71">
        <v>27</v>
      </c>
      <c r="B1498" s="2" t="s">
        <v>6012</v>
      </c>
      <c r="C1498" s="71">
        <v>28</v>
      </c>
      <c r="D1498" s="2" t="s">
        <v>7696</v>
      </c>
      <c r="E1498" s="74">
        <v>0</v>
      </c>
      <c r="F1498" s="71">
        <v>4</v>
      </c>
      <c r="G1498" s="2" t="s">
        <v>6660</v>
      </c>
      <c r="H1498" s="73" t="s">
        <v>7048</v>
      </c>
      <c r="I1498" s="100" t="s">
        <v>7834</v>
      </c>
      <c r="J1498" s="2" t="s">
        <v>24</v>
      </c>
      <c r="K1498" s="2" t="s">
        <v>133</v>
      </c>
      <c r="M1498" s="2" t="s">
        <v>24</v>
      </c>
      <c r="N1498" s="2" t="s">
        <v>133</v>
      </c>
      <c r="P1498" s="51">
        <v>0</v>
      </c>
      <c r="Q1498" s="99" t="s">
        <v>6931</v>
      </c>
    </row>
    <row r="1499" spans="1:18">
      <c r="A1499" s="71">
        <v>27</v>
      </c>
      <c r="B1499" s="2" t="s">
        <v>6012</v>
      </c>
      <c r="C1499" s="71">
        <v>29</v>
      </c>
      <c r="D1499" s="2" t="s">
        <v>7697</v>
      </c>
      <c r="E1499" s="74">
        <v>0</v>
      </c>
      <c r="F1499" s="71">
        <v>0</v>
      </c>
      <c r="G1499" s="2" t="s">
        <v>20</v>
      </c>
      <c r="H1499" s="73" t="s">
        <v>7049</v>
      </c>
      <c r="I1499" s="76" t="s">
        <v>7835</v>
      </c>
      <c r="J1499" s="2" t="s">
        <v>24</v>
      </c>
      <c r="K1499" s="2" t="s">
        <v>25</v>
      </c>
      <c r="L1499" s="2" t="s">
        <v>26</v>
      </c>
      <c r="M1499" s="2" t="s">
        <v>24</v>
      </c>
      <c r="N1499" s="2" t="s">
        <v>25</v>
      </c>
      <c r="O1499" s="2" t="s">
        <v>26</v>
      </c>
      <c r="P1499" s="51">
        <v>0</v>
      </c>
      <c r="Q1499" s="1" t="s">
        <v>6943</v>
      </c>
    </row>
    <row r="1500" spans="1:18">
      <c r="A1500" s="71">
        <v>27</v>
      </c>
      <c r="B1500" s="2" t="s">
        <v>6012</v>
      </c>
      <c r="C1500" s="71">
        <v>29</v>
      </c>
      <c r="D1500" s="2" t="s">
        <v>7697</v>
      </c>
      <c r="E1500" s="74">
        <v>0</v>
      </c>
      <c r="F1500" s="71">
        <v>1</v>
      </c>
      <c r="G1500" s="2" t="s">
        <v>6035</v>
      </c>
      <c r="H1500" s="73" t="s">
        <v>7050</v>
      </c>
      <c r="I1500" s="100" t="s">
        <v>7836</v>
      </c>
      <c r="J1500" s="2" t="s">
        <v>24</v>
      </c>
      <c r="K1500" s="2" t="s">
        <v>25</v>
      </c>
      <c r="L1500" s="2" t="s">
        <v>6037</v>
      </c>
      <c r="M1500" s="2" t="s">
        <v>24</v>
      </c>
      <c r="N1500" s="2" t="s">
        <v>25</v>
      </c>
      <c r="O1500" s="2" t="s">
        <v>6037</v>
      </c>
      <c r="P1500" s="51">
        <v>0</v>
      </c>
      <c r="Q1500" s="99" t="s">
        <v>6038</v>
      </c>
    </row>
    <row r="1501" spans="1:18">
      <c r="A1501" s="71">
        <v>27</v>
      </c>
      <c r="B1501" s="2" t="s">
        <v>6012</v>
      </c>
      <c r="C1501" s="71">
        <v>29</v>
      </c>
      <c r="D1501" s="2" t="s">
        <v>7697</v>
      </c>
      <c r="E1501" s="74">
        <v>0</v>
      </c>
      <c r="F1501" s="71">
        <v>2</v>
      </c>
      <c r="G1501" s="2" t="s">
        <v>6090</v>
      </c>
      <c r="H1501" s="73" t="s">
        <v>7051</v>
      </c>
      <c r="I1501" s="100" t="s">
        <v>7837</v>
      </c>
      <c r="J1501" s="2" t="s">
        <v>23</v>
      </c>
      <c r="K1501" s="2" t="s">
        <v>23</v>
      </c>
      <c r="M1501" s="2" t="s">
        <v>24</v>
      </c>
      <c r="N1501" s="2" t="s">
        <v>23</v>
      </c>
      <c r="P1501" s="51">
        <v>0</v>
      </c>
      <c r="Q1501" s="99" t="s">
        <v>6862</v>
      </c>
    </row>
    <row r="1502" spans="1:18">
      <c r="A1502" s="71">
        <v>27</v>
      </c>
      <c r="B1502" s="2" t="s">
        <v>6012</v>
      </c>
      <c r="C1502" s="71">
        <v>29</v>
      </c>
      <c r="D1502" s="2" t="s">
        <v>7697</v>
      </c>
      <c r="E1502" s="74">
        <v>0</v>
      </c>
      <c r="F1502" s="71">
        <v>3</v>
      </c>
      <c r="G1502" s="2" t="s">
        <v>2601</v>
      </c>
      <c r="H1502" s="73" t="s">
        <v>7052</v>
      </c>
      <c r="I1502" s="100" t="s">
        <v>7838</v>
      </c>
      <c r="J1502" s="2" t="s">
        <v>24</v>
      </c>
      <c r="K1502" s="2" t="s">
        <v>23</v>
      </c>
      <c r="M1502" s="2" t="s">
        <v>24</v>
      </c>
      <c r="N1502" s="2" t="s">
        <v>23</v>
      </c>
      <c r="P1502" s="51">
        <v>0</v>
      </c>
      <c r="Q1502" s="99" t="s">
        <v>6863</v>
      </c>
      <c r="R1502" s="2" t="s">
        <v>6869</v>
      </c>
    </row>
    <row r="1503" spans="1:18">
      <c r="A1503" s="71">
        <v>27</v>
      </c>
      <c r="B1503" s="2" t="s">
        <v>6012</v>
      </c>
      <c r="C1503" s="71">
        <v>29</v>
      </c>
      <c r="D1503" s="2" t="s">
        <v>7697</v>
      </c>
      <c r="E1503" s="74">
        <v>0</v>
      </c>
      <c r="F1503" s="71">
        <v>4</v>
      </c>
      <c r="G1503" s="2" t="s">
        <v>6933</v>
      </c>
      <c r="H1503" s="73" t="s">
        <v>7053</v>
      </c>
      <c r="I1503" s="100" t="s">
        <v>7839</v>
      </c>
      <c r="J1503" s="2" t="s">
        <v>24</v>
      </c>
      <c r="K1503" s="2" t="s">
        <v>25</v>
      </c>
      <c r="L1503" s="2" t="s">
        <v>6944</v>
      </c>
      <c r="M1503" s="2" t="s">
        <v>24</v>
      </c>
      <c r="N1503" s="2" t="s">
        <v>25</v>
      </c>
      <c r="O1503" s="2" t="s">
        <v>6944</v>
      </c>
      <c r="P1503" s="51">
        <v>0</v>
      </c>
      <c r="Q1503" s="99" t="s">
        <v>6945</v>
      </c>
    </row>
    <row r="1504" spans="1:18">
      <c r="A1504" s="71">
        <v>27</v>
      </c>
      <c r="B1504" s="2" t="s">
        <v>6012</v>
      </c>
      <c r="C1504" s="71">
        <v>29</v>
      </c>
      <c r="D1504" s="2" t="s">
        <v>7697</v>
      </c>
      <c r="E1504" s="74">
        <v>0</v>
      </c>
      <c r="F1504" s="71">
        <v>5</v>
      </c>
      <c r="G1504" s="2" t="s">
        <v>6934</v>
      </c>
      <c r="H1504" s="73" t="s">
        <v>7054</v>
      </c>
      <c r="I1504" s="100" t="s">
        <v>7840</v>
      </c>
      <c r="J1504" s="2" t="s">
        <v>24</v>
      </c>
      <c r="K1504" s="2" t="s">
        <v>25</v>
      </c>
      <c r="L1504" s="2" t="s">
        <v>6946</v>
      </c>
      <c r="M1504" s="2" t="s">
        <v>24</v>
      </c>
      <c r="N1504" s="2" t="s">
        <v>25</v>
      </c>
      <c r="O1504" s="2" t="s">
        <v>6946</v>
      </c>
      <c r="P1504" s="51">
        <v>0</v>
      </c>
      <c r="Q1504" s="99" t="s">
        <v>6947</v>
      </c>
    </row>
    <row r="1505" spans="1:18">
      <c r="A1505" s="71">
        <v>27</v>
      </c>
      <c r="B1505" s="2" t="s">
        <v>6012</v>
      </c>
      <c r="C1505" s="71">
        <v>29</v>
      </c>
      <c r="D1505" s="2" t="s">
        <v>7697</v>
      </c>
      <c r="E1505" s="74">
        <v>0</v>
      </c>
      <c r="F1505" s="71">
        <v>6</v>
      </c>
      <c r="G1505" s="2" t="s">
        <v>6935</v>
      </c>
      <c r="H1505" s="73" t="s">
        <v>7055</v>
      </c>
      <c r="I1505" s="100" t="s">
        <v>7841</v>
      </c>
      <c r="J1505" s="2" t="s">
        <v>24</v>
      </c>
      <c r="K1505" s="2" t="s">
        <v>25</v>
      </c>
      <c r="L1505" s="2" t="s">
        <v>6944</v>
      </c>
      <c r="M1505" s="2" t="s">
        <v>24</v>
      </c>
      <c r="N1505" s="2" t="s">
        <v>25</v>
      </c>
      <c r="O1505" s="2" t="s">
        <v>6944</v>
      </c>
      <c r="P1505" s="51">
        <v>0</v>
      </c>
      <c r="Q1505" s="99" t="s">
        <v>6948</v>
      </c>
    </row>
    <row r="1506" spans="1:18">
      <c r="A1506" s="71">
        <v>27</v>
      </c>
      <c r="B1506" s="2" t="s">
        <v>6012</v>
      </c>
      <c r="C1506" s="71">
        <v>29</v>
      </c>
      <c r="D1506" s="2" t="s">
        <v>7697</v>
      </c>
      <c r="E1506" s="74">
        <v>0</v>
      </c>
      <c r="F1506" s="71">
        <v>7</v>
      </c>
      <c r="G1506" s="2" t="s">
        <v>6936</v>
      </c>
      <c r="H1506" s="73" t="s">
        <v>7056</v>
      </c>
      <c r="I1506" s="100" t="s">
        <v>7842</v>
      </c>
      <c r="J1506" s="2" t="s">
        <v>24</v>
      </c>
      <c r="K1506" s="2" t="s">
        <v>25</v>
      </c>
      <c r="L1506" s="2" t="s">
        <v>6946</v>
      </c>
      <c r="M1506" s="2" t="s">
        <v>24</v>
      </c>
      <c r="N1506" s="2" t="s">
        <v>25</v>
      </c>
      <c r="O1506" s="2" t="s">
        <v>6946</v>
      </c>
      <c r="P1506" s="51">
        <v>0</v>
      </c>
      <c r="Q1506" s="99" t="s">
        <v>6949</v>
      </c>
    </row>
    <row r="1507" spans="1:18">
      <c r="A1507" s="71">
        <v>27</v>
      </c>
      <c r="B1507" s="2" t="s">
        <v>6012</v>
      </c>
      <c r="C1507" s="71">
        <v>29</v>
      </c>
      <c r="D1507" s="2" t="s">
        <v>7697</v>
      </c>
      <c r="E1507" s="74">
        <v>0</v>
      </c>
      <c r="F1507" s="71">
        <v>8</v>
      </c>
      <c r="G1507" s="2" t="s">
        <v>6937</v>
      </c>
      <c r="H1507" s="73" t="s">
        <v>7057</v>
      </c>
      <c r="I1507" s="100" t="s">
        <v>7843</v>
      </c>
      <c r="J1507" s="2" t="s">
        <v>24</v>
      </c>
      <c r="K1507" s="2" t="s">
        <v>25</v>
      </c>
      <c r="L1507" s="2" t="s">
        <v>6944</v>
      </c>
      <c r="M1507" s="2" t="s">
        <v>24</v>
      </c>
      <c r="N1507" s="2" t="s">
        <v>25</v>
      </c>
      <c r="O1507" s="2" t="s">
        <v>6944</v>
      </c>
      <c r="P1507" s="51">
        <v>0</v>
      </c>
      <c r="Q1507" s="99" t="s">
        <v>6950</v>
      </c>
    </row>
    <row r="1508" spans="1:18">
      <c r="A1508" s="71">
        <v>27</v>
      </c>
      <c r="B1508" s="2" t="s">
        <v>6012</v>
      </c>
      <c r="C1508" s="71">
        <v>29</v>
      </c>
      <c r="D1508" s="2" t="s">
        <v>7697</v>
      </c>
      <c r="E1508" s="74">
        <v>0</v>
      </c>
      <c r="F1508" s="71">
        <v>9</v>
      </c>
      <c r="G1508" s="2" t="s">
        <v>6938</v>
      </c>
      <c r="H1508" s="73" t="s">
        <v>7058</v>
      </c>
      <c r="I1508" s="100" t="s">
        <v>7844</v>
      </c>
      <c r="J1508" s="2" t="s">
        <v>24</v>
      </c>
      <c r="K1508" s="2" t="s">
        <v>25</v>
      </c>
      <c r="L1508" s="2" t="s">
        <v>6946</v>
      </c>
      <c r="M1508" s="2" t="s">
        <v>24</v>
      </c>
      <c r="N1508" s="2" t="s">
        <v>25</v>
      </c>
      <c r="O1508" s="2" t="s">
        <v>6946</v>
      </c>
      <c r="P1508" s="51">
        <v>0</v>
      </c>
      <c r="Q1508" s="99" t="s">
        <v>6951</v>
      </c>
    </row>
    <row r="1509" spans="1:18">
      <c r="A1509" s="71">
        <v>27</v>
      </c>
      <c r="B1509" s="2" t="s">
        <v>6012</v>
      </c>
      <c r="C1509" s="71">
        <v>29</v>
      </c>
      <c r="D1509" s="2" t="s">
        <v>7697</v>
      </c>
      <c r="E1509" s="74">
        <v>0</v>
      </c>
      <c r="F1509" s="71">
        <v>10</v>
      </c>
      <c r="G1509" s="2" t="s">
        <v>6939</v>
      </c>
      <c r="H1509" s="73" t="s">
        <v>7059</v>
      </c>
      <c r="I1509" s="100" t="s">
        <v>7845</v>
      </c>
      <c r="J1509" s="2" t="s">
        <v>24</v>
      </c>
      <c r="K1509" s="2" t="s">
        <v>25</v>
      </c>
      <c r="L1509" s="2" t="s">
        <v>6944</v>
      </c>
      <c r="M1509" s="2" t="s">
        <v>24</v>
      </c>
      <c r="N1509" s="2" t="s">
        <v>25</v>
      </c>
      <c r="O1509" s="2" t="s">
        <v>6944</v>
      </c>
      <c r="P1509" s="51">
        <v>0</v>
      </c>
      <c r="Q1509" s="99" t="s">
        <v>6952</v>
      </c>
    </row>
    <row r="1510" spans="1:18">
      <c r="A1510" s="71">
        <v>27</v>
      </c>
      <c r="B1510" s="2" t="s">
        <v>6012</v>
      </c>
      <c r="C1510" s="71">
        <v>29</v>
      </c>
      <c r="D1510" s="2" t="s">
        <v>7697</v>
      </c>
      <c r="E1510" s="74">
        <v>0</v>
      </c>
      <c r="F1510" s="71">
        <v>11</v>
      </c>
      <c r="G1510" s="2" t="s">
        <v>6940</v>
      </c>
      <c r="H1510" s="73" t="s">
        <v>7060</v>
      </c>
      <c r="I1510" s="100" t="s">
        <v>7846</v>
      </c>
      <c r="J1510" s="2" t="s">
        <v>24</v>
      </c>
      <c r="K1510" s="2" t="s">
        <v>25</v>
      </c>
      <c r="L1510" s="2" t="s">
        <v>6946</v>
      </c>
      <c r="M1510" s="2" t="s">
        <v>24</v>
      </c>
      <c r="N1510" s="2" t="s">
        <v>25</v>
      </c>
      <c r="O1510" s="2" t="s">
        <v>6946</v>
      </c>
      <c r="P1510" s="51">
        <v>0</v>
      </c>
      <c r="Q1510" s="99" t="s">
        <v>6953</v>
      </c>
    </row>
    <row r="1511" spans="1:18">
      <c r="A1511" s="71">
        <v>27</v>
      </c>
      <c r="B1511" s="2" t="s">
        <v>6012</v>
      </c>
      <c r="C1511" s="71">
        <v>29</v>
      </c>
      <c r="D1511" s="2" t="s">
        <v>7697</v>
      </c>
      <c r="E1511" s="74">
        <v>0</v>
      </c>
      <c r="F1511" s="71">
        <v>12</v>
      </c>
      <c r="G1511" s="2" t="s">
        <v>10889</v>
      </c>
      <c r="H1511" s="73" t="s">
        <v>7061</v>
      </c>
      <c r="I1511" s="100" t="s">
        <v>10891</v>
      </c>
      <c r="J1511" s="2" t="s">
        <v>24</v>
      </c>
      <c r="K1511" s="2" t="s">
        <v>25</v>
      </c>
      <c r="L1511" s="2" t="s">
        <v>6944</v>
      </c>
      <c r="M1511" s="2" t="s">
        <v>24</v>
      </c>
      <c r="N1511" s="2" t="s">
        <v>25</v>
      </c>
      <c r="O1511" s="2" t="s">
        <v>6944</v>
      </c>
      <c r="P1511" s="51">
        <v>0</v>
      </c>
      <c r="Q1511" s="99" t="s">
        <v>10887</v>
      </c>
    </row>
    <row r="1512" spans="1:18">
      <c r="A1512" s="71">
        <v>27</v>
      </c>
      <c r="B1512" s="2" t="s">
        <v>6012</v>
      </c>
      <c r="C1512" s="71">
        <v>29</v>
      </c>
      <c r="D1512" s="2" t="s">
        <v>7697</v>
      </c>
      <c r="E1512" s="74">
        <v>0</v>
      </c>
      <c r="F1512" s="71">
        <v>13</v>
      </c>
      <c r="G1512" s="2" t="s">
        <v>10890</v>
      </c>
      <c r="H1512" s="73" t="s">
        <v>7062</v>
      </c>
      <c r="I1512" s="100" t="s">
        <v>10892</v>
      </c>
      <c r="J1512" s="2" t="s">
        <v>24</v>
      </c>
      <c r="K1512" s="2" t="s">
        <v>25</v>
      </c>
      <c r="L1512" s="2" t="s">
        <v>6946</v>
      </c>
      <c r="M1512" s="2" t="s">
        <v>24</v>
      </c>
      <c r="N1512" s="2" t="s">
        <v>25</v>
      </c>
      <c r="O1512" s="2" t="s">
        <v>6946</v>
      </c>
      <c r="P1512" s="51">
        <v>0</v>
      </c>
      <c r="Q1512" s="99" t="s">
        <v>10888</v>
      </c>
    </row>
    <row r="1513" spans="1:18">
      <c r="A1513" s="71">
        <v>27</v>
      </c>
      <c r="B1513" s="2" t="s">
        <v>6012</v>
      </c>
      <c r="C1513" s="71">
        <v>29</v>
      </c>
      <c r="D1513" s="2" t="s">
        <v>7697</v>
      </c>
      <c r="E1513" s="74">
        <v>0</v>
      </c>
      <c r="F1513" s="71">
        <v>14</v>
      </c>
      <c r="G1513" s="2" t="s">
        <v>6941</v>
      </c>
      <c r="H1513" s="73" t="s">
        <v>7063</v>
      </c>
      <c r="I1513" s="100" t="s">
        <v>7847</v>
      </c>
      <c r="J1513" s="2" t="s">
        <v>24</v>
      </c>
      <c r="K1513" s="2" t="s">
        <v>25</v>
      </c>
      <c r="L1513" s="2" t="s">
        <v>6944</v>
      </c>
      <c r="M1513" s="2" t="s">
        <v>24</v>
      </c>
      <c r="N1513" s="2" t="s">
        <v>25</v>
      </c>
      <c r="O1513" s="2" t="s">
        <v>6944</v>
      </c>
      <c r="P1513" s="51">
        <v>0</v>
      </c>
      <c r="Q1513" s="99" t="s">
        <v>6954</v>
      </c>
    </row>
    <row r="1514" spans="1:18">
      <c r="A1514" s="71">
        <v>27</v>
      </c>
      <c r="B1514" s="2" t="s">
        <v>6012</v>
      </c>
      <c r="C1514" s="71">
        <v>29</v>
      </c>
      <c r="D1514" s="2" t="s">
        <v>7697</v>
      </c>
      <c r="E1514" s="74">
        <v>0</v>
      </c>
      <c r="F1514" s="71">
        <v>15</v>
      </c>
      <c r="G1514" s="2" t="s">
        <v>6942</v>
      </c>
      <c r="H1514" s="73" t="s">
        <v>7064</v>
      </c>
      <c r="I1514" s="100" t="s">
        <v>7848</v>
      </c>
      <c r="J1514" s="2" t="s">
        <v>24</v>
      </c>
      <c r="K1514" s="2" t="s">
        <v>25</v>
      </c>
      <c r="L1514" s="2" t="s">
        <v>6946</v>
      </c>
      <c r="M1514" s="2" t="s">
        <v>24</v>
      </c>
      <c r="N1514" s="2" t="s">
        <v>25</v>
      </c>
      <c r="O1514" s="2" t="s">
        <v>6946</v>
      </c>
      <c r="P1514" s="51">
        <v>0</v>
      </c>
      <c r="Q1514" s="99" t="s">
        <v>6955</v>
      </c>
    </row>
    <row r="1515" spans="1:18">
      <c r="A1515" s="71">
        <v>27</v>
      </c>
      <c r="B1515" s="2" t="s">
        <v>6012</v>
      </c>
      <c r="C1515" s="71">
        <v>30</v>
      </c>
      <c r="D1515" s="2" t="s">
        <v>7698</v>
      </c>
      <c r="E1515" s="74">
        <v>0</v>
      </c>
      <c r="F1515" s="71">
        <v>0</v>
      </c>
      <c r="G1515" s="2" t="s">
        <v>20</v>
      </c>
      <c r="H1515" s="73" t="s">
        <v>7065</v>
      </c>
      <c r="I1515" s="76" t="s">
        <v>7849</v>
      </c>
      <c r="J1515" s="2" t="s">
        <v>24</v>
      </c>
      <c r="K1515" s="2" t="s">
        <v>25</v>
      </c>
      <c r="L1515" s="2" t="s">
        <v>26</v>
      </c>
      <c r="M1515" s="2" t="s">
        <v>24</v>
      </c>
      <c r="N1515" s="2" t="s">
        <v>25</v>
      </c>
      <c r="O1515" s="2" t="s">
        <v>26</v>
      </c>
      <c r="P1515" s="51">
        <v>0</v>
      </c>
      <c r="Q1515" s="1" t="s">
        <v>6958</v>
      </c>
      <c r="R1515" s="2" t="s">
        <v>6959</v>
      </c>
    </row>
    <row r="1516" spans="1:18">
      <c r="A1516" s="71">
        <v>27</v>
      </c>
      <c r="B1516" s="2" t="s">
        <v>6012</v>
      </c>
      <c r="C1516" s="71">
        <v>30</v>
      </c>
      <c r="D1516" s="2" t="s">
        <v>7698</v>
      </c>
      <c r="E1516" s="74">
        <v>0</v>
      </c>
      <c r="F1516" s="71">
        <v>1</v>
      </c>
      <c r="G1516" s="2" t="s">
        <v>6035</v>
      </c>
      <c r="H1516" s="73" t="s">
        <v>7066</v>
      </c>
      <c r="I1516" s="100" t="s">
        <v>7850</v>
      </c>
      <c r="J1516" s="2" t="s">
        <v>24</v>
      </c>
      <c r="K1516" s="2" t="s">
        <v>25</v>
      </c>
      <c r="L1516" s="2" t="s">
        <v>6037</v>
      </c>
      <c r="M1516" s="2" t="s">
        <v>24</v>
      </c>
      <c r="N1516" s="2" t="s">
        <v>25</v>
      </c>
      <c r="O1516" s="2" t="s">
        <v>6037</v>
      </c>
      <c r="P1516" s="51">
        <v>0</v>
      </c>
      <c r="Q1516" s="99" t="s">
        <v>6038</v>
      </c>
    </row>
    <row r="1517" spans="1:18">
      <c r="A1517" s="71">
        <v>27</v>
      </c>
      <c r="B1517" s="2" t="s">
        <v>6012</v>
      </c>
      <c r="C1517" s="71">
        <v>30</v>
      </c>
      <c r="D1517" s="2" t="s">
        <v>7698</v>
      </c>
      <c r="E1517" s="74">
        <v>0</v>
      </c>
      <c r="F1517" s="71">
        <v>2</v>
      </c>
      <c r="G1517" s="2" t="s">
        <v>6090</v>
      </c>
      <c r="H1517" s="73" t="s">
        <v>7067</v>
      </c>
      <c r="I1517" s="100" t="s">
        <v>7851</v>
      </c>
      <c r="J1517" s="2" t="s">
        <v>23</v>
      </c>
      <c r="K1517" s="2" t="s">
        <v>23</v>
      </c>
      <c r="M1517" s="2" t="s">
        <v>24</v>
      </c>
      <c r="N1517" s="2" t="s">
        <v>23</v>
      </c>
      <c r="P1517" s="51">
        <v>0</v>
      </c>
      <c r="Q1517" s="99" t="s">
        <v>6862</v>
      </c>
    </row>
    <row r="1518" spans="1:18">
      <c r="A1518" s="71">
        <v>27</v>
      </c>
      <c r="B1518" s="2" t="s">
        <v>6012</v>
      </c>
      <c r="C1518" s="71">
        <v>30</v>
      </c>
      <c r="D1518" s="2" t="s">
        <v>7698</v>
      </c>
      <c r="E1518" s="74">
        <v>0</v>
      </c>
      <c r="F1518" s="71">
        <v>3</v>
      </c>
      <c r="G1518" s="2" t="s">
        <v>2601</v>
      </c>
      <c r="H1518" s="73" t="s">
        <v>7068</v>
      </c>
      <c r="I1518" s="100" t="s">
        <v>7852</v>
      </c>
      <c r="J1518" s="2" t="s">
        <v>24</v>
      </c>
      <c r="K1518" s="2" t="s">
        <v>23</v>
      </c>
      <c r="M1518" s="2" t="s">
        <v>24</v>
      </c>
      <c r="N1518" s="2" t="s">
        <v>23</v>
      </c>
      <c r="P1518" s="51">
        <v>0</v>
      </c>
      <c r="Q1518" s="99" t="s">
        <v>6863</v>
      </c>
      <c r="R1518" s="2" t="s">
        <v>6869</v>
      </c>
    </row>
    <row r="1519" spans="1:18">
      <c r="A1519" s="71">
        <v>27</v>
      </c>
      <c r="B1519" s="2" t="s">
        <v>6012</v>
      </c>
      <c r="C1519" s="71">
        <v>30</v>
      </c>
      <c r="D1519" s="2" t="s">
        <v>7698</v>
      </c>
      <c r="E1519" s="74">
        <v>0</v>
      </c>
      <c r="F1519" s="71">
        <v>4</v>
      </c>
      <c r="G1519" s="2" t="s">
        <v>6956</v>
      </c>
      <c r="H1519" s="73" t="s">
        <v>7069</v>
      </c>
      <c r="I1519" s="100" t="s">
        <v>7853</v>
      </c>
      <c r="J1519" s="2" t="s">
        <v>24</v>
      </c>
      <c r="K1519" s="2" t="s">
        <v>298</v>
      </c>
      <c r="M1519" s="2" t="s">
        <v>24</v>
      </c>
      <c r="N1519" s="2" t="s">
        <v>298</v>
      </c>
      <c r="P1519" s="51">
        <v>0</v>
      </c>
      <c r="Q1519" s="99" t="s">
        <v>6960</v>
      </c>
    </row>
    <row r="1520" spans="1:18">
      <c r="A1520" s="71">
        <v>27</v>
      </c>
      <c r="B1520" s="2" t="s">
        <v>6012</v>
      </c>
      <c r="C1520" s="71">
        <v>30</v>
      </c>
      <c r="D1520" s="2" t="s">
        <v>7698</v>
      </c>
      <c r="E1520" s="74">
        <v>0</v>
      </c>
      <c r="F1520" s="71">
        <v>5</v>
      </c>
      <c r="G1520" s="2" t="s">
        <v>6957</v>
      </c>
      <c r="H1520" s="73" t="s">
        <v>7070</v>
      </c>
      <c r="I1520" s="100" t="s">
        <v>7854</v>
      </c>
      <c r="J1520" s="2" t="s">
        <v>24</v>
      </c>
      <c r="K1520" s="2" t="s">
        <v>298</v>
      </c>
      <c r="M1520" s="2" t="s">
        <v>24</v>
      </c>
      <c r="N1520" s="2" t="s">
        <v>298</v>
      </c>
      <c r="P1520" s="51">
        <v>0</v>
      </c>
      <c r="Q1520" s="99" t="s">
        <v>6961</v>
      </c>
    </row>
    <row r="1521" spans="1:18">
      <c r="A1521" s="71">
        <v>27</v>
      </c>
      <c r="B1521" s="2" t="s">
        <v>6012</v>
      </c>
      <c r="C1521" s="71">
        <v>31</v>
      </c>
      <c r="D1521" s="2" t="s">
        <v>7699</v>
      </c>
      <c r="E1521" s="74">
        <v>0</v>
      </c>
      <c r="F1521" s="71">
        <v>0</v>
      </c>
      <c r="G1521" s="2" t="s">
        <v>20</v>
      </c>
      <c r="H1521" s="73" t="s">
        <v>7071</v>
      </c>
      <c r="I1521" s="76" t="s">
        <v>7855</v>
      </c>
      <c r="J1521" s="2" t="s">
        <v>24</v>
      </c>
      <c r="K1521" s="2" t="s">
        <v>25</v>
      </c>
      <c r="L1521" s="2" t="s">
        <v>26</v>
      </c>
      <c r="M1521" s="2" t="s">
        <v>24</v>
      </c>
      <c r="N1521" s="2" t="s">
        <v>25</v>
      </c>
      <c r="O1521" s="2" t="s">
        <v>26</v>
      </c>
      <c r="P1521" s="51">
        <v>0</v>
      </c>
      <c r="Q1521" s="1" t="s">
        <v>6962</v>
      </c>
      <c r="R1521" s="2" t="s">
        <v>6959</v>
      </c>
    </row>
    <row r="1522" spans="1:18">
      <c r="A1522" s="71">
        <v>27</v>
      </c>
      <c r="B1522" s="2" t="s">
        <v>6012</v>
      </c>
      <c r="C1522" s="71">
        <v>31</v>
      </c>
      <c r="D1522" s="2" t="s">
        <v>7699</v>
      </c>
      <c r="E1522" s="74">
        <v>0</v>
      </c>
      <c r="F1522" s="71">
        <v>1</v>
      </c>
      <c r="G1522" s="2" t="s">
        <v>6035</v>
      </c>
      <c r="H1522" s="73" t="s">
        <v>7072</v>
      </c>
      <c r="I1522" s="100" t="s">
        <v>7856</v>
      </c>
      <c r="J1522" s="2" t="s">
        <v>24</v>
      </c>
      <c r="K1522" s="2" t="s">
        <v>25</v>
      </c>
      <c r="L1522" s="2" t="s">
        <v>6037</v>
      </c>
      <c r="M1522" s="2" t="s">
        <v>24</v>
      </c>
      <c r="N1522" s="2" t="s">
        <v>25</v>
      </c>
      <c r="O1522" s="2" t="s">
        <v>6037</v>
      </c>
      <c r="P1522" s="51">
        <v>0</v>
      </c>
      <c r="Q1522" s="99" t="s">
        <v>6038</v>
      </c>
    </row>
    <row r="1523" spans="1:18">
      <c r="A1523" s="71">
        <v>27</v>
      </c>
      <c r="B1523" s="2" t="s">
        <v>6012</v>
      </c>
      <c r="C1523" s="71">
        <v>31</v>
      </c>
      <c r="D1523" s="2" t="s">
        <v>7699</v>
      </c>
      <c r="E1523" s="74">
        <v>0</v>
      </c>
      <c r="F1523" s="71">
        <v>2</v>
      </c>
      <c r="G1523" s="2" t="s">
        <v>6090</v>
      </c>
      <c r="H1523" s="73" t="s">
        <v>7073</v>
      </c>
      <c r="I1523" s="100" t="s">
        <v>7857</v>
      </c>
      <c r="J1523" s="2" t="s">
        <v>23</v>
      </c>
      <c r="K1523" s="2" t="s">
        <v>23</v>
      </c>
      <c r="M1523" s="2" t="s">
        <v>24</v>
      </c>
      <c r="N1523" s="2" t="s">
        <v>23</v>
      </c>
      <c r="P1523" s="51">
        <v>0</v>
      </c>
      <c r="Q1523" s="99" t="s">
        <v>6862</v>
      </c>
    </row>
    <row r="1524" spans="1:18">
      <c r="A1524" s="71">
        <v>27</v>
      </c>
      <c r="B1524" s="2" t="s">
        <v>6012</v>
      </c>
      <c r="C1524" s="71">
        <v>31</v>
      </c>
      <c r="D1524" s="2" t="s">
        <v>7699</v>
      </c>
      <c r="E1524" s="74">
        <v>0</v>
      </c>
      <c r="F1524" s="71">
        <v>3</v>
      </c>
      <c r="G1524" s="2" t="s">
        <v>2601</v>
      </c>
      <c r="H1524" s="73" t="s">
        <v>7074</v>
      </c>
      <c r="I1524" s="100" t="s">
        <v>7858</v>
      </c>
      <c r="J1524" s="2" t="s">
        <v>24</v>
      </c>
      <c r="K1524" s="2" t="s">
        <v>23</v>
      </c>
      <c r="M1524" s="2" t="s">
        <v>24</v>
      </c>
      <c r="N1524" s="2" t="s">
        <v>23</v>
      </c>
      <c r="P1524" s="51">
        <v>0</v>
      </c>
      <c r="Q1524" s="99" t="s">
        <v>6863</v>
      </c>
    </row>
    <row r="1525" spans="1:18">
      <c r="A1525" s="71">
        <v>27</v>
      </c>
      <c r="B1525" s="2" t="s">
        <v>6012</v>
      </c>
      <c r="C1525" s="71">
        <v>31</v>
      </c>
      <c r="D1525" s="2" t="s">
        <v>7699</v>
      </c>
      <c r="E1525" s="74">
        <v>0</v>
      </c>
      <c r="F1525" s="71">
        <v>4</v>
      </c>
      <c r="G1525" s="2" t="s">
        <v>6956</v>
      </c>
      <c r="H1525" s="73" t="s">
        <v>7075</v>
      </c>
      <c r="I1525" s="100" t="s">
        <v>7859</v>
      </c>
      <c r="J1525" s="2" t="s">
        <v>24</v>
      </c>
      <c r="K1525" s="2" t="s">
        <v>298</v>
      </c>
      <c r="M1525" s="2" t="s">
        <v>24</v>
      </c>
      <c r="N1525" s="2" t="s">
        <v>298</v>
      </c>
      <c r="P1525" s="51">
        <v>0</v>
      </c>
      <c r="Q1525" s="99" t="s">
        <v>6963</v>
      </c>
    </row>
    <row r="1526" spans="1:18">
      <c r="A1526" s="71">
        <v>27</v>
      </c>
      <c r="B1526" s="2" t="s">
        <v>6012</v>
      </c>
      <c r="C1526" s="71">
        <v>31</v>
      </c>
      <c r="D1526" s="2" t="s">
        <v>7699</v>
      </c>
      <c r="E1526" s="74">
        <v>0</v>
      </c>
      <c r="F1526" s="71">
        <v>5</v>
      </c>
      <c r="G1526" s="2" t="s">
        <v>6957</v>
      </c>
      <c r="H1526" s="73" t="s">
        <v>7076</v>
      </c>
      <c r="I1526" s="100" t="s">
        <v>7860</v>
      </c>
      <c r="J1526" s="2" t="s">
        <v>24</v>
      </c>
      <c r="K1526" s="2" t="s">
        <v>298</v>
      </c>
      <c r="M1526" s="2" t="s">
        <v>24</v>
      </c>
      <c r="N1526" s="2" t="s">
        <v>298</v>
      </c>
      <c r="P1526" s="51">
        <v>0</v>
      </c>
      <c r="Q1526" s="99" t="s">
        <v>6964</v>
      </c>
    </row>
    <row r="1527" spans="1:18">
      <c r="A1527" s="71">
        <v>27</v>
      </c>
      <c r="B1527" s="2" t="s">
        <v>6012</v>
      </c>
      <c r="C1527" s="71">
        <v>32</v>
      </c>
      <c r="D1527" s="2" t="s">
        <v>7700</v>
      </c>
      <c r="E1527" s="74">
        <v>0</v>
      </c>
      <c r="F1527" s="71">
        <v>0</v>
      </c>
      <c r="G1527" s="2" t="s">
        <v>20</v>
      </c>
      <c r="H1527" s="73" t="s">
        <v>7077</v>
      </c>
      <c r="I1527" s="76" t="s">
        <v>7861</v>
      </c>
      <c r="J1527" s="2" t="s">
        <v>24</v>
      </c>
      <c r="K1527" s="2" t="s">
        <v>25</v>
      </c>
      <c r="L1527" s="2" t="s">
        <v>26</v>
      </c>
      <c r="M1527" s="2" t="s">
        <v>24</v>
      </c>
      <c r="N1527" s="2" t="s">
        <v>25</v>
      </c>
      <c r="O1527" s="2" t="s">
        <v>26</v>
      </c>
      <c r="P1527" s="51">
        <v>0</v>
      </c>
      <c r="Q1527" s="1" t="s">
        <v>6965</v>
      </c>
      <c r="R1527" s="2" t="s">
        <v>6959</v>
      </c>
    </row>
    <row r="1528" spans="1:18">
      <c r="A1528" s="71">
        <v>27</v>
      </c>
      <c r="B1528" s="2" t="s">
        <v>6012</v>
      </c>
      <c r="C1528" s="71">
        <v>32</v>
      </c>
      <c r="D1528" s="2" t="s">
        <v>7700</v>
      </c>
      <c r="E1528" s="74">
        <v>0</v>
      </c>
      <c r="F1528" s="71">
        <v>1</v>
      </c>
      <c r="G1528" s="2" t="s">
        <v>6035</v>
      </c>
      <c r="H1528" s="73" t="s">
        <v>7078</v>
      </c>
      <c r="I1528" s="100" t="s">
        <v>7862</v>
      </c>
      <c r="J1528" s="2" t="s">
        <v>24</v>
      </c>
      <c r="K1528" s="2" t="s">
        <v>25</v>
      </c>
      <c r="L1528" s="2" t="s">
        <v>6037</v>
      </c>
      <c r="M1528" s="2" t="s">
        <v>24</v>
      </c>
      <c r="N1528" s="2" t="s">
        <v>25</v>
      </c>
      <c r="O1528" s="2" t="s">
        <v>6037</v>
      </c>
      <c r="P1528" s="51">
        <v>0</v>
      </c>
      <c r="Q1528" s="99" t="s">
        <v>6038</v>
      </c>
    </row>
    <row r="1529" spans="1:18">
      <c r="A1529" s="71">
        <v>27</v>
      </c>
      <c r="B1529" s="2" t="s">
        <v>6012</v>
      </c>
      <c r="C1529" s="71">
        <v>32</v>
      </c>
      <c r="D1529" s="2" t="s">
        <v>7700</v>
      </c>
      <c r="E1529" s="74">
        <v>0</v>
      </c>
      <c r="F1529" s="71">
        <v>2</v>
      </c>
      <c r="G1529" s="2" t="s">
        <v>6090</v>
      </c>
      <c r="H1529" s="73" t="s">
        <v>7079</v>
      </c>
      <c r="I1529" s="100" t="s">
        <v>7863</v>
      </c>
      <c r="J1529" s="2" t="s">
        <v>23</v>
      </c>
      <c r="K1529" s="2" t="s">
        <v>23</v>
      </c>
      <c r="M1529" s="2" t="s">
        <v>24</v>
      </c>
      <c r="N1529" s="2" t="s">
        <v>23</v>
      </c>
      <c r="P1529" s="51">
        <v>0</v>
      </c>
      <c r="Q1529" s="99" t="s">
        <v>6862</v>
      </c>
    </row>
    <row r="1530" spans="1:18">
      <c r="A1530" s="71">
        <v>27</v>
      </c>
      <c r="B1530" s="2" t="s">
        <v>6012</v>
      </c>
      <c r="C1530" s="71">
        <v>32</v>
      </c>
      <c r="D1530" s="2" t="s">
        <v>7700</v>
      </c>
      <c r="E1530" s="74">
        <v>0</v>
      </c>
      <c r="F1530" s="71">
        <v>3</v>
      </c>
      <c r="G1530" s="2" t="s">
        <v>2601</v>
      </c>
      <c r="H1530" s="73" t="s">
        <v>7080</v>
      </c>
      <c r="I1530" s="100" t="s">
        <v>7864</v>
      </c>
      <c r="J1530" s="2" t="s">
        <v>24</v>
      </c>
      <c r="K1530" s="2" t="s">
        <v>23</v>
      </c>
      <c r="M1530" s="2" t="s">
        <v>24</v>
      </c>
      <c r="N1530" s="2" t="s">
        <v>23</v>
      </c>
      <c r="P1530" s="51">
        <v>0</v>
      </c>
      <c r="Q1530" s="99" t="s">
        <v>6863</v>
      </c>
    </row>
    <row r="1531" spans="1:18">
      <c r="A1531" s="71">
        <v>27</v>
      </c>
      <c r="B1531" s="2" t="s">
        <v>6012</v>
      </c>
      <c r="C1531" s="71">
        <v>32</v>
      </c>
      <c r="D1531" s="2" t="s">
        <v>7700</v>
      </c>
      <c r="E1531" s="74">
        <v>0</v>
      </c>
      <c r="F1531" s="71">
        <v>4</v>
      </c>
      <c r="G1531" s="2" t="s">
        <v>6956</v>
      </c>
      <c r="H1531" s="73" t="s">
        <v>7081</v>
      </c>
      <c r="I1531" s="100" t="s">
        <v>7865</v>
      </c>
      <c r="J1531" s="2" t="s">
        <v>24</v>
      </c>
      <c r="K1531" s="2" t="s">
        <v>298</v>
      </c>
      <c r="M1531" s="2" t="s">
        <v>24</v>
      </c>
      <c r="N1531" s="2" t="s">
        <v>298</v>
      </c>
      <c r="P1531" s="51">
        <v>0</v>
      </c>
      <c r="Q1531" s="99" t="s">
        <v>6966</v>
      </c>
    </row>
    <row r="1532" spans="1:18">
      <c r="A1532" s="71">
        <v>27</v>
      </c>
      <c r="B1532" s="2" t="s">
        <v>6012</v>
      </c>
      <c r="C1532" s="71">
        <v>32</v>
      </c>
      <c r="D1532" s="2" t="s">
        <v>7700</v>
      </c>
      <c r="E1532" s="74">
        <v>0</v>
      </c>
      <c r="F1532" s="71">
        <v>5</v>
      </c>
      <c r="G1532" s="2" t="s">
        <v>6957</v>
      </c>
      <c r="H1532" s="73" t="s">
        <v>7082</v>
      </c>
      <c r="I1532" s="100" t="s">
        <v>7866</v>
      </c>
      <c r="J1532" s="2" t="s">
        <v>24</v>
      </c>
      <c r="K1532" s="2" t="s">
        <v>298</v>
      </c>
      <c r="M1532" s="2" t="s">
        <v>24</v>
      </c>
      <c r="N1532" s="2" t="s">
        <v>298</v>
      </c>
      <c r="P1532" s="51">
        <v>0</v>
      </c>
      <c r="Q1532" s="99" t="s">
        <v>6967</v>
      </c>
    </row>
    <row r="1533" spans="1:18">
      <c r="A1533" s="71">
        <v>27</v>
      </c>
      <c r="B1533" s="2" t="s">
        <v>6012</v>
      </c>
      <c r="C1533" s="71">
        <v>33</v>
      </c>
      <c r="D1533" s="2" t="s">
        <v>7701</v>
      </c>
      <c r="E1533" s="74">
        <v>0</v>
      </c>
      <c r="F1533" s="71">
        <v>0</v>
      </c>
      <c r="G1533" s="2" t="s">
        <v>20</v>
      </c>
      <c r="H1533" s="73" t="s">
        <v>7083</v>
      </c>
      <c r="I1533" s="76" t="s">
        <v>7867</v>
      </c>
      <c r="J1533" s="2" t="s">
        <v>24</v>
      </c>
      <c r="K1533" s="2" t="s">
        <v>25</v>
      </c>
      <c r="L1533" s="2" t="s">
        <v>26</v>
      </c>
      <c r="M1533" s="2" t="s">
        <v>24</v>
      </c>
      <c r="N1533" s="2" t="s">
        <v>25</v>
      </c>
      <c r="O1533" s="2" t="s">
        <v>26</v>
      </c>
      <c r="P1533" s="51">
        <v>0</v>
      </c>
      <c r="Q1533" s="1" t="s">
        <v>6968</v>
      </c>
      <c r="R1533" s="2" t="s">
        <v>6959</v>
      </c>
    </row>
    <row r="1534" spans="1:18">
      <c r="A1534" s="71">
        <v>27</v>
      </c>
      <c r="B1534" s="2" t="s">
        <v>6012</v>
      </c>
      <c r="C1534" s="71">
        <v>33</v>
      </c>
      <c r="D1534" s="2" t="s">
        <v>7701</v>
      </c>
      <c r="E1534" s="74">
        <v>0</v>
      </c>
      <c r="F1534" s="71">
        <v>1</v>
      </c>
      <c r="G1534" s="2" t="s">
        <v>6035</v>
      </c>
      <c r="H1534" s="73" t="s">
        <v>7084</v>
      </c>
      <c r="I1534" s="100" t="s">
        <v>7868</v>
      </c>
      <c r="J1534" s="2" t="s">
        <v>24</v>
      </c>
      <c r="K1534" s="2" t="s">
        <v>25</v>
      </c>
      <c r="L1534" s="2" t="s">
        <v>6037</v>
      </c>
      <c r="M1534" s="2" t="s">
        <v>24</v>
      </c>
      <c r="N1534" s="2" t="s">
        <v>25</v>
      </c>
      <c r="O1534" s="2" t="s">
        <v>6037</v>
      </c>
      <c r="P1534" s="51">
        <v>0</v>
      </c>
      <c r="Q1534" s="99" t="s">
        <v>6038</v>
      </c>
    </row>
    <row r="1535" spans="1:18">
      <c r="A1535" s="71">
        <v>27</v>
      </c>
      <c r="B1535" s="2" t="s">
        <v>6012</v>
      </c>
      <c r="C1535" s="71">
        <v>33</v>
      </c>
      <c r="D1535" s="2" t="s">
        <v>7701</v>
      </c>
      <c r="E1535" s="74">
        <v>0</v>
      </c>
      <c r="F1535" s="71">
        <v>2</v>
      </c>
      <c r="G1535" s="2" t="s">
        <v>6090</v>
      </c>
      <c r="H1535" s="73" t="s">
        <v>7085</v>
      </c>
      <c r="I1535" s="100" t="s">
        <v>7869</v>
      </c>
      <c r="J1535" s="2" t="s">
        <v>23</v>
      </c>
      <c r="K1535" s="2" t="s">
        <v>23</v>
      </c>
      <c r="M1535" s="2" t="s">
        <v>24</v>
      </c>
      <c r="N1535" s="2" t="s">
        <v>23</v>
      </c>
      <c r="P1535" s="51">
        <v>0</v>
      </c>
      <c r="Q1535" s="99" t="s">
        <v>6862</v>
      </c>
    </row>
    <row r="1536" spans="1:18">
      <c r="A1536" s="71">
        <v>27</v>
      </c>
      <c r="B1536" s="2" t="s">
        <v>6012</v>
      </c>
      <c r="C1536" s="71">
        <v>33</v>
      </c>
      <c r="D1536" s="2" t="s">
        <v>7701</v>
      </c>
      <c r="E1536" s="74">
        <v>0</v>
      </c>
      <c r="F1536" s="71">
        <v>3</v>
      </c>
      <c r="G1536" s="2" t="s">
        <v>2601</v>
      </c>
      <c r="H1536" s="73" t="s">
        <v>7086</v>
      </c>
      <c r="I1536" s="100" t="s">
        <v>7870</v>
      </c>
      <c r="J1536" s="2" t="s">
        <v>24</v>
      </c>
      <c r="K1536" s="2" t="s">
        <v>23</v>
      </c>
      <c r="M1536" s="2" t="s">
        <v>24</v>
      </c>
      <c r="N1536" s="2" t="s">
        <v>23</v>
      </c>
      <c r="P1536" s="51">
        <v>0</v>
      </c>
      <c r="Q1536" s="99" t="s">
        <v>6863</v>
      </c>
    </row>
    <row r="1537" spans="1:17">
      <c r="A1537" s="71">
        <v>27</v>
      </c>
      <c r="B1537" s="2" t="s">
        <v>6012</v>
      </c>
      <c r="C1537" s="71">
        <v>33</v>
      </c>
      <c r="D1537" s="2" t="s">
        <v>7701</v>
      </c>
      <c r="E1537" s="74">
        <v>0</v>
      </c>
      <c r="F1537" s="71">
        <v>4</v>
      </c>
      <c r="G1537" s="2" t="s">
        <v>6956</v>
      </c>
      <c r="H1537" s="73" t="s">
        <v>7087</v>
      </c>
      <c r="I1537" s="100" t="s">
        <v>7871</v>
      </c>
      <c r="J1537" s="2" t="s">
        <v>24</v>
      </c>
      <c r="K1537" s="2" t="s">
        <v>298</v>
      </c>
      <c r="M1537" s="2" t="s">
        <v>24</v>
      </c>
      <c r="N1537" s="2" t="s">
        <v>298</v>
      </c>
      <c r="P1537" s="51">
        <v>0</v>
      </c>
      <c r="Q1537" s="99" t="s">
        <v>6969</v>
      </c>
    </row>
    <row r="1538" spans="1:17">
      <c r="A1538" s="71">
        <v>27</v>
      </c>
      <c r="B1538" s="2" t="s">
        <v>6012</v>
      </c>
      <c r="C1538" s="71">
        <v>33</v>
      </c>
      <c r="D1538" s="2" t="s">
        <v>7701</v>
      </c>
      <c r="E1538" s="74">
        <v>0</v>
      </c>
      <c r="F1538" s="71">
        <v>5</v>
      </c>
      <c r="G1538" s="2" t="s">
        <v>6957</v>
      </c>
      <c r="H1538" s="73" t="s">
        <v>7088</v>
      </c>
      <c r="I1538" s="100" t="s">
        <v>7872</v>
      </c>
      <c r="J1538" s="2" t="s">
        <v>24</v>
      </c>
      <c r="K1538" s="2" t="s">
        <v>298</v>
      </c>
      <c r="M1538" s="2" t="s">
        <v>24</v>
      </c>
      <c r="N1538" s="2" t="s">
        <v>298</v>
      </c>
      <c r="P1538" s="51">
        <v>0</v>
      </c>
      <c r="Q1538" s="99" t="s">
        <v>6970</v>
      </c>
    </row>
    <row r="1539" spans="1:17">
      <c r="A1539" s="71">
        <v>27</v>
      </c>
      <c r="B1539" s="2" t="s">
        <v>6012</v>
      </c>
      <c r="C1539" s="71">
        <v>34</v>
      </c>
      <c r="D1539" s="2" t="s">
        <v>7702</v>
      </c>
      <c r="E1539" s="74">
        <v>0</v>
      </c>
      <c r="F1539" s="71">
        <v>0</v>
      </c>
      <c r="G1539" s="2" t="s">
        <v>20</v>
      </c>
      <c r="H1539" s="73" t="s">
        <v>7089</v>
      </c>
      <c r="I1539" s="76" t="s">
        <v>7873</v>
      </c>
      <c r="J1539" s="2" t="s">
        <v>24</v>
      </c>
      <c r="K1539" s="2" t="s">
        <v>25</v>
      </c>
      <c r="L1539" s="2" t="s">
        <v>26</v>
      </c>
      <c r="M1539" s="2" t="s">
        <v>24</v>
      </c>
      <c r="N1539" s="2" t="s">
        <v>25</v>
      </c>
      <c r="O1539" s="2" t="s">
        <v>26</v>
      </c>
      <c r="P1539" s="51">
        <v>0</v>
      </c>
      <c r="Q1539" s="1" t="s">
        <v>6975</v>
      </c>
    </row>
    <row r="1540" spans="1:17">
      <c r="A1540" s="71">
        <v>27</v>
      </c>
      <c r="B1540" s="2" t="s">
        <v>6012</v>
      </c>
      <c r="C1540" s="71">
        <v>34</v>
      </c>
      <c r="D1540" s="2" t="s">
        <v>7702</v>
      </c>
      <c r="E1540" s="74">
        <v>0</v>
      </c>
      <c r="F1540" s="71">
        <v>1</v>
      </c>
      <c r="G1540" s="2" t="s">
        <v>6035</v>
      </c>
      <c r="H1540" s="73" t="s">
        <v>7090</v>
      </c>
      <c r="I1540" s="100" t="s">
        <v>7874</v>
      </c>
      <c r="J1540" s="2" t="s">
        <v>24</v>
      </c>
      <c r="K1540" s="2" t="s">
        <v>25</v>
      </c>
      <c r="L1540" s="2" t="s">
        <v>6037</v>
      </c>
      <c r="M1540" s="2" t="s">
        <v>24</v>
      </c>
      <c r="N1540" s="2" t="s">
        <v>25</v>
      </c>
      <c r="O1540" s="2" t="s">
        <v>6037</v>
      </c>
      <c r="P1540" s="51">
        <v>0</v>
      </c>
      <c r="Q1540" s="99" t="s">
        <v>6038</v>
      </c>
    </row>
    <row r="1541" spans="1:17">
      <c r="A1541" s="71">
        <v>27</v>
      </c>
      <c r="B1541" s="2" t="s">
        <v>6012</v>
      </c>
      <c r="C1541" s="71">
        <v>34</v>
      </c>
      <c r="D1541" s="2" t="s">
        <v>7702</v>
      </c>
      <c r="E1541" s="74">
        <v>0</v>
      </c>
      <c r="F1541" s="71">
        <v>2</v>
      </c>
      <c r="G1541" s="2" t="s">
        <v>6090</v>
      </c>
      <c r="H1541" s="73" t="s">
        <v>7091</v>
      </c>
      <c r="I1541" s="100" t="s">
        <v>7875</v>
      </c>
      <c r="J1541" s="2" t="s">
        <v>23</v>
      </c>
      <c r="K1541" s="2" t="s">
        <v>23</v>
      </c>
      <c r="M1541" s="2" t="s">
        <v>24</v>
      </c>
      <c r="N1541" s="2" t="s">
        <v>23</v>
      </c>
      <c r="P1541" s="51">
        <v>0</v>
      </c>
      <c r="Q1541" s="99" t="s">
        <v>6862</v>
      </c>
    </row>
    <row r="1542" spans="1:17">
      <c r="A1542" s="71">
        <v>27</v>
      </c>
      <c r="B1542" s="2" t="s">
        <v>6012</v>
      </c>
      <c r="C1542" s="71">
        <v>34</v>
      </c>
      <c r="D1542" s="2" t="s">
        <v>7702</v>
      </c>
      <c r="E1542" s="74">
        <v>0</v>
      </c>
      <c r="F1542" s="71">
        <v>3</v>
      </c>
      <c r="G1542" s="2" t="s">
        <v>2601</v>
      </c>
      <c r="H1542" s="73" t="s">
        <v>7092</v>
      </c>
      <c r="I1542" s="100" t="s">
        <v>7876</v>
      </c>
      <c r="J1542" s="2" t="s">
        <v>24</v>
      </c>
      <c r="K1542" s="2" t="s">
        <v>23</v>
      </c>
      <c r="M1542" s="2" t="s">
        <v>24</v>
      </c>
      <c r="N1542" s="2" t="s">
        <v>23</v>
      </c>
      <c r="P1542" s="51">
        <v>0</v>
      </c>
      <c r="Q1542" s="99" t="s">
        <v>6863</v>
      </c>
    </row>
    <row r="1543" spans="1:17">
      <c r="A1543" s="71">
        <v>27</v>
      </c>
      <c r="B1543" s="2" t="s">
        <v>6012</v>
      </c>
      <c r="C1543" s="71">
        <v>34</v>
      </c>
      <c r="D1543" s="2" t="s">
        <v>7702</v>
      </c>
      <c r="E1543" s="74">
        <v>0</v>
      </c>
      <c r="F1543" s="71">
        <v>4</v>
      </c>
      <c r="G1543" s="2" t="s">
        <v>6971</v>
      </c>
      <c r="H1543" s="73" t="s">
        <v>7093</v>
      </c>
      <c r="I1543" s="100" t="s">
        <v>7877</v>
      </c>
      <c r="J1543" s="2" t="s">
        <v>24</v>
      </c>
      <c r="K1543" s="2" t="s">
        <v>25</v>
      </c>
      <c r="L1543" s="2" t="s">
        <v>6976</v>
      </c>
      <c r="M1543" s="2" t="s">
        <v>24</v>
      </c>
      <c r="N1543" s="2" t="s">
        <v>25</v>
      </c>
      <c r="O1543" s="2" t="s">
        <v>6976</v>
      </c>
      <c r="P1543" s="51">
        <v>0</v>
      </c>
      <c r="Q1543" s="99" t="s">
        <v>6977</v>
      </c>
    </row>
    <row r="1544" spans="1:17">
      <c r="A1544" s="71">
        <v>27</v>
      </c>
      <c r="B1544" s="2" t="s">
        <v>6012</v>
      </c>
      <c r="C1544" s="71">
        <v>34</v>
      </c>
      <c r="D1544" s="2" t="s">
        <v>7702</v>
      </c>
      <c r="E1544" s="74">
        <v>0</v>
      </c>
      <c r="F1544" s="71">
        <v>5</v>
      </c>
      <c r="G1544" s="2" t="s">
        <v>6904</v>
      </c>
      <c r="H1544" s="73" t="s">
        <v>7094</v>
      </c>
      <c r="I1544" s="100" t="s">
        <v>7878</v>
      </c>
      <c r="J1544" s="2" t="s">
        <v>24</v>
      </c>
      <c r="K1544" s="2" t="s">
        <v>25</v>
      </c>
      <c r="L1544" s="2" t="s">
        <v>6976</v>
      </c>
      <c r="M1544" s="2" t="s">
        <v>24</v>
      </c>
      <c r="N1544" s="2" t="s">
        <v>25</v>
      </c>
      <c r="O1544" s="2" t="s">
        <v>6976</v>
      </c>
      <c r="P1544" s="51">
        <v>0</v>
      </c>
      <c r="Q1544" s="99" t="s">
        <v>6978</v>
      </c>
    </row>
    <row r="1545" spans="1:17">
      <c r="A1545" s="71">
        <v>27</v>
      </c>
      <c r="B1545" s="2" t="s">
        <v>6012</v>
      </c>
      <c r="C1545" s="71">
        <v>34</v>
      </c>
      <c r="D1545" s="2" t="s">
        <v>7702</v>
      </c>
      <c r="E1545" s="74">
        <v>0</v>
      </c>
      <c r="F1545" s="71">
        <v>6</v>
      </c>
      <c r="G1545" s="2" t="s">
        <v>6972</v>
      </c>
      <c r="H1545" s="73" t="s">
        <v>7095</v>
      </c>
      <c r="I1545" s="100" t="s">
        <v>7879</v>
      </c>
      <c r="J1545" s="2" t="s">
        <v>24</v>
      </c>
      <c r="K1545" s="2" t="s">
        <v>25</v>
      </c>
      <c r="L1545" s="2" t="s">
        <v>6979</v>
      </c>
      <c r="M1545" s="2" t="s">
        <v>24</v>
      </c>
      <c r="N1545" s="2" t="s">
        <v>25</v>
      </c>
      <c r="O1545" s="2" t="s">
        <v>6979</v>
      </c>
      <c r="P1545" s="51">
        <v>0</v>
      </c>
      <c r="Q1545" s="99" t="s">
        <v>6980</v>
      </c>
    </row>
    <row r="1546" spans="1:17">
      <c r="A1546" s="71">
        <v>27</v>
      </c>
      <c r="B1546" s="2" t="s">
        <v>6012</v>
      </c>
      <c r="C1546" s="71">
        <v>34</v>
      </c>
      <c r="D1546" s="2" t="s">
        <v>7702</v>
      </c>
      <c r="E1546" s="74">
        <v>0</v>
      </c>
      <c r="F1546" s="71">
        <v>7</v>
      </c>
      <c r="G1546" s="2" t="s">
        <v>6973</v>
      </c>
      <c r="H1546" s="73" t="s">
        <v>7096</v>
      </c>
      <c r="I1546" s="100" t="s">
        <v>7880</v>
      </c>
      <c r="J1546" s="2" t="s">
        <v>24</v>
      </c>
      <c r="K1546" s="2" t="s">
        <v>25</v>
      </c>
      <c r="L1546" s="2" t="s">
        <v>6981</v>
      </c>
      <c r="M1546" s="2" t="s">
        <v>24</v>
      </c>
      <c r="N1546" s="2" t="s">
        <v>25</v>
      </c>
      <c r="O1546" s="2" t="s">
        <v>6981</v>
      </c>
      <c r="P1546" s="51">
        <v>0</v>
      </c>
      <c r="Q1546" s="99" t="s">
        <v>6982</v>
      </c>
    </row>
    <row r="1547" spans="1:17">
      <c r="A1547" s="71">
        <v>27</v>
      </c>
      <c r="B1547" s="2" t="s">
        <v>6012</v>
      </c>
      <c r="C1547" s="71">
        <v>34</v>
      </c>
      <c r="D1547" s="2" t="s">
        <v>7702</v>
      </c>
      <c r="E1547" s="74">
        <v>0</v>
      </c>
      <c r="F1547" s="71">
        <v>8</v>
      </c>
      <c r="G1547" s="2" t="s">
        <v>6974</v>
      </c>
      <c r="H1547" s="73" t="s">
        <v>7097</v>
      </c>
      <c r="I1547" s="100" t="s">
        <v>7881</v>
      </c>
      <c r="J1547" s="2" t="s">
        <v>24</v>
      </c>
      <c r="K1547" s="2" t="s">
        <v>298</v>
      </c>
      <c r="M1547" s="2" t="s">
        <v>24</v>
      </c>
      <c r="N1547" s="2" t="s">
        <v>298</v>
      </c>
      <c r="P1547" s="51">
        <v>0</v>
      </c>
      <c r="Q1547" s="99" t="s">
        <v>6983</v>
      </c>
    </row>
    <row r="1548" spans="1:17">
      <c r="A1548" s="71">
        <v>27</v>
      </c>
      <c r="B1548" s="2" t="s">
        <v>6012</v>
      </c>
      <c r="C1548" s="71">
        <v>34</v>
      </c>
      <c r="D1548" s="2" t="s">
        <v>7702</v>
      </c>
      <c r="E1548" s="74">
        <v>0</v>
      </c>
      <c r="F1548" s="71">
        <v>9</v>
      </c>
      <c r="G1548" s="2" t="s">
        <v>5933</v>
      </c>
      <c r="H1548" s="73" t="s">
        <v>7098</v>
      </c>
      <c r="I1548" s="100" t="s">
        <v>7882</v>
      </c>
      <c r="J1548" s="2" t="s">
        <v>24</v>
      </c>
      <c r="K1548" s="2" t="s">
        <v>335</v>
      </c>
      <c r="M1548" s="2" t="s">
        <v>24</v>
      </c>
      <c r="N1548" s="2" t="s">
        <v>335</v>
      </c>
      <c r="P1548" s="51">
        <v>0</v>
      </c>
      <c r="Q1548" s="99" t="s">
        <v>6984</v>
      </c>
    </row>
    <row r="1549" spans="1:17">
      <c r="A1549" s="71">
        <v>27</v>
      </c>
      <c r="B1549" s="2" t="s">
        <v>6012</v>
      </c>
      <c r="C1549" s="71">
        <v>35</v>
      </c>
      <c r="D1549" s="2" t="s">
        <v>7703</v>
      </c>
      <c r="E1549" s="74">
        <v>0</v>
      </c>
      <c r="F1549" s="71">
        <v>0</v>
      </c>
      <c r="G1549" s="2" t="s">
        <v>20</v>
      </c>
      <c r="H1549" s="73" t="s">
        <v>7099</v>
      </c>
      <c r="I1549" s="76" t="s">
        <v>7883</v>
      </c>
      <c r="J1549" s="2" t="s">
        <v>24</v>
      </c>
      <c r="K1549" s="2" t="s">
        <v>25</v>
      </c>
      <c r="L1549" s="2" t="s">
        <v>26</v>
      </c>
      <c r="M1549" s="2" t="s">
        <v>24</v>
      </c>
      <c r="N1549" s="2" t="s">
        <v>25</v>
      </c>
      <c r="O1549" s="2" t="s">
        <v>26</v>
      </c>
      <c r="P1549" s="51">
        <v>0</v>
      </c>
      <c r="Q1549" s="1" t="s">
        <v>6988</v>
      </c>
    </row>
    <row r="1550" spans="1:17">
      <c r="A1550" s="71">
        <v>27</v>
      </c>
      <c r="B1550" s="2" t="s">
        <v>6012</v>
      </c>
      <c r="C1550" s="71">
        <v>35</v>
      </c>
      <c r="D1550" s="2" t="s">
        <v>7703</v>
      </c>
      <c r="E1550" s="74">
        <v>0</v>
      </c>
      <c r="F1550" s="71">
        <v>1</v>
      </c>
      <c r="G1550" s="2" t="s">
        <v>6035</v>
      </c>
      <c r="H1550" s="73" t="s">
        <v>7100</v>
      </c>
      <c r="I1550" s="100" t="s">
        <v>7884</v>
      </c>
      <c r="J1550" s="2" t="s">
        <v>24</v>
      </c>
      <c r="K1550" s="2" t="s">
        <v>25</v>
      </c>
      <c r="L1550" s="2" t="s">
        <v>6037</v>
      </c>
      <c r="M1550" s="2" t="s">
        <v>24</v>
      </c>
      <c r="N1550" s="2" t="s">
        <v>25</v>
      </c>
      <c r="O1550" s="2" t="s">
        <v>6037</v>
      </c>
      <c r="P1550" s="51">
        <v>0</v>
      </c>
      <c r="Q1550" s="99" t="s">
        <v>6038</v>
      </c>
    </row>
    <row r="1551" spans="1:17">
      <c r="A1551" s="71">
        <v>27</v>
      </c>
      <c r="B1551" s="2" t="s">
        <v>6012</v>
      </c>
      <c r="C1551" s="71">
        <v>35</v>
      </c>
      <c r="D1551" s="2" t="s">
        <v>7703</v>
      </c>
      <c r="E1551" s="74">
        <v>0</v>
      </c>
      <c r="F1551" s="71">
        <v>2</v>
      </c>
      <c r="G1551" s="2" t="s">
        <v>6090</v>
      </c>
      <c r="H1551" s="73" t="s">
        <v>7101</v>
      </c>
      <c r="I1551" s="100" t="s">
        <v>7885</v>
      </c>
      <c r="J1551" s="2" t="s">
        <v>23</v>
      </c>
      <c r="K1551" s="2" t="s">
        <v>23</v>
      </c>
      <c r="M1551" s="2" t="s">
        <v>24</v>
      </c>
      <c r="N1551" s="2" t="s">
        <v>23</v>
      </c>
      <c r="P1551" s="51">
        <v>0</v>
      </c>
      <c r="Q1551" s="99" t="s">
        <v>6862</v>
      </c>
    </row>
    <row r="1552" spans="1:17">
      <c r="A1552" s="71">
        <v>27</v>
      </c>
      <c r="B1552" s="2" t="s">
        <v>6012</v>
      </c>
      <c r="C1552" s="71">
        <v>35</v>
      </c>
      <c r="D1552" s="2" t="s">
        <v>7703</v>
      </c>
      <c r="E1552" s="74">
        <v>0</v>
      </c>
      <c r="F1552" s="71">
        <v>3</v>
      </c>
      <c r="G1552" s="2" t="s">
        <v>2601</v>
      </c>
      <c r="H1552" s="73" t="s">
        <v>7102</v>
      </c>
      <c r="I1552" s="100" t="s">
        <v>7886</v>
      </c>
      <c r="J1552" s="2" t="s">
        <v>24</v>
      </c>
      <c r="K1552" s="2" t="s">
        <v>23</v>
      </c>
      <c r="M1552" s="2" t="s">
        <v>24</v>
      </c>
      <c r="N1552" s="2" t="s">
        <v>23</v>
      </c>
      <c r="P1552" s="51">
        <v>0</v>
      </c>
      <c r="Q1552" s="99" t="s">
        <v>6863</v>
      </c>
    </row>
    <row r="1553" spans="1:17">
      <c r="A1553" s="71">
        <v>27</v>
      </c>
      <c r="B1553" s="2" t="s">
        <v>6012</v>
      </c>
      <c r="C1553" s="71">
        <v>35</v>
      </c>
      <c r="D1553" s="2" t="s">
        <v>7703</v>
      </c>
      <c r="E1553" s="74">
        <v>0</v>
      </c>
      <c r="F1553" s="71">
        <v>4</v>
      </c>
      <c r="G1553" s="2" t="s">
        <v>6985</v>
      </c>
      <c r="H1553" s="73" t="s">
        <v>7103</v>
      </c>
      <c r="I1553" s="100" t="s">
        <v>7887</v>
      </c>
      <c r="J1553" s="2" t="s">
        <v>24</v>
      </c>
      <c r="K1553" s="2" t="s">
        <v>23</v>
      </c>
      <c r="M1553" s="2" t="s">
        <v>24</v>
      </c>
      <c r="N1553" s="2" t="s">
        <v>23</v>
      </c>
      <c r="P1553" s="51">
        <v>0</v>
      </c>
      <c r="Q1553" s="99" t="s">
        <v>6989</v>
      </c>
    </row>
    <row r="1554" spans="1:17">
      <c r="A1554" s="71">
        <v>27</v>
      </c>
      <c r="B1554" s="2" t="s">
        <v>6012</v>
      </c>
      <c r="C1554" s="71">
        <v>35</v>
      </c>
      <c r="D1554" s="2" t="s">
        <v>7703</v>
      </c>
      <c r="E1554" s="74">
        <v>0</v>
      </c>
      <c r="F1554" s="71">
        <v>5</v>
      </c>
      <c r="G1554" s="2" t="s">
        <v>6986</v>
      </c>
      <c r="H1554" s="73" t="s">
        <v>7104</v>
      </c>
      <c r="I1554" s="100" t="s">
        <v>7888</v>
      </c>
      <c r="J1554" s="2" t="s">
        <v>24</v>
      </c>
      <c r="K1554" s="2" t="s">
        <v>298</v>
      </c>
      <c r="M1554" s="2" t="s">
        <v>24</v>
      </c>
      <c r="N1554" s="2" t="s">
        <v>298</v>
      </c>
      <c r="P1554" s="51">
        <v>0</v>
      </c>
      <c r="Q1554" s="99" t="s">
        <v>6990</v>
      </c>
    </row>
    <row r="1555" spans="1:17">
      <c r="A1555" s="71">
        <v>27</v>
      </c>
      <c r="B1555" s="2" t="s">
        <v>6012</v>
      </c>
      <c r="C1555" s="71">
        <v>35</v>
      </c>
      <c r="D1555" s="2" t="s">
        <v>7703</v>
      </c>
      <c r="E1555" s="74">
        <v>0</v>
      </c>
      <c r="F1555" s="71">
        <v>6</v>
      </c>
      <c r="G1555" s="2" t="s">
        <v>6987</v>
      </c>
      <c r="H1555" s="73" t="s">
        <v>7105</v>
      </c>
      <c r="I1555" s="100" t="s">
        <v>7889</v>
      </c>
      <c r="J1555" s="2" t="s">
        <v>24</v>
      </c>
      <c r="K1555" s="2" t="s">
        <v>298</v>
      </c>
      <c r="M1555" s="2" t="s">
        <v>24</v>
      </c>
      <c r="N1555" s="2" t="s">
        <v>298</v>
      </c>
      <c r="P1555" s="51">
        <v>0</v>
      </c>
      <c r="Q1555" s="99" t="s">
        <v>6991</v>
      </c>
    </row>
    <row r="1556" spans="1:17">
      <c r="A1556" s="71">
        <v>27</v>
      </c>
      <c r="B1556" s="2" t="s">
        <v>6012</v>
      </c>
      <c r="C1556" s="71">
        <v>36</v>
      </c>
      <c r="D1556" s="2" t="s">
        <v>7704</v>
      </c>
      <c r="E1556" s="74">
        <v>0</v>
      </c>
      <c r="F1556" s="71">
        <v>0</v>
      </c>
      <c r="G1556" s="2" t="s">
        <v>20</v>
      </c>
      <c r="H1556" s="73" t="s">
        <v>7106</v>
      </c>
      <c r="I1556" s="76" t="s">
        <v>7890</v>
      </c>
      <c r="J1556" s="2" t="s">
        <v>24</v>
      </c>
      <c r="K1556" s="2" t="s">
        <v>25</v>
      </c>
      <c r="L1556" s="2" t="s">
        <v>26</v>
      </c>
      <c r="M1556" s="2" t="s">
        <v>24</v>
      </c>
      <c r="N1556" s="2" t="s">
        <v>25</v>
      </c>
      <c r="O1556" s="2" t="s">
        <v>26</v>
      </c>
      <c r="P1556" s="51">
        <v>0</v>
      </c>
      <c r="Q1556" s="1" t="s">
        <v>6994</v>
      </c>
    </row>
    <row r="1557" spans="1:17">
      <c r="A1557" s="71">
        <v>27</v>
      </c>
      <c r="B1557" s="2" t="s">
        <v>6012</v>
      </c>
      <c r="C1557" s="71">
        <v>36</v>
      </c>
      <c r="D1557" s="2" t="s">
        <v>7704</v>
      </c>
      <c r="E1557" s="74">
        <v>0</v>
      </c>
      <c r="F1557" s="71">
        <v>1</v>
      </c>
      <c r="G1557" s="2" t="s">
        <v>6035</v>
      </c>
      <c r="H1557" s="73" t="s">
        <v>7107</v>
      </c>
      <c r="I1557" s="100" t="s">
        <v>7891</v>
      </c>
      <c r="J1557" s="2" t="s">
        <v>24</v>
      </c>
      <c r="K1557" s="2" t="s">
        <v>25</v>
      </c>
      <c r="L1557" s="2" t="s">
        <v>6037</v>
      </c>
      <c r="M1557" s="2" t="s">
        <v>24</v>
      </c>
      <c r="N1557" s="2" t="s">
        <v>25</v>
      </c>
      <c r="O1557" s="2" t="s">
        <v>6037</v>
      </c>
      <c r="P1557" s="51">
        <v>0</v>
      </c>
      <c r="Q1557" s="99" t="s">
        <v>6038</v>
      </c>
    </row>
    <row r="1558" spans="1:17">
      <c r="A1558" s="71">
        <v>27</v>
      </c>
      <c r="B1558" s="2" t="s">
        <v>6012</v>
      </c>
      <c r="C1558" s="71">
        <v>36</v>
      </c>
      <c r="D1558" s="2" t="s">
        <v>7704</v>
      </c>
      <c r="E1558" s="74">
        <v>0</v>
      </c>
      <c r="F1558" s="71">
        <v>2</v>
      </c>
      <c r="G1558" s="2" t="s">
        <v>6090</v>
      </c>
      <c r="H1558" s="73" t="s">
        <v>7108</v>
      </c>
      <c r="I1558" s="100" t="s">
        <v>7892</v>
      </c>
      <c r="J1558" s="2" t="s">
        <v>23</v>
      </c>
      <c r="K1558" s="2" t="s">
        <v>23</v>
      </c>
      <c r="M1558" s="2" t="s">
        <v>24</v>
      </c>
      <c r="N1558" s="2" t="s">
        <v>23</v>
      </c>
      <c r="P1558" s="51">
        <v>0</v>
      </c>
      <c r="Q1558" s="99" t="s">
        <v>6862</v>
      </c>
    </row>
    <row r="1559" spans="1:17">
      <c r="A1559" s="71">
        <v>27</v>
      </c>
      <c r="B1559" s="2" t="s">
        <v>6012</v>
      </c>
      <c r="C1559" s="71">
        <v>36</v>
      </c>
      <c r="D1559" s="2" t="s">
        <v>7704</v>
      </c>
      <c r="E1559" s="74">
        <v>0</v>
      </c>
      <c r="F1559" s="71">
        <v>3</v>
      </c>
      <c r="G1559" s="2" t="s">
        <v>2601</v>
      </c>
      <c r="H1559" s="73" t="s">
        <v>7109</v>
      </c>
      <c r="I1559" s="100" t="s">
        <v>7893</v>
      </c>
      <c r="J1559" s="2" t="s">
        <v>24</v>
      </c>
      <c r="K1559" s="2" t="s">
        <v>23</v>
      </c>
      <c r="M1559" s="2" t="s">
        <v>24</v>
      </c>
      <c r="N1559" s="2" t="s">
        <v>23</v>
      </c>
      <c r="P1559" s="51">
        <v>0</v>
      </c>
      <c r="Q1559" s="99" t="s">
        <v>6863</v>
      </c>
    </row>
    <row r="1560" spans="1:17">
      <c r="A1560" s="71">
        <v>27</v>
      </c>
      <c r="B1560" s="2" t="s">
        <v>6012</v>
      </c>
      <c r="C1560" s="71">
        <v>36</v>
      </c>
      <c r="D1560" s="2" t="s">
        <v>7704</v>
      </c>
      <c r="E1560" s="74">
        <v>0</v>
      </c>
      <c r="F1560" s="71">
        <v>4</v>
      </c>
      <c r="G1560" s="2" t="s">
        <v>6992</v>
      </c>
      <c r="H1560" s="73" t="s">
        <v>7110</v>
      </c>
      <c r="I1560" s="100" t="s">
        <v>7894</v>
      </c>
      <c r="J1560" s="2" t="s">
        <v>24</v>
      </c>
      <c r="K1560" s="2" t="s">
        <v>133</v>
      </c>
      <c r="M1560" s="2" t="s">
        <v>24</v>
      </c>
      <c r="N1560" s="2" t="s">
        <v>133</v>
      </c>
      <c r="P1560" s="51">
        <v>0</v>
      </c>
      <c r="Q1560" s="99" t="s">
        <v>6995</v>
      </c>
    </row>
    <row r="1561" spans="1:17">
      <c r="A1561" s="71">
        <v>27</v>
      </c>
      <c r="B1561" s="2" t="s">
        <v>6012</v>
      </c>
      <c r="C1561" s="71">
        <v>36</v>
      </c>
      <c r="D1561" s="2" t="s">
        <v>7704</v>
      </c>
      <c r="E1561" s="74">
        <v>0</v>
      </c>
      <c r="F1561" s="71">
        <v>5</v>
      </c>
      <c r="G1561" s="2" t="s">
        <v>6993</v>
      </c>
      <c r="H1561" s="73" t="s">
        <v>7111</v>
      </c>
      <c r="I1561" s="100" t="s">
        <v>7895</v>
      </c>
      <c r="J1561" s="2" t="s">
        <v>24</v>
      </c>
      <c r="K1561" s="2" t="s">
        <v>133</v>
      </c>
      <c r="M1561" s="2" t="s">
        <v>24</v>
      </c>
      <c r="N1561" s="2" t="s">
        <v>133</v>
      </c>
      <c r="P1561" s="51">
        <v>0</v>
      </c>
      <c r="Q1561" s="99" t="s">
        <v>6996</v>
      </c>
    </row>
    <row r="1562" spans="1:17">
      <c r="A1562" s="71">
        <v>27</v>
      </c>
      <c r="B1562" s="2" t="s">
        <v>6012</v>
      </c>
      <c r="C1562" s="71">
        <v>37</v>
      </c>
      <c r="D1562" s="2" t="s">
        <v>6997</v>
      </c>
      <c r="E1562" s="74">
        <v>0</v>
      </c>
      <c r="F1562" s="71">
        <v>0</v>
      </c>
      <c r="G1562" s="2" t="s">
        <v>20</v>
      </c>
      <c r="H1562" s="73" t="s">
        <v>7112</v>
      </c>
      <c r="I1562" s="76" t="s">
        <v>7113</v>
      </c>
      <c r="J1562" s="2" t="s">
        <v>24</v>
      </c>
      <c r="K1562" s="2" t="s">
        <v>25</v>
      </c>
      <c r="L1562" s="2" t="s">
        <v>26</v>
      </c>
      <c r="M1562" s="2" t="s">
        <v>24</v>
      </c>
      <c r="N1562" s="2" t="s">
        <v>25</v>
      </c>
      <c r="O1562" s="2" t="s">
        <v>26</v>
      </c>
      <c r="P1562" s="51">
        <v>0</v>
      </c>
      <c r="Q1562" s="1" t="s">
        <v>6999</v>
      </c>
    </row>
    <row r="1563" spans="1:17">
      <c r="A1563" s="71">
        <v>27</v>
      </c>
      <c r="B1563" s="2" t="s">
        <v>6012</v>
      </c>
      <c r="C1563" s="71">
        <v>37</v>
      </c>
      <c r="D1563" s="2" t="s">
        <v>6997</v>
      </c>
      <c r="E1563" s="74">
        <v>0</v>
      </c>
      <c r="F1563" s="71">
        <v>1</v>
      </c>
      <c r="G1563" s="2" t="s">
        <v>6035</v>
      </c>
      <c r="H1563" s="73" t="s">
        <v>7114</v>
      </c>
      <c r="I1563" s="100" t="s">
        <v>7115</v>
      </c>
      <c r="J1563" s="2" t="s">
        <v>24</v>
      </c>
      <c r="K1563" s="2" t="s">
        <v>25</v>
      </c>
      <c r="L1563" s="2" t="s">
        <v>6037</v>
      </c>
      <c r="M1563" s="2" t="s">
        <v>24</v>
      </c>
      <c r="N1563" s="2" t="s">
        <v>25</v>
      </c>
      <c r="O1563" s="2" t="s">
        <v>6037</v>
      </c>
      <c r="P1563" s="51">
        <v>0</v>
      </c>
      <c r="Q1563" s="99" t="s">
        <v>6038</v>
      </c>
    </row>
    <row r="1564" spans="1:17">
      <c r="A1564" s="71">
        <v>27</v>
      </c>
      <c r="B1564" s="2" t="s">
        <v>6012</v>
      </c>
      <c r="C1564" s="71">
        <v>37</v>
      </c>
      <c r="D1564" s="2" t="s">
        <v>6997</v>
      </c>
      <c r="E1564" s="74">
        <v>0</v>
      </c>
      <c r="F1564" s="71">
        <v>2</v>
      </c>
      <c r="G1564" s="2" t="s">
        <v>6090</v>
      </c>
      <c r="H1564" s="73" t="s">
        <v>7116</v>
      </c>
      <c r="I1564" s="100" t="s">
        <v>7117</v>
      </c>
      <c r="J1564" s="2" t="s">
        <v>24</v>
      </c>
      <c r="K1564" s="2" t="s">
        <v>23</v>
      </c>
      <c r="M1564" s="2" t="s">
        <v>24</v>
      </c>
      <c r="N1564" s="2" t="s">
        <v>23</v>
      </c>
      <c r="P1564" s="51">
        <v>0</v>
      </c>
      <c r="Q1564" s="99" t="s">
        <v>6862</v>
      </c>
    </row>
    <row r="1565" spans="1:17">
      <c r="A1565" s="71">
        <v>27</v>
      </c>
      <c r="B1565" s="2" t="s">
        <v>6012</v>
      </c>
      <c r="C1565" s="71">
        <v>37</v>
      </c>
      <c r="D1565" s="2" t="s">
        <v>6997</v>
      </c>
      <c r="E1565" s="74">
        <v>0</v>
      </c>
      <c r="F1565" s="71">
        <v>3</v>
      </c>
      <c r="G1565" s="2" t="s">
        <v>6998</v>
      </c>
      <c r="H1565" s="73" t="s">
        <v>7118</v>
      </c>
      <c r="I1565" s="100" t="s">
        <v>7119</v>
      </c>
      <c r="J1565" s="2" t="s">
        <v>24</v>
      </c>
      <c r="K1565" s="2" t="s">
        <v>25</v>
      </c>
      <c r="L1565" s="2" t="s">
        <v>7000</v>
      </c>
      <c r="M1565" s="2" t="s">
        <v>24</v>
      </c>
      <c r="N1565" s="2" t="s">
        <v>25</v>
      </c>
      <c r="O1565" s="2" t="s">
        <v>7000</v>
      </c>
      <c r="P1565" s="51">
        <v>0</v>
      </c>
      <c r="Q1565" s="99" t="s">
        <v>7001</v>
      </c>
    </row>
    <row r="1566" spans="1:17">
      <c r="A1566" s="71">
        <v>27</v>
      </c>
      <c r="B1566" s="2" t="s">
        <v>6012</v>
      </c>
      <c r="C1566" s="71">
        <v>37</v>
      </c>
      <c r="D1566" s="2" t="s">
        <v>6997</v>
      </c>
      <c r="E1566" s="74">
        <v>0</v>
      </c>
      <c r="F1566" s="71">
        <v>4</v>
      </c>
      <c r="G1566" s="2" t="s">
        <v>6904</v>
      </c>
      <c r="H1566" s="73" t="s">
        <v>7120</v>
      </c>
      <c r="I1566" s="100" t="s">
        <v>7121</v>
      </c>
      <c r="J1566" s="2" t="s">
        <v>24</v>
      </c>
      <c r="K1566" s="2" t="s">
        <v>25</v>
      </c>
      <c r="L1566" s="2" t="s">
        <v>7002</v>
      </c>
      <c r="M1566" s="2" t="s">
        <v>24</v>
      </c>
      <c r="N1566" s="2" t="s">
        <v>25</v>
      </c>
      <c r="O1566" s="2" t="s">
        <v>7002</v>
      </c>
      <c r="P1566" s="51">
        <v>0</v>
      </c>
      <c r="Q1566" s="99" t="s">
        <v>7003</v>
      </c>
    </row>
    <row r="1567" spans="1:17">
      <c r="A1567" s="71">
        <v>27</v>
      </c>
      <c r="B1567" s="2" t="s">
        <v>6012</v>
      </c>
      <c r="C1567" s="71">
        <v>38</v>
      </c>
      <c r="D1567" s="2" t="s">
        <v>7004</v>
      </c>
      <c r="E1567" s="74">
        <v>0</v>
      </c>
      <c r="F1567" s="71">
        <v>0</v>
      </c>
      <c r="G1567" s="2" t="s">
        <v>20</v>
      </c>
      <c r="H1567" s="73" t="s">
        <v>7122</v>
      </c>
      <c r="I1567" s="76" t="s">
        <v>7123</v>
      </c>
      <c r="J1567" s="2" t="s">
        <v>24</v>
      </c>
      <c r="K1567" s="2" t="s">
        <v>25</v>
      </c>
      <c r="L1567" s="2" t="s">
        <v>26</v>
      </c>
      <c r="M1567" s="2" t="s">
        <v>24</v>
      </c>
      <c r="N1567" s="2" t="s">
        <v>25</v>
      </c>
      <c r="O1567" s="2" t="s">
        <v>26</v>
      </c>
      <c r="P1567" s="51">
        <v>0</v>
      </c>
      <c r="Q1567" s="1" t="s">
        <v>7010</v>
      </c>
    </row>
    <row r="1568" spans="1:17">
      <c r="A1568" s="71">
        <v>27</v>
      </c>
      <c r="B1568" s="2" t="s">
        <v>6012</v>
      </c>
      <c r="C1568" s="71">
        <v>38</v>
      </c>
      <c r="D1568" s="2" t="s">
        <v>7004</v>
      </c>
      <c r="E1568" s="74">
        <v>0</v>
      </c>
      <c r="F1568" s="71">
        <v>1</v>
      </c>
      <c r="G1568" s="2" t="s">
        <v>6035</v>
      </c>
      <c r="H1568" s="73" t="s">
        <v>7124</v>
      </c>
      <c r="I1568" s="100" t="s">
        <v>7125</v>
      </c>
      <c r="J1568" s="2" t="s">
        <v>24</v>
      </c>
      <c r="K1568" s="2" t="s">
        <v>25</v>
      </c>
      <c r="L1568" s="2" t="s">
        <v>6037</v>
      </c>
      <c r="M1568" s="2" t="s">
        <v>24</v>
      </c>
      <c r="N1568" s="2" t="s">
        <v>25</v>
      </c>
      <c r="O1568" s="2" t="s">
        <v>6037</v>
      </c>
      <c r="P1568" s="51">
        <v>0</v>
      </c>
      <c r="Q1568" s="99" t="s">
        <v>6038</v>
      </c>
    </row>
    <row r="1569" spans="1:18">
      <c r="A1569" s="71">
        <v>27</v>
      </c>
      <c r="B1569" s="2" t="s">
        <v>6012</v>
      </c>
      <c r="C1569" s="71">
        <v>38</v>
      </c>
      <c r="D1569" s="2" t="s">
        <v>7004</v>
      </c>
      <c r="E1569" s="74">
        <v>0</v>
      </c>
      <c r="F1569" s="71">
        <v>2</v>
      </c>
      <c r="G1569" s="2" t="s">
        <v>6090</v>
      </c>
      <c r="H1569" s="73" t="s">
        <v>7126</v>
      </c>
      <c r="I1569" s="100" t="s">
        <v>7127</v>
      </c>
      <c r="J1569" s="2" t="s">
        <v>24</v>
      </c>
      <c r="K1569" s="2" t="s">
        <v>23</v>
      </c>
      <c r="M1569" s="2" t="s">
        <v>24</v>
      </c>
      <c r="N1569" s="2" t="s">
        <v>23</v>
      </c>
      <c r="P1569" s="51">
        <v>0</v>
      </c>
      <c r="Q1569" s="99" t="s">
        <v>6862</v>
      </c>
    </row>
    <row r="1570" spans="1:18">
      <c r="A1570" s="71">
        <v>27</v>
      </c>
      <c r="B1570" s="2" t="s">
        <v>6012</v>
      </c>
      <c r="C1570" s="71">
        <v>38</v>
      </c>
      <c r="D1570" s="2" t="s">
        <v>7004</v>
      </c>
      <c r="E1570" s="74">
        <v>0</v>
      </c>
      <c r="F1570" s="71">
        <v>3</v>
      </c>
      <c r="G1570" s="2" t="s">
        <v>7005</v>
      </c>
      <c r="H1570" s="73" t="s">
        <v>7128</v>
      </c>
      <c r="I1570" s="100" t="s">
        <v>7129</v>
      </c>
      <c r="J1570" s="2" t="s">
        <v>24</v>
      </c>
      <c r="K1570" s="13" t="s">
        <v>10873</v>
      </c>
      <c r="M1570" s="2" t="s">
        <v>24</v>
      </c>
      <c r="N1570" s="13" t="s">
        <v>10873</v>
      </c>
      <c r="P1570" s="51">
        <v>0</v>
      </c>
      <c r="Q1570" s="99" t="s">
        <v>7011</v>
      </c>
      <c r="R1570" s="2" t="s">
        <v>7012</v>
      </c>
    </row>
    <row r="1571" spans="1:18">
      <c r="A1571" s="71">
        <v>27</v>
      </c>
      <c r="B1571" s="2" t="s">
        <v>6012</v>
      </c>
      <c r="C1571" s="71">
        <v>38</v>
      </c>
      <c r="D1571" s="2" t="s">
        <v>7004</v>
      </c>
      <c r="E1571" s="74">
        <v>0</v>
      </c>
      <c r="F1571" s="71">
        <v>4</v>
      </c>
      <c r="G1571" s="2" t="s">
        <v>7006</v>
      </c>
      <c r="H1571" s="73" t="s">
        <v>7130</v>
      </c>
      <c r="I1571" s="100" t="s">
        <v>7131</v>
      </c>
      <c r="J1571" s="2" t="s">
        <v>24</v>
      </c>
      <c r="K1571" s="13" t="s">
        <v>10873</v>
      </c>
      <c r="M1571" s="2" t="s">
        <v>24</v>
      </c>
      <c r="N1571" s="13" t="s">
        <v>10873</v>
      </c>
      <c r="P1571" s="51">
        <v>0</v>
      </c>
      <c r="Q1571" s="99" t="s">
        <v>7013</v>
      </c>
      <c r="R1571" s="2" t="s">
        <v>7014</v>
      </c>
    </row>
    <row r="1572" spans="1:18">
      <c r="A1572" s="71">
        <v>27</v>
      </c>
      <c r="B1572" s="2" t="s">
        <v>6012</v>
      </c>
      <c r="C1572" s="71">
        <v>38</v>
      </c>
      <c r="D1572" s="2" t="s">
        <v>7004</v>
      </c>
      <c r="E1572" s="74">
        <v>0</v>
      </c>
      <c r="F1572" s="71">
        <v>5</v>
      </c>
      <c r="G1572" s="2" t="s">
        <v>7007</v>
      </c>
      <c r="H1572" s="73" t="s">
        <v>7132</v>
      </c>
      <c r="I1572" s="100" t="s">
        <v>7133</v>
      </c>
      <c r="J1572" s="2" t="s">
        <v>24</v>
      </c>
      <c r="K1572" s="2" t="s">
        <v>10871</v>
      </c>
      <c r="M1572" s="2" t="s">
        <v>24</v>
      </c>
      <c r="N1572" s="2" t="s">
        <v>10871</v>
      </c>
      <c r="P1572" s="51">
        <v>0</v>
      </c>
      <c r="Q1572" s="99" t="s">
        <v>7015</v>
      </c>
      <c r="R1572" s="2" t="s">
        <v>7016</v>
      </c>
    </row>
    <row r="1573" spans="1:18">
      <c r="A1573" s="71">
        <v>27</v>
      </c>
      <c r="B1573" s="2" t="s">
        <v>6012</v>
      </c>
      <c r="C1573" s="71">
        <v>38</v>
      </c>
      <c r="D1573" s="2" t="s">
        <v>7004</v>
      </c>
      <c r="E1573" s="74">
        <v>0</v>
      </c>
      <c r="F1573" s="71">
        <v>6</v>
      </c>
      <c r="G1573" s="2" t="s">
        <v>7008</v>
      </c>
      <c r="H1573" s="73" t="s">
        <v>7134</v>
      </c>
      <c r="I1573" s="100" t="s">
        <v>7135</v>
      </c>
      <c r="J1573" s="2" t="s">
        <v>24</v>
      </c>
      <c r="K1573" s="2" t="s">
        <v>23</v>
      </c>
      <c r="L1573" s="2" t="s">
        <v>7017</v>
      </c>
      <c r="M1573" s="2" t="s">
        <v>24</v>
      </c>
      <c r="N1573" s="2" t="s">
        <v>23</v>
      </c>
      <c r="O1573" s="2" t="s">
        <v>7017</v>
      </c>
      <c r="P1573" s="51">
        <v>0</v>
      </c>
      <c r="Q1573" s="99" t="s">
        <v>7018</v>
      </c>
    </row>
    <row r="1574" spans="1:18">
      <c r="A1574" s="71">
        <v>27</v>
      </c>
      <c r="B1574" s="2" t="s">
        <v>6012</v>
      </c>
      <c r="C1574" s="71">
        <v>38</v>
      </c>
      <c r="D1574" s="2" t="s">
        <v>7004</v>
      </c>
      <c r="E1574" s="74">
        <v>0</v>
      </c>
      <c r="F1574" s="71">
        <v>7</v>
      </c>
      <c r="G1574" s="2" t="s">
        <v>6974</v>
      </c>
      <c r="H1574" s="73" t="s">
        <v>7136</v>
      </c>
      <c r="I1574" s="100" t="s">
        <v>7137</v>
      </c>
      <c r="J1574" s="2" t="s">
        <v>24</v>
      </c>
      <c r="K1574" s="2" t="s">
        <v>298</v>
      </c>
      <c r="M1574" s="2" t="s">
        <v>24</v>
      </c>
      <c r="N1574" s="2" t="s">
        <v>298</v>
      </c>
      <c r="P1574" s="51">
        <v>0</v>
      </c>
      <c r="Q1574" s="99" t="s">
        <v>6983</v>
      </c>
      <c r="R1574" s="2" t="s">
        <v>7019</v>
      </c>
    </row>
    <row r="1575" spans="1:18">
      <c r="A1575" s="71">
        <v>27</v>
      </c>
      <c r="B1575" s="2" t="s">
        <v>6012</v>
      </c>
      <c r="C1575" s="71">
        <v>38</v>
      </c>
      <c r="D1575" s="2" t="s">
        <v>7004</v>
      </c>
      <c r="E1575" s="74">
        <v>0</v>
      </c>
      <c r="F1575" s="71">
        <v>8</v>
      </c>
      <c r="G1575" s="2" t="s">
        <v>7009</v>
      </c>
      <c r="H1575" s="73" t="s">
        <v>7138</v>
      </c>
      <c r="I1575" s="100" t="s">
        <v>7139</v>
      </c>
      <c r="J1575" s="2" t="s">
        <v>24</v>
      </c>
      <c r="K1575" s="2" t="s">
        <v>10871</v>
      </c>
      <c r="M1575" s="2" t="s">
        <v>24</v>
      </c>
      <c r="N1575" s="2" t="s">
        <v>10871</v>
      </c>
      <c r="P1575" s="51">
        <v>0</v>
      </c>
      <c r="Q1575" s="99" t="s">
        <v>7020</v>
      </c>
      <c r="R1575" s="2" t="s">
        <v>7021</v>
      </c>
    </row>
    <row r="1576" spans="1:18">
      <c r="A1576" s="71">
        <v>27</v>
      </c>
      <c r="B1576" s="2" t="s">
        <v>6012</v>
      </c>
      <c r="C1576" s="71">
        <v>39</v>
      </c>
      <c r="D1576" s="2" t="s">
        <v>7705</v>
      </c>
      <c r="E1576" s="74">
        <v>0</v>
      </c>
      <c r="F1576" s="71">
        <v>0</v>
      </c>
      <c r="G1576" s="2" t="s">
        <v>20</v>
      </c>
      <c r="H1576" s="73" t="s">
        <v>7140</v>
      </c>
      <c r="I1576" s="76" t="s">
        <v>7896</v>
      </c>
      <c r="J1576" s="2" t="s">
        <v>24</v>
      </c>
      <c r="K1576" s="2" t="s">
        <v>25</v>
      </c>
      <c r="L1576" s="2" t="s">
        <v>26</v>
      </c>
      <c r="M1576" s="2" t="s">
        <v>24</v>
      </c>
      <c r="N1576" s="2" t="s">
        <v>25</v>
      </c>
      <c r="O1576" s="2" t="s">
        <v>26</v>
      </c>
      <c r="P1576" s="51">
        <v>0</v>
      </c>
      <c r="Q1576" s="1" t="s">
        <v>7027</v>
      </c>
    </row>
    <row r="1577" spans="1:18">
      <c r="A1577" s="71">
        <v>27</v>
      </c>
      <c r="B1577" s="2" t="s">
        <v>6012</v>
      </c>
      <c r="C1577" s="71">
        <v>39</v>
      </c>
      <c r="D1577" s="2" t="s">
        <v>7705</v>
      </c>
      <c r="E1577" s="74">
        <v>0</v>
      </c>
      <c r="F1577" s="71">
        <v>1</v>
      </c>
      <c r="G1577" s="2" t="s">
        <v>6035</v>
      </c>
      <c r="H1577" s="73" t="s">
        <v>7141</v>
      </c>
      <c r="I1577" s="100" t="s">
        <v>7897</v>
      </c>
      <c r="J1577" s="2" t="s">
        <v>24</v>
      </c>
      <c r="K1577" s="2" t="s">
        <v>25</v>
      </c>
      <c r="L1577" s="2" t="s">
        <v>6037</v>
      </c>
      <c r="M1577" s="2" t="s">
        <v>24</v>
      </c>
      <c r="N1577" s="2" t="s">
        <v>25</v>
      </c>
      <c r="O1577" s="2" t="s">
        <v>6037</v>
      </c>
      <c r="P1577" s="51">
        <v>0</v>
      </c>
      <c r="Q1577" s="99" t="s">
        <v>6038</v>
      </c>
    </row>
    <row r="1578" spans="1:18">
      <c r="A1578" s="71">
        <v>27</v>
      </c>
      <c r="B1578" s="2" t="s">
        <v>6012</v>
      </c>
      <c r="C1578" s="71">
        <v>39</v>
      </c>
      <c r="D1578" s="2" t="s">
        <v>7705</v>
      </c>
      <c r="E1578" s="74">
        <v>0</v>
      </c>
      <c r="F1578" s="71">
        <v>2</v>
      </c>
      <c r="G1578" s="2" t="s">
        <v>6090</v>
      </c>
      <c r="H1578" s="73" t="s">
        <v>7142</v>
      </c>
      <c r="I1578" s="100" t="s">
        <v>7898</v>
      </c>
      <c r="J1578" s="2" t="s">
        <v>24</v>
      </c>
      <c r="K1578" s="2" t="s">
        <v>23</v>
      </c>
      <c r="M1578" s="2" t="s">
        <v>24</v>
      </c>
      <c r="N1578" s="2" t="s">
        <v>23</v>
      </c>
      <c r="P1578" s="51">
        <v>0</v>
      </c>
      <c r="Q1578" s="99" t="s">
        <v>6862</v>
      </c>
    </row>
    <row r="1579" spans="1:18">
      <c r="A1579" s="71">
        <v>27</v>
      </c>
      <c r="B1579" s="2" t="s">
        <v>6012</v>
      </c>
      <c r="C1579" s="71">
        <v>39</v>
      </c>
      <c r="D1579" s="2" t="s">
        <v>7705</v>
      </c>
      <c r="E1579" s="74">
        <v>0</v>
      </c>
      <c r="F1579" s="71">
        <v>3</v>
      </c>
      <c r="G1579" s="2" t="s">
        <v>7022</v>
      </c>
      <c r="H1579" s="73" t="s">
        <v>7143</v>
      </c>
      <c r="I1579" s="100" t="s">
        <v>7899</v>
      </c>
      <c r="J1579" s="2" t="s">
        <v>24</v>
      </c>
      <c r="K1579" s="2" t="s">
        <v>25</v>
      </c>
      <c r="L1579" s="2" t="s">
        <v>7028</v>
      </c>
      <c r="M1579" s="2" t="s">
        <v>24</v>
      </c>
      <c r="N1579" s="2" t="s">
        <v>25</v>
      </c>
      <c r="O1579" s="2" t="s">
        <v>7028</v>
      </c>
      <c r="P1579" s="51">
        <v>0</v>
      </c>
      <c r="Q1579" s="99" t="s">
        <v>7029</v>
      </c>
    </row>
    <row r="1580" spans="1:18">
      <c r="A1580" s="71">
        <v>27</v>
      </c>
      <c r="B1580" s="2" t="s">
        <v>6012</v>
      </c>
      <c r="C1580" s="71">
        <v>39</v>
      </c>
      <c r="D1580" s="2" t="s">
        <v>7705</v>
      </c>
      <c r="E1580" s="74">
        <v>0</v>
      </c>
      <c r="F1580" s="71">
        <v>4</v>
      </c>
      <c r="G1580" s="2" t="s">
        <v>7023</v>
      </c>
      <c r="H1580" s="73" t="s">
        <v>7144</v>
      </c>
      <c r="I1580" s="100" t="s">
        <v>7900</v>
      </c>
      <c r="J1580" s="2" t="s">
        <v>24</v>
      </c>
      <c r="K1580" s="2" t="s">
        <v>25</v>
      </c>
      <c r="L1580" s="2" t="s">
        <v>7030</v>
      </c>
      <c r="M1580" s="2" t="s">
        <v>24</v>
      </c>
      <c r="N1580" s="2" t="s">
        <v>25</v>
      </c>
      <c r="O1580" s="2" t="s">
        <v>7030</v>
      </c>
      <c r="P1580" s="51">
        <v>0</v>
      </c>
      <c r="Q1580" s="99" t="s">
        <v>7031</v>
      </c>
      <c r="R1580" s="6" t="s">
        <v>7032</v>
      </c>
    </row>
    <row r="1581" spans="1:18">
      <c r="A1581" s="71">
        <v>27</v>
      </c>
      <c r="B1581" s="2" t="s">
        <v>6012</v>
      </c>
      <c r="C1581" s="71">
        <v>39</v>
      </c>
      <c r="D1581" s="2" t="s">
        <v>7705</v>
      </c>
      <c r="E1581" s="74">
        <v>0</v>
      </c>
      <c r="F1581" s="71">
        <v>5</v>
      </c>
      <c r="G1581" s="2" t="s">
        <v>7024</v>
      </c>
      <c r="H1581" s="73" t="s">
        <v>7145</v>
      </c>
      <c r="I1581" s="100" t="s">
        <v>7901</v>
      </c>
      <c r="J1581" s="2" t="s">
        <v>24</v>
      </c>
      <c r="K1581" s="2" t="s">
        <v>133</v>
      </c>
      <c r="M1581" s="2" t="s">
        <v>24</v>
      </c>
      <c r="N1581" s="2" t="s">
        <v>133</v>
      </c>
      <c r="P1581" s="51">
        <v>0</v>
      </c>
      <c r="Q1581" s="99" t="s">
        <v>7033</v>
      </c>
    </row>
    <row r="1582" spans="1:18">
      <c r="A1582" s="71">
        <v>27</v>
      </c>
      <c r="B1582" s="2" t="s">
        <v>6012</v>
      </c>
      <c r="C1582" s="71">
        <v>39</v>
      </c>
      <c r="D1582" s="2" t="s">
        <v>7705</v>
      </c>
      <c r="E1582" s="74">
        <v>0</v>
      </c>
      <c r="F1582" s="71">
        <v>6</v>
      </c>
      <c r="G1582" s="2" t="s">
        <v>7025</v>
      </c>
      <c r="H1582" s="73" t="s">
        <v>7146</v>
      </c>
      <c r="I1582" s="100" t="s">
        <v>7902</v>
      </c>
      <c r="J1582" s="2" t="s">
        <v>24</v>
      </c>
      <c r="K1582" s="2" t="s">
        <v>133</v>
      </c>
      <c r="M1582" s="2" t="s">
        <v>24</v>
      </c>
      <c r="N1582" s="2" t="s">
        <v>133</v>
      </c>
      <c r="P1582" s="51">
        <v>0</v>
      </c>
      <c r="Q1582" s="99" t="s">
        <v>7034</v>
      </c>
    </row>
    <row r="1583" spans="1:18">
      <c r="A1583" s="71">
        <v>27</v>
      </c>
      <c r="B1583" s="2" t="s">
        <v>6012</v>
      </c>
      <c r="C1583" s="71">
        <v>39</v>
      </c>
      <c r="D1583" s="2" t="s">
        <v>7705</v>
      </c>
      <c r="E1583" s="74">
        <v>0</v>
      </c>
      <c r="F1583" s="71">
        <v>7</v>
      </c>
      <c r="G1583" s="2" t="s">
        <v>7026</v>
      </c>
      <c r="H1583" s="73" t="s">
        <v>7147</v>
      </c>
      <c r="I1583" s="100" t="s">
        <v>7903</v>
      </c>
      <c r="J1583" s="2" t="s">
        <v>24</v>
      </c>
      <c r="K1583" s="2" t="s">
        <v>263</v>
      </c>
      <c r="M1583" s="2" t="s">
        <v>24</v>
      </c>
      <c r="N1583" s="2" t="s">
        <v>263</v>
      </c>
      <c r="P1583" s="51">
        <v>0</v>
      </c>
      <c r="Q1583" s="99" t="s">
        <v>7035</v>
      </c>
    </row>
    <row r="1584" spans="1:18">
      <c r="A1584" s="71">
        <v>27</v>
      </c>
      <c r="B1584" s="2" t="s">
        <v>6012</v>
      </c>
      <c r="C1584" s="71">
        <v>39</v>
      </c>
      <c r="D1584" s="2" t="s">
        <v>7705</v>
      </c>
      <c r="E1584" s="74">
        <v>0</v>
      </c>
      <c r="F1584" s="71">
        <v>8</v>
      </c>
      <c r="G1584" s="2" t="s">
        <v>9581</v>
      </c>
      <c r="H1584" s="73" t="s">
        <v>9584</v>
      </c>
      <c r="I1584" s="100" t="s">
        <v>9585</v>
      </c>
      <c r="J1584" s="2" t="s">
        <v>24</v>
      </c>
      <c r="K1584" s="2" t="s">
        <v>25</v>
      </c>
      <c r="L1584" s="2" t="s">
        <v>9583</v>
      </c>
      <c r="M1584" s="2" t="s">
        <v>24</v>
      </c>
      <c r="N1584" s="2" t="s">
        <v>25</v>
      </c>
      <c r="O1584" s="2" t="s">
        <v>9583</v>
      </c>
      <c r="P1584" s="51">
        <v>0</v>
      </c>
      <c r="Q1584" s="99" t="s">
        <v>9582</v>
      </c>
    </row>
    <row r="1585" spans="1:18">
      <c r="A1585" s="71">
        <v>27</v>
      </c>
      <c r="B1585" s="2" t="s">
        <v>6012</v>
      </c>
      <c r="C1585" s="71">
        <v>39</v>
      </c>
      <c r="D1585" s="2" t="s">
        <v>7705</v>
      </c>
      <c r="E1585" s="74">
        <v>0</v>
      </c>
      <c r="F1585" s="71">
        <v>9</v>
      </c>
      <c r="G1585" s="2" t="s">
        <v>9586</v>
      </c>
      <c r="H1585" s="73" t="s">
        <v>9588</v>
      </c>
      <c r="I1585" s="100" t="s">
        <v>9589</v>
      </c>
      <c r="J1585" s="2" t="s">
        <v>24</v>
      </c>
      <c r="K1585" s="2" t="s">
        <v>116</v>
      </c>
      <c r="L1585" s="16" t="s">
        <v>6910</v>
      </c>
      <c r="M1585" s="2" t="s">
        <v>24</v>
      </c>
      <c r="N1585" s="2" t="s">
        <v>116</v>
      </c>
      <c r="O1585" s="16" t="s">
        <v>6910</v>
      </c>
      <c r="P1585" s="51">
        <v>0</v>
      </c>
      <c r="Q1585" s="99" t="s">
        <v>9587</v>
      </c>
    </row>
    <row r="1586" spans="1:18">
      <c r="A1586" s="71">
        <v>27</v>
      </c>
      <c r="B1586" s="2" t="s">
        <v>6012</v>
      </c>
      <c r="C1586" s="71">
        <v>40</v>
      </c>
      <c r="D1586" s="2" t="s">
        <v>9762</v>
      </c>
      <c r="E1586" s="74">
        <v>0</v>
      </c>
      <c r="F1586" s="71">
        <v>0</v>
      </c>
      <c r="G1586" s="2" t="s">
        <v>20</v>
      </c>
      <c r="H1586" s="73" t="s">
        <v>7148</v>
      </c>
      <c r="I1586" s="76" t="s">
        <v>9763</v>
      </c>
      <c r="J1586" s="2" t="s">
        <v>24</v>
      </c>
      <c r="K1586" s="2" t="s">
        <v>25</v>
      </c>
      <c r="L1586" s="2" t="s">
        <v>26</v>
      </c>
      <c r="M1586" s="2" t="s">
        <v>24</v>
      </c>
      <c r="N1586" s="2" t="s">
        <v>25</v>
      </c>
      <c r="O1586" s="2" t="s">
        <v>26</v>
      </c>
      <c r="P1586" s="51">
        <v>0</v>
      </c>
      <c r="Q1586" s="1" t="s">
        <v>7038</v>
      </c>
    </row>
    <row r="1587" spans="1:18">
      <c r="A1587" s="71">
        <v>27</v>
      </c>
      <c r="B1587" s="2" t="s">
        <v>6012</v>
      </c>
      <c r="C1587" s="71">
        <v>40</v>
      </c>
      <c r="D1587" s="2" t="s">
        <v>9762</v>
      </c>
      <c r="E1587" s="74">
        <v>0</v>
      </c>
      <c r="F1587" s="71">
        <v>1</v>
      </c>
      <c r="G1587" s="2" t="s">
        <v>6035</v>
      </c>
      <c r="H1587" s="73" t="s">
        <v>7149</v>
      </c>
      <c r="I1587" s="100" t="s">
        <v>9764</v>
      </c>
      <c r="J1587" s="2" t="s">
        <v>24</v>
      </c>
      <c r="K1587" s="2" t="s">
        <v>25</v>
      </c>
      <c r="L1587" s="2" t="s">
        <v>6037</v>
      </c>
      <c r="M1587" s="2" t="s">
        <v>24</v>
      </c>
      <c r="N1587" s="2" t="s">
        <v>25</v>
      </c>
      <c r="O1587" s="2" t="s">
        <v>6037</v>
      </c>
      <c r="P1587" s="51">
        <v>0</v>
      </c>
      <c r="Q1587" s="99" t="s">
        <v>6038</v>
      </c>
    </row>
    <row r="1588" spans="1:18">
      <c r="A1588" s="71">
        <v>27</v>
      </c>
      <c r="B1588" s="2" t="s">
        <v>6012</v>
      </c>
      <c r="C1588" s="71">
        <v>40</v>
      </c>
      <c r="D1588" s="2" t="s">
        <v>9762</v>
      </c>
      <c r="E1588" s="74">
        <v>0</v>
      </c>
      <c r="F1588" s="71">
        <v>2</v>
      </c>
      <c r="G1588" s="2" t="s">
        <v>6090</v>
      </c>
      <c r="H1588" s="73" t="s">
        <v>7150</v>
      </c>
      <c r="I1588" s="100" t="s">
        <v>9765</v>
      </c>
      <c r="J1588" s="2" t="s">
        <v>24</v>
      </c>
      <c r="K1588" s="2" t="s">
        <v>23</v>
      </c>
      <c r="M1588" s="2" t="s">
        <v>24</v>
      </c>
      <c r="N1588" s="2" t="s">
        <v>23</v>
      </c>
      <c r="P1588" s="51">
        <v>0</v>
      </c>
      <c r="Q1588" s="99" t="s">
        <v>7039</v>
      </c>
    </row>
    <row r="1589" spans="1:18">
      <c r="A1589" s="71">
        <v>27</v>
      </c>
      <c r="B1589" s="2" t="s">
        <v>6012</v>
      </c>
      <c r="C1589" s="71">
        <v>40</v>
      </c>
      <c r="D1589" s="2" t="s">
        <v>9762</v>
      </c>
      <c r="E1589" s="74">
        <v>0</v>
      </c>
      <c r="F1589" s="71">
        <v>3</v>
      </c>
      <c r="G1589" s="2" t="s">
        <v>7036</v>
      </c>
      <c r="H1589" s="73" t="s">
        <v>7151</v>
      </c>
      <c r="I1589" s="100" t="s">
        <v>9766</v>
      </c>
      <c r="J1589" s="2" t="s">
        <v>24</v>
      </c>
      <c r="K1589" s="2" t="s">
        <v>23</v>
      </c>
      <c r="M1589" s="2" t="s">
        <v>24</v>
      </c>
      <c r="N1589" s="2" t="s">
        <v>23</v>
      </c>
      <c r="P1589" s="51">
        <v>0</v>
      </c>
      <c r="Q1589" s="99" t="s">
        <v>7040</v>
      </c>
    </row>
    <row r="1590" spans="1:18">
      <c r="A1590" s="71">
        <v>27</v>
      </c>
      <c r="B1590" s="2" t="s">
        <v>6012</v>
      </c>
      <c r="C1590" s="71">
        <v>40</v>
      </c>
      <c r="D1590" s="2" t="s">
        <v>9762</v>
      </c>
      <c r="E1590" s="74">
        <v>0</v>
      </c>
      <c r="F1590" s="71">
        <v>4</v>
      </c>
      <c r="G1590" s="2" t="s">
        <v>2935</v>
      </c>
      <c r="H1590" s="73" t="s">
        <v>7152</v>
      </c>
      <c r="I1590" s="100" t="s">
        <v>9767</v>
      </c>
      <c r="J1590" s="2" t="s">
        <v>24</v>
      </c>
      <c r="K1590" s="2" t="s">
        <v>23</v>
      </c>
      <c r="M1590" s="2" t="s">
        <v>24</v>
      </c>
      <c r="N1590" s="2" t="s">
        <v>116</v>
      </c>
      <c r="O1590" s="16" t="s">
        <v>7041</v>
      </c>
      <c r="P1590" s="51">
        <v>0</v>
      </c>
      <c r="Q1590" s="99" t="s">
        <v>2938</v>
      </c>
    </row>
    <row r="1591" spans="1:18">
      <c r="A1591" s="71">
        <v>27</v>
      </c>
      <c r="B1591" s="2" t="s">
        <v>6012</v>
      </c>
      <c r="C1591" s="71">
        <v>40</v>
      </c>
      <c r="D1591" s="2" t="s">
        <v>9762</v>
      </c>
      <c r="E1591" s="74">
        <v>0</v>
      </c>
      <c r="F1591" s="71">
        <v>5</v>
      </c>
      <c r="G1591" s="2" t="s">
        <v>7037</v>
      </c>
      <c r="H1591" s="73" t="s">
        <v>7153</v>
      </c>
      <c r="I1591" s="100" t="s">
        <v>9768</v>
      </c>
      <c r="J1591" s="2" t="s">
        <v>24</v>
      </c>
      <c r="K1591" s="2" t="s">
        <v>23</v>
      </c>
      <c r="M1591" s="2" t="s">
        <v>24</v>
      </c>
      <c r="N1591" s="2" t="s">
        <v>23</v>
      </c>
      <c r="P1591" s="51">
        <v>0</v>
      </c>
      <c r="Q1591" s="99" t="s">
        <v>7042</v>
      </c>
    </row>
    <row r="1592" spans="1:18">
      <c r="A1592" s="71">
        <v>27</v>
      </c>
      <c r="B1592" s="2" t="s">
        <v>6012</v>
      </c>
      <c r="C1592" s="71">
        <v>40</v>
      </c>
      <c r="D1592" s="2" t="s">
        <v>9762</v>
      </c>
      <c r="E1592" s="74">
        <v>0</v>
      </c>
      <c r="F1592" s="71">
        <v>6</v>
      </c>
      <c r="G1592" s="2" t="s">
        <v>6059</v>
      </c>
      <c r="H1592" s="73" t="s">
        <v>7154</v>
      </c>
      <c r="I1592" s="100" t="s">
        <v>9769</v>
      </c>
      <c r="J1592" s="2" t="s">
        <v>24</v>
      </c>
      <c r="K1592" s="2" t="s">
        <v>23</v>
      </c>
      <c r="M1592" s="2" t="s">
        <v>24</v>
      </c>
      <c r="N1592" s="2" t="s">
        <v>23</v>
      </c>
      <c r="P1592" s="51">
        <v>0</v>
      </c>
      <c r="Q1592" s="99" t="s">
        <v>7043</v>
      </c>
    </row>
    <row r="1593" spans="1:18">
      <c r="A1593" s="71">
        <v>27</v>
      </c>
      <c r="B1593" s="2" t="s">
        <v>6012</v>
      </c>
      <c r="C1593" s="71">
        <v>41</v>
      </c>
      <c r="D1593" s="2" t="s">
        <v>7706</v>
      </c>
      <c r="E1593" s="74">
        <v>0</v>
      </c>
      <c r="F1593" s="71">
        <v>0</v>
      </c>
      <c r="G1593" s="2" t="s">
        <v>20</v>
      </c>
      <c r="H1593" s="73" t="s">
        <v>7163</v>
      </c>
      <c r="I1593" s="76" t="s">
        <v>7904</v>
      </c>
      <c r="J1593" s="2" t="s">
        <v>24</v>
      </c>
      <c r="K1593" s="2" t="s">
        <v>25</v>
      </c>
      <c r="L1593" s="2" t="s">
        <v>26</v>
      </c>
      <c r="M1593" s="2" t="s">
        <v>24</v>
      </c>
      <c r="N1593" s="2" t="s">
        <v>25</v>
      </c>
      <c r="O1593" s="2" t="s">
        <v>26</v>
      </c>
      <c r="P1593" s="51">
        <v>0</v>
      </c>
      <c r="Q1593" s="1" t="s">
        <v>7160</v>
      </c>
    </row>
    <row r="1594" spans="1:18">
      <c r="A1594" s="71">
        <v>27</v>
      </c>
      <c r="B1594" s="2" t="s">
        <v>6012</v>
      </c>
      <c r="C1594" s="71">
        <v>41</v>
      </c>
      <c r="D1594" s="2" t="s">
        <v>7706</v>
      </c>
      <c r="E1594" s="74">
        <v>0</v>
      </c>
      <c r="F1594" s="71">
        <v>1</v>
      </c>
      <c r="G1594" s="2" t="s">
        <v>6035</v>
      </c>
      <c r="H1594" s="73" t="s">
        <v>7164</v>
      </c>
      <c r="I1594" s="100" t="s">
        <v>7905</v>
      </c>
      <c r="J1594" s="2" t="s">
        <v>24</v>
      </c>
      <c r="K1594" s="2" t="s">
        <v>25</v>
      </c>
      <c r="L1594" s="2" t="s">
        <v>6037</v>
      </c>
      <c r="M1594" s="2" t="s">
        <v>24</v>
      </c>
      <c r="N1594" s="2" t="s">
        <v>25</v>
      </c>
      <c r="O1594" s="2" t="s">
        <v>6037</v>
      </c>
      <c r="P1594" s="51">
        <v>0</v>
      </c>
      <c r="Q1594" s="99" t="s">
        <v>6038</v>
      </c>
    </row>
    <row r="1595" spans="1:18">
      <c r="A1595" s="71">
        <v>27</v>
      </c>
      <c r="B1595" s="2" t="s">
        <v>6012</v>
      </c>
      <c r="C1595" s="71">
        <v>41</v>
      </c>
      <c r="D1595" s="2" t="s">
        <v>7706</v>
      </c>
      <c r="E1595" s="74">
        <v>0</v>
      </c>
      <c r="F1595" s="71">
        <v>2</v>
      </c>
      <c r="G1595" s="2" t="s">
        <v>6090</v>
      </c>
      <c r="H1595" s="73" t="s">
        <v>7165</v>
      </c>
      <c r="I1595" s="100" t="s">
        <v>7906</v>
      </c>
      <c r="J1595" s="2" t="s">
        <v>24</v>
      </c>
      <c r="K1595" s="2" t="s">
        <v>23</v>
      </c>
      <c r="M1595" s="2" t="s">
        <v>24</v>
      </c>
      <c r="N1595" s="2" t="s">
        <v>23</v>
      </c>
      <c r="P1595" s="51">
        <v>0</v>
      </c>
      <c r="Q1595" s="99" t="s">
        <v>7039</v>
      </c>
    </row>
    <row r="1596" spans="1:18">
      <c r="A1596" s="71">
        <v>27</v>
      </c>
      <c r="B1596" s="2" t="s">
        <v>6012</v>
      </c>
      <c r="C1596" s="71">
        <v>41</v>
      </c>
      <c r="D1596" s="2" t="s">
        <v>7706</v>
      </c>
      <c r="E1596" s="74">
        <v>0</v>
      </c>
      <c r="F1596" s="71">
        <v>3</v>
      </c>
      <c r="G1596" s="2" t="s">
        <v>7036</v>
      </c>
      <c r="H1596" s="73" t="s">
        <v>7215</v>
      </c>
      <c r="I1596" s="100" t="s">
        <v>7907</v>
      </c>
      <c r="J1596" s="2" t="s">
        <v>24</v>
      </c>
      <c r="K1596" s="2" t="s">
        <v>23</v>
      </c>
      <c r="M1596" s="2" t="s">
        <v>24</v>
      </c>
      <c r="N1596" s="2" t="s">
        <v>23</v>
      </c>
      <c r="P1596" s="51">
        <v>0</v>
      </c>
      <c r="Q1596" s="99" t="s">
        <v>7040</v>
      </c>
    </row>
    <row r="1597" spans="1:18">
      <c r="A1597" s="71">
        <v>27</v>
      </c>
      <c r="B1597" s="2" t="s">
        <v>6012</v>
      </c>
      <c r="C1597" s="71">
        <v>41</v>
      </c>
      <c r="D1597" s="2" t="s">
        <v>7706</v>
      </c>
      <c r="E1597" s="74">
        <v>0</v>
      </c>
      <c r="F1597" s="71">
        <v>4</v>
      </c>
      <c r="G1597" s="2" t="s">
        <v>2935</v>
      </c>
      <c r="H1597" s="73" t="s">
        <v>7216</v>
      </c>
      <c r="I1597" s="100" t="s">
        <v>7908</v>
      </c>
      <c r="J1597" s="2" t="s">
        <v>24</v>
      </c>
      <c r="K1597" s="2" t="s">
        <v>116</v>
      </c>
      <c r="L1597" s="16" t="s">
        <v>7041</v>
      </c>
      <c r="M1597" s="2" t="s">
        <v>24</v>
      </c>
      <c r="N1597" s="2" t="s">
        <v>116</v>
      </c>
      <c r="O1597" s="16" t="s">
        <v>7041</v>
      </c>
      <c r="P1597" s="51">
        <v>0</v>
      </c>
      <c r="Q1597" s="99" t="s">
        <v>2938</v>
      </c>
      <c r="R1597" s="2" t="s">
        <v>7161</v>
      </c>
    </row>
    <row r="1598" spans="1:18">
      <c r="A1598" s="71">
        <v>27</v>
      </c>
      <c r="B1598" s="2" t="s">
        <v>6012</v>
      </c>
      <c r="C1598" s="71">
        <v>41</v>
      </c>
      <c r="D1598" s="2" t="s">
        <v>7706</v>
      </c>
      <c r="E1598" s="74">
        <v>0</v>
      </c>
      <c r="F1598" s="71">
        <v>5</v>
      </c>
      <c r="G1598" s="2" t="s">
        <v>7037</v>
      </c>
      <c r="H1598" s="73" t="s">
        <v>7217</v>
      </c>
      <c r="I1598" s="100" t="s">
        <v>7909</v>
      </c>
      <c r="J1598" s="2" t="s">
        <v>24</v>
      </c>
      <c r="K1598" s="2" t="s">
        <v>23</v>
      </c>
      <c r="M1598" s="2" t="s">
        <v>24</v>
      </c>
      <c r="N1598" s="2" t="s">
        <v>23</v>
      </c>
      <c r="P1598" s="51">
        <v>0</v>
      </c>
      <c r="Q1598" s="99" t="s">
        <v>7042</v>
      </c>
      <c r="R1598" s="2" t="s">
        <v>7161</v>
      </c>
    </row>
    <row r="1599" spans="1:18">
      <c r="A1599" s="71">
        <v>27</v>
      </c>
      <c r="B1599" s="2" t="s">
        <v>6012</v>
      </c>
      <c r="C1599" s="71">
        <v>41</v>
      </c>
      <c r="D1599" s="2" t="s">
        <v>7706</v>
      </c>
      <c r="E1599" s="74">
        <v>0</v>
      </c>
      <c r="F1599" s="71">
        <v>6</v>
      </c>
      <c r="G1599" s="2" t="s">
        <v>6059</v>
      </c>
      <c r="H1599" s="73" t="s">
        <v>7218</v>
      </c>
      <c r="I1599" s="100" t="s">
        <v>7910</v>
      </c>
      <c r="J1599" s="2" t="s">
        <v>24</v>
      </c>
      <c r="K1599" s="2" t="s">
        <v>23</v>
      </c>
      <c r="M1599" s="2" t="s">
        <v>24</v>
      </c>
      <c r="N1599" s="2" t="s">
        <v>23</v>
      </c>
      <c r="P1599" s="51">
        <v>0</v>
      </c>
      <c r="Q1599" s="99" t="s">
        <v>7043</v>
      </c>
      <c r="R1599" s="2" t="s">
        <v>7162</v>
      </c>
    </row>
    <row r="1600" spans="1:18">
      <c r="A1600" s="71">
        <v>27</v>
      </c>
      <c r="B1600" s="2" t="s">
        <v>6012</v>
      </c>
      <c r="C1600" s="71">
        <v>42</v>
      </c>
      <c r="D1600" s="2" t="s">
        <v>7170</v>
      </c>
      <c r="E1600" s="74">
        <v>0</v>
      </c>
      <c r="F1600" s="71">
        <v>0</v>
      </c>
      <c r="G1600" s="2" t="s">
        <v>20</v>
      </c>
      <c r="H1600" s="73" t="s">
        <v>7166</v>
      </c>
      <c r="I1600" s="76" t="s">
        <v>7185</v>
      </c>
      <c r="J1600" s="2" t="s">
        <v>24</v>
      </c>
      <c r="K1600" s="2" t="s">
        <v>25</v>
      </c>
      <c r="L1600" s="2" t="s">
        <v>26</v>
      </c>
      <c r="M1600" s="2" t="s">
        <v>24</v>
      </c>
      <c r="N1600" s="2" t="s">
        <v>25</v>
      </c>
      <c r="O1600" s="2" t="s">
        <v>26</v>
      </c>
      <c r="P1600" s="51">
        <v>0</v>
      </c>
      <c r="Q1600" s="1" t="s">
        <v>7172</v>
      </c>
    </row>
    <row r="1601" spans="1:18">
      <c r="A1601" s="71">
        <v>27</v>
      </c>
      <c r="B1601" s="2" t="s">
        <v>6012</v>
      </c>
      <c r="C1601" s="71">
        <v>42</v>
      </c>
      <c r="D1601" s="2" t="s">
        <v>7170</v>
      </c>
      <c r="E1601" s="74">
        <v>0</v>
      </c>
      <c r="F1601" s="71">
        <v>1</v>
      </c>
      <c r="G1601" s="2" t="s">
        <v>6035</v>
      </c>
      <c r="H1601" s="73" t="s">
        <v>7167</v>
      </c>
      <c r="I1601" s="100" t="s">
        <v>7187</v>
      </c>
      <c r="J1601" s="2" t="s">
        <v>24</v>
      </c>
      <c r="K1601" s="2" t="s">
        <v>25</v>
      </c>
      <c r="L1601" s="2" t="s">
        <v>6037</v>
      </c>
      <c r="M1601" s="2" t="s">
        <v>24</v>
      </c>
      <c r="N1601" s="2" t="s">
        <v>25</v>
      </c>
      <c r="O1601" s="2" t="s">
        <v>6037</v>
      </c>
      <c r="P1601" s="51">
        <v>0</v>
      </c>
      <c r="Q1601" s="99" t="s">
        <v>6038</v>
      </c>
    </row>
    <row r="1602" spans="1:18">
      <c r="A1602" s="71">
        <v>27</v>
      </c>
      <c r="B1602" s="2" t="s">
        <v>6012</v>
      </c>
      <c r="C1602" s="71">
        <v>42</v>
      </c>
      <c r="D1602" s="2" t="s">
        <v>7170</v>
      </c>
      <c r="E1602" s="74">
        <v>0</v>
      </c>
      <c r="F1602" s="71">
        <v>2</v>
      </c>
      <c r="G1602" s="2" t="s">
        <v>6090</v>
      </c>
      <c r="H1602" s="73" t="s">
        <v>7168</v>
      </c>
      <c r="I1602" s="100" t="s">
        <v>7189</v>
      </c>
      <c r="J1602" s="2" t="s">
        <v>24</v>
      </c>
      <c r="K1602" s="2" t="s">
        <v>23</v>
      </c>
      <c r="M1602" s="2" t="s">
        <v>24</v>
      </c>
      <c r="N1602" s="2" t="s">
        <v>23</v>
      </c>
      <c r="P1602" s="51">
        <v>0</v>
      </c>
      <c r="Q1602" s="99" t="s">
        <v>7039</v>
      </c>
    </row>
    <row r="1603" spans="1:18">
      <c r="A1603" s="71">
        <v>27</v>
      </c>
      <c r="B1603" s="2" t="s">
        <v>6012</v>
      </c>
      <c r="C1603" s="71">
        <v>42</v>
      </c>
      <c r="D1603" s="2" t="s">
        <v>7170</v>
      </c>
      <c r="E1603" s="74">
        <v>0</v>
      </c>
      <c r="F1603" s="71">
        <v>3</v>
      </c>
      <c r="G1603" s="2" t="s">
        <v>595</v>
      </c>
      <c r="H1603" s="73" t="s">
        <v>7169</v>
      </c>
      <c r="I1603" s="100" t="s">
        <v>7191</v>
      </c>
      <c r="J1603" s="2" t="s">
        <v>24</v>
      </c>
      <c r="K1603" s="2" t="s">
        <v>25</v>
      </c>
      <c r="L1603" s="2" t="s">
        <v>6976</v>
      </c>
      <c r="M1603" s="2" t="s">
        <v>24</v>
      </c>
      <c r="N1603" s="2" t="s">
        <v>25</v>
      </c>
      <c r="O1603" s="2" t="s">
        <v>6976</v>
      </c>
      <c r="P1603" s="51">
        <v>0</v>
      </c>
      <c r="Q1603" s="99" t="s">
        <v>7173</v>
      </c>
    </row>
    <row r="1604" spans="1:18">
      <c r="A1604" s="71">
        <v>27</v>
      </c>
      <c r="B1604" s="2" t="s">
        <v>6012</v>
      </c>
      <c r="C1604" s="71">
        <v>42</v>
      </c>
      <c r="D1604" s="2" t="s">
        <v>7170</v>
      </c>
      <c r="E1604" s="74">
        <v>0</v>
      </c>
      <c r="F1604" s="71">
        <v>4</v>
      </c>
      <c r="G1604" s="2" t="s">
        <v>854</v>
      </c>
      <c r="H1604" s="73" t="s">
        <v>7219</v>
      </c>
      <c r="I1604" s="100" t="s">
        <v>7193</v>
      </c>
      <c r="J1604" s="2" t="s">
        <v>24</v>
      </c>
      <c r="K1604" s="2" t="s">
        <v>25</v>
      </c>
      <c r="L1604" s="2" t="s">
        <v>7174</v>
      </c>
      <c r="M1604" s="2" t="s">
        <v>24</v>
      </c>
      <c r="N1604" s="2" t="s">
        <v>25</v>
      </c>
      <c r="O1604" s="2" t="s">
        <v>7174</v>
      </c>
      <c r="P1604" s="51">
        <v>0</v>
      </c>
      <c r="Q1604" s="99" t="s">
        <v>7175</v>
      </c>
    </row>
    <row r="1605" spans="1:18">
      <c r="A1605" s="71">
        <v>27</v>
      </c>
      <c r="B1605" s="2" t="s">
        <v>6012</v>
      </c>
      <c r="C1605" s="71">
        <v>42</v>
      </c>
      <c r="D1605" s="2" t="s">
        <v>7170</v>
      </c>
      <c r="E1605" s="74">
        <v>0</v>
      </c>
      <c r="F1605" s="71">
        <v>5</v>
      </c>
      <c r="G1605" s="2" t="s">
        <v>7171</v>
      </c>
      <c r="H1605" s="73" t="s">
        <v>7220</v>
      </c>
      <c r="I1605" s="100" t="s">
        <v>7195</v>
      </c>
      <c r="J1605" s="2" t="s">
        <v>23</v>
      </c>
      <c r="K1605" s="2" t="s">
        <v>23</v>
      </c>
      <c r="M1605" s="2" t="s">
        <v>24</v>
      </c>
      <c r="N1605" s="2" t="s">
        <v>25</v>
      </c>
      <c r="O1605" s="2" t="s">
        <v>7176</v>
      </c>
      <c r="P1605" s="51">
        <v>0</v>
      </c>
      <c r="Q1605" s="99" t="s">
        <v>7177</v>
      </c>
    </row>
    <row r="1606" spans="1:18">
      <c r="A1606" s="71">
        <v>27</v>
      </c>
      <c r="B1606" s="2" t="s">
        <v>6012</v>
      </c>
      <c r="C1606" s="71">
        <v>42</v>
      </c>
      <c r="D1606" s="2" t="s">
        <v>7170</v>
      </c>
      <c r="E1606" s="74">
        <v>0</v>
      </c>
      <c r="F1606" s="71">
        <v>6</v>
      </c>
      <c r="G1606" s="2" t="s">
        <v>6660</v>
      </c>
      <c r="H1606" s="73" t="s">
        <v>7221</v>
      </c>
      <c r="I1606" s="100" t="s">
        <v>7196</v>
      </c>
      <c r="J1606" s="2" t="s">
        <v>23</v>
      </c>
      <c r="K1606" s="2" t="s">
        <v>23</v>
      </c>
      <c r="M1606" s="2" t="s">
        <v>24</v>
      </c>
      <c r="N1606" s="2" t="s">
        <v>133</v>
      </c>
      <c r="P1606" s="51">
        <v>0</v>
      </c>
      <c r="Q1606" s="99" t="s">
        <v>7178</v>
      </c>
    </row>
    <row r="1607" spans="1:18">
      <c r="A1607" s="71">
        <v>27</v>
      </c>
      <c r="B1607" s="2" t="s">
        <v>6012</v>
      </c>
      <c r="C1607" s="71">
        <v>42</v>
      </c>
      <c r="D1607" s="2" t="s">
        <v>7170</v>
      </c>
      <c r="E1607" s="74">
        <v>0</v>
      </c>
      <c r="F1607" s="71">
        <v>7</v>
      </c>
      <c r="G1607" s="2" t="s">
        <v>6860</v>
      </c>
      <c r="H1607" s="73" t="s">
        <v>7222</v>
      </c>
      <c r="I1607" s="100" t="s">
        <v>7197</v>
      </c>
      <c r="J1607" s="2" t="s">
        <v>23</v>
      </c>
      <c r="K1607" s="2" t="s">
        <v>23</v>
      </c>
      <c r="M1607" s="2" t="s">
        <v>24</v>
      </c>
      <c r="N1607" s="2" t="s">
        <v>263</v>
      </c>
      <c r="P1607" s="51">
        <v>0</v>
      </c>
      <c r="Q1607" s="99" t="s">
        <v>7179</v>
      </c>
    </row>
    <row r="1608" spans="1:18">
      <c r="A1608" s="71">
        <v>27</v>
      </c>
      <c r="B1608" s="2" t="s">
        <v>6012</v>
      </c>
      <c r="C1608" s="71">
        <v>43</v>
      </c>
      <c r="D1608" s="2" t="s">
        <v>7707</v>
      </c>
      <c r="E1608" s="74">
        <v>0</v>
      </c>
      <c r="F1608" s="71">
        <v>0</v>
      </c>
      <c r="G1608" s="2" t="s">
        <v>20</v>
      </c>
      <c r="H1608" s="73" t="s">
        <v>7184</v>
      </c>
      <c r="I1608" s="76" t="s">
        <v>7911</v>
      </c>
      <c r="J1608" s="2" t="s">
        <v>24</v>
      </c>
      <c r="K1608" s="2" t="s">
        <v>25</v>
      </c>
      <c r="L1608" s="2" t="s">
        <v>26</v>
      </c>
      <c r="M1608" s="2" t="s">
        <v>24</v>
      </c>
      <c r="N1608" s="2" t="s">
        <v>25</v>
      </c>
      <c r="O1608" s="2" t="s">
        <v>26</v>
      </c>
      <c r="P1608" s="51">
        <v>0</v>
      </c>
      <c r="Q1608" s="1" t="s">
        <v>7181</v>
      </c>
    </row>
    <row r="1609" spans="1:18">
      <c r="A1609" s="71">
        <v>27</v>
      </c>
      <c r="B1609" s="2" t="s">
        <v>6012</v>
      </c>
      <c r="C1609" s="71">
        <v>43</v>
      </c>
      <c r="D1609" s="2" t="s">
        <v>7707</v>
      </c>
      <c r="E1609" s="74">
        <v>0</v>
      </c>
      <c r="F1609" s="71">
        <v>1</v>
      </c>
      <c r="G1609" s="2" t="s">
        <v>6035</v>
      </c>
      <c r="H1609" s="73" t="s">
        <v>7186</v>
      </c>
      <c r="I1609" s="100" t="s">
        <v>7912</v>
      </c>
      <c r="J1609" s="2" t="s">
        <v>24</v>
      </c>
      <c r="K1609" s="2" t="s">
        <v>25</v>
      </c>
      <c r="L1609" s="2" t="s">
        <v>6037</v>
      </c>
      <c r="M1609" s="2" t="s">
        <v>24</v>
      </c>
      <c r="N1609" s="2" t="s">
        <v>25</v>
      </c>
      <c r="O1609" s="2" t="s">
        <v>6037</v>
      </c>
      <c r="P1609" s="51">
        <v>0</v>
      </c>
      <c r="Q1609" s="99" t="s">
        <v>6038</v>
      </c>
    </row>
    <row r="1610" spans="1:18">
      <c r="A1610" s="71">
        <v>27</v>
      </c>
      <c r="B1610" s="2" t="s">
        <v>6012</v>
      </c>
      <c r="C1610" s="71">
        <v>43</v>
      </c>
      <c r="D1610" s="2" t="s">
        <v>7707</v>
      </c>
      <c r="E1610" s="74">
        <v>0</v>
      </c>
      <c r="F1610" s="71">
        <v>2</v>
      </c>
      <c r="G1610" s="2" t="s">
        <v>6090</v>
      </c>
      <c r="H1610" s="73" t="s">
        <v>7188</v>
      </c>
      <c r="I1610" s="100" t="s">
        <v>7913</v>
      </c>
      <c r="J1610" s="2" t="s">
        <v>24</v>
      </c>
      <c r="K1610" s="2" t="s">
        <v>23</v>
      </c>
      <c r="M1610" s="2" t="s">
        <v>24</v>
      </c>
      <c r="N1610" s="2" t="s">
        <v>23</v>
      </c>
      <c r="P1610" s="51">
        <v>0</v>
      </c>
      <c r="Q1610" s="99" t="s">
        <v>7182</v>
      </c>
    </row>
    <row r="1611" spans="1:18">
      <c r="A1611" s="71">
        <v>27</v>
      </c>
      <c r="B1611" s="2" t="s">
        <v>6012</v>
      </c>
      <c r="C1611" s="71">
        <v>43</v>
      </c>
      <c r="D1611" s="2" t="s">
        <v>7707</v>
      </c>
      <c r="E1611" s="74">
        <v>0</v>
      </c>
      <c r="F1611" s="71">
        <v>3</v>
      </c>
      <c r="G1611" s="2" t="s">
        <v>7180</v>
      </c>
      <c r="H1611" s="73" t="s">
        <v>7190</v>
      </c>
      <c r="I1611" s="100" t="s">
        <v>7914</v>
      </c>
      <c r="J1611" s="2" t="s">
        <v>24</v>
      </c>
      <c r="K1611" s="2" t="s">
        <v>23</v>
      </c>
      <c r="M1611" s="2" t="s">
        <v>24</v>
      </c>
      <c r="N1611" s="2" t="s">
        <v>23</v>
      </c>
      <c r="P1611" s="51">
        <v>0</v>
      </c>
      <c r="Q1611" s="99" t="s">
        <v>6862</v>
      </c>
      <c r="R1611" s="2" t="s">
        <v>7183</v>
      </c>
    </row>
    <row r="1612" spans="1:18">
      <c r="A1612" s="71">
        <v>27</v>
      </c>
      <c r="B1612" s="2" t="s">
        <v>6012</v>
      </c>
      <c r="C1612" s="71">
        <v>43</v>
      </c>
      <c r="D1612" s="2" t="s">
        <v>7707</v>
      </c>
      <c r="E1612" s="74">
        <v>0</v>
      </c>
      <c r="F1612" s="71">
        <v>4</v>
      </c>
      <c r="G1612" s="2" t="s">
        <v>6660</v>
      </c>
      <c r="H1612" s="73" t="s">
        <v>7192</v>
      </c>
      <c r="I1612" s="100" t="s">
        <v>7915</v>
      </c>
      <c r="J1612" s="2" t="s">
        <v>24</v>
      </c>
      <c r="K1612" s="2" t="s">
        <v>133</v>
      </c>
      <c r="M1612" s="2" t="s">
        <v>24</v>
      </c>
      <c r="N1612" s="2" t="s">
        <v>133</v>
      </c>
      <c r="P1612" s="51">
        <v>0</v>
      </c>
      <c r="Q1612" s="99" t="s">
        <v>2574</v>
      </c>
    </row>
    <row r="1613" spans="1:18">
      <c r="A1613" s="71">
        <v>27</v>
      </c>
      <c r="B1613" s="2" t="s">
        <v>6012</v>
      </c>
      <c r="C1613" s="71">
        <v>43</v>
      </c>
      <c r="D1613" s="2" t="s">
        <v>7707</v>
      </c>
      <c r="E1613" s="74">
        <v>0</v>
      </c>
      <c r="F1613" s="71">
        <v>5</v>
      </c>
      <c r="G1613" s="2" t="s">
        <v>6860</v>
      </c>
      <c r="H1613" s="73" t="s">
        <v>7194</v>
      </c>
      <c r="I1613" s="100" t="s">
        <v>7916</v>
      </c>
      <c r="J1613" s="2" t="s">
        <v>24</v>
      </c>
      <c r="K1613" s="2" t="s">
        <v>263</v>
      </c>
      <c r="M1613" s="2" t="s">
        <v>24</v>
      </c>
      <c r="N1613" s="2" t="s">
        <v>263</v>
      </c>
      <c r="P1613" s="51">
        <v>0</v>
      </c>
      <c r="Q1613" s="99" t="s">
        <v>2579</v>
      </c>
    </row>
    <row r="1614" spans="1:18">
      <c r="A1614" s="71">
        <v>27</v>
      </c>
      <c r="B1614" s="2" t="s">
        <v>6012</v>
      </c>
      <c r="C1614" s="71">
        <v>44</v>
      </c>
      <c r="D1614" s="2" t="s">
        <v>7708</v>
      </c>
      <c r="E1614" s="74">
        <v>0</v>
      </c>
      <c r="F1614" s="71">
        <v>0</v>
      </c>
      <c r="G1614" s="2" t="s">
        <v>20</v>
      </c>
      <c r="H1614" s="73" t="s">
        <v>7198</v>
      </c>
      <c r="I1614" s="76" t="s">
        <v>7917</v>
      </c>
      <c r="J1614" s="2" t="s">
        <v>24</v>
      </c>
      <c r="K1614" s="2" t="s">
        <v>25</v>
      </c>
      <c r="L1614" s="2" t="s">
        <v>26</v>
      </c>
      <c r="M1614" s="2" t="s">
        <v>24</v>
      </c>
      <c r="N1614" s="2" t="s">
        <v>25</v>
      </c>
      <c r="O1614" s="2" t="s">
        <v>26</v>
      </c>
      <c r="P1614" s="51">
        <v>0</v>
      </c>
      <c r="Q1614" s="1" t="s">
        <v>7205</v>
      </c>
    </row>
    <row r="1615" spans="1:18">
      <c r="A1615" s="71">
        <v>27</v>
      </c>
      <c r="B1615" s="2" t="s">
        <v>6012</v>
      </c>
      <c r="C1615" s="71">
        <v>44</v>
      </c>
      <c r="D1615" s="2" t="s">
        <v>7708</v>
      </c>
      <c r="E1615" s="74">
        <v>0</v>
      </c>
      <c r="F1615" s="71">
        <v>1</v>
      </c>
      <c r="G1615" s="2" t="s">
        <v>6035</v>
      </c>
      <c r="H1615" s="73" t="s">
        <v>7199</v>
      </c>
      <c r="I1615" s="100" t="s">
        <v>7918</v>
      </c>
      <c r="J1615" s="2" t="s">
        <v>24</v>
      </c>
      <c r="K1615" s="2" t="s">
        <v>25</v>
      </c>
      <c r="L1615" s="2" t="s">
        <v>6037</v>
      </c>
      <c r="M1615" s="2" t="s">
        <v>24</v>
      </c>
      <c r="N1615" s="2" t="s">
        <v>25</v>
      </c>
      <c r="O1615" s="2" t="s">
        <v>6037</v>
      </c>
      <c r="P1615" s="51">
        <v>0</v>
      </c>
      <c r="Q1615" s="99" t="s">
        <v>6038</v>
      </c>
    </row>
    <row r="1616" spans="1:18">
      <c r="A1616" s="71">
        <v>27</v>
      </c>
      <c r="B1616" s="2" t="s">
        <v>6012</v>
      </c>
      <c r="C1616" s="71">
        <v>44</v>
      </c>
      <c r="D1616" s="2" t="s">
        <v>7708</v>
      </c>
      <c r="E1616" s="74">
        <v>0</v>
      </c>
      <c r="F1616" s="71">
        <v>2</v>
      </c>
      <c r="G1616" s="2" t="s">
        <v>6090</v>
      </c>
      <c r="H1616" s="73" t="s">
        <v>7200</v>
      </c>
      <c r="I1616" s="100" t="s">
        <v>7919</v>
      </c>
      <c r="J1616" s="2" t="s">
        <v>24</v>
      </c>
      <c r="K1616" s="2" t="s">
        <v>23</v>
      </c>
      <c r="M1616" s="2" t="s">
        <v>24</v>
      </c>
      <c r="N1616" s="2" t="s">
        <v>23</v>
      </c>
      <c r="P1616" s="51">
        <v>0</v>
      </c>
      <c r="Q1616" s="99" t="s">
        <v>7182</v>
      </c>
    </row>
    <row r="1617" spans="1:18">
      <c r="A1617" s="71">
        <v>27</v>
      </c>
      <c r="B1617" s="2" t="s">
        <v>6012</v>
      </c>
      <c r="C1617" s="71">
        <v>44</v>
      </c>
      <c r="D1617" s="2" t="s">
        <v>7708</v>
      </c>
      <c r="E1617" s="74">
        <v>0</v>
      </c>
      <c r="F1617" s="71">
        <v>3</v>
      </c>
      <c r="G1617" s="2" t="s">
        <v>7180</v>
      </c>
      <c r="H1617" s="73" t="s">
        <v>7201</v>
      </c>
      <c r="I1617" s="100" t="s">
        <v>7920</v>
      </c>
      <c r="J1617" s="2" t="s">
        <v>24</v>
      </c>
      <c r="K1617" s="2" t="s">
        <v>23</v>
      </c>
      <c r="M1617" s="2" t="s">
        <v>24</v>
      </c>
      <c r="N1617" s="2" t="s">
        <v>23</v>
      </c>
      <c r="P1617" s="51">
        <v>0</v>
      </c>
      <c r="Q1617" s="99" t="s">
        <v>6862</v>
      </c>
      <c r="R1617" s="2" t="s">
        <v>7183</v>
      </c>
    </row>
    <row r="1618" spans="1:18">
      <c r="A1618" s="71">
        <v>27</v>
      </c>
      <c r="B1618" s="2" t="s">
        <v>6012</v>
      </c>
      <c r="C1618" s="71">
        <v>44</v>
      </c>
      <c r="D1618" s="2" t="s">
        <v>7708</v>
      </c>
      <c r="E1618" s="74">
        <v>0</v>
      </c>
      <c r="F1618" s="71">
        <v>4</v>
      </c>
      <c r="G1618" s="2" t="s">
        <v>273</v>
      </c>
      <c r="H1618" s="73" t="s">
        <v>7202</v>
      </c>
      <c r="I1618" s="100" t="s">
        <v>7921</v>
      </c>
      <c r="J1618" s="2" t="s">
        <v>24</v>
      </c>
      <c r="K1618" s="2" t="s">
        <v>139</v>
      </c>
      <c r="M1618" s="2" t="s">
        <v>24</v>
      </c>
      <c r="N1618" s="2" t="s">
        <v>139</v>
      </c>
      <c r="P1618" s="51">
        <v>0</v>
      </c>
      <c r="Q1618" s="99" t="s">
        <v>6870</v>
      </c>
    </row>
    <row r="1619" spans="1:18">
      <c r="A1619" s="71">
        <v>27</v>
      </c>
      <c r="B1619" s="2" t="s">
        <v>6012</v>
      </c>
      <c r="C1619" s="71">
        <v>44</v>
      </c>
      <c r="D1619" s="2" t="s">
        <v>7708</v>
      </c>
      <c r="E1619" s="74">
        <v>0</v>
      </c>
      <c r="F1619" s="71">
        <v>5</v>
      </c>
      <c r="G1619" s="2" t="s">
        <v>268</v>
      </c>
      <c r="H1619" s="73" t="s">
        <v>7203</v>
      </c>
      <c r="I1619" s="100" t="s">
        <v>7922</v>
      </c>
      <c r="J1619" s="2" t="s">
        <v>24</v>
      </c>
      <c r="K1619" s="2" t="s">
        <v>206</v>
      </c>
      <c r="M1619" s="2" t="s">
        <v>24</v>
      </c>
      <c r="N1619" s="2" t="s">
        <v>206</v>
      </c>
      <c r="P1619" s="51">
        <v>0</v>
      </c>
      <c r="Q1619" s="99" t="s">
        <v>6871</v>
      </c>
    </row>
    <row r="1620" spans="1:18">
      <c r="A1620" s="71">
        <v>27</v>
      </c>
      <c r="B1620" s="2" t="s">
        <v>6012</v>
      </c>
      <c r="C1620" s="71">
        <v>44</v>
      </c>
      <c r="D1620" s="2" t="s">
        <v>7708</v>
      </c>
      <c r="E1620" s="74">
        <v>0</v>
      </c>
      <c r="F1620" s="71">
        <v>6</v>
      </c>
      <c r="G1620" s="2" t="s">
        <v>485</v>
      </c>
      <c r="H1620" s="73" t="s">
        <v>7223</v>
      </c>
      <c r="I1620" s="100" t="s">
        <v>7923</v>
      </c>
      <c r="J1620" s="2" t="s">
        <v>24</v>
      </c>
      <c r="K1620" s="2" t="s">
        <v>49</v>
      </c>
      <c r="M1620" s="2" t="s">
        <v>24</v>
      </c>
      <c r="N1620" s="2" t="s">
        <v>49</v>
      </c>
      <c r="P1620" s="51">
        <v>0</v>
      </c>
      <c r="Q1620" s="99" t="s">
        <v>2298</v>
      </c>
    </row>
    <row r="1621" spans="1:18">
      <c r="A1621" s="71">
        <v>27</v>
      </c>
      <c r="B1621" s="2" t="s">
        <v>6012</v>
      </c>
      <c r="C1621" s="71">
        <v>44</v>
      </c>
      <c r="D1621" s="2" t="s">
        <v>7708</v>
      </c>
      <c r="E1621" s="74">
        <v>0</v>
      </c>
      <c r="F1621" s="71">
        <v>7</v>
      </c>
      <c r="G1621" s="2" t="s">
        <v>7204</v>
      </c>
      <c r="H1621" s="73" t="s">
        <v>7224</v>
      </c>
      <c r="I1621" s="100" t="s">
        <v>7924</v>
      </c>
      <c r="J1621" s="2" t="s">
        <v>24</v>
      </c>
      <c r="K1621" s="2" t="s">
        <v>25</v>
      </c>
      <c r="L1621" s="2" t="s">
        <v>7206</v>
      </c>
      <c r="M1621" s="2" t="s">
        <v>24</v>
      </c>
      <c r="N1621" s="2" t="s">
        <v>25</v>
      </c>
      <c r="O1621" s="2" t="s">
        <v>7206</v>
      </c>
      <c r="P1621" s="51">
        <v>0</v>
      </c>
      <c r="Q1621" s="99" t="s">
        <v>6873</v>
      </c>
    </row>
    <row r="1622" spans="1:18">
      <c r="A1622" s="71">
        <v>27</v>
      </c>
      <c r="B1622" s="2" t="s">
        <v>6012</v>
      </c>
      <c r="C1622" s="71">
        <v>45</v>
      </c>
      <c r="D1622" s="2" t="s">
        <v>7709</v>
      </c>
      <c r="E1622" s="74">
        <v>0</v>
      </c>
      <c r="F1622" s="71">
        <v>0</v>
      </c>
      <c r="G1622" s="2" t="s">
        <v>20</v>
      </c>
      <c r="H1622" s="73" t="s">
        <v>7207</v>
      </c>
      <c r="I1622" s="76" t="s">
        <v>7925</v>
      </c>
      <c r="J1622" s="2" t="s">
        <v>24</v>
      </c>
      <c r="K1622" s="2" t="s">
        <v>25</v>
      </c>
      <c r="L1622" s="2" t="s">
        <v>26</v>
      </c>
      <c r="M1622" s="2" t="s">
        <v>24</v>
      </c>
      <c r="N1622" s="2" t="s">
        <v>25</v>
      </c>
      <c r="O1622" s="2" t="s">
        <v>26</v>
      </c>
      <c r="P1622" s="51">
        <v>0</v>
      </c>
      <c r="Q1622" s="1" t="s">
        <v>7226</v>
      </c>
    </row>
    <row r="1623" spans="1:18">
      <c r="A1623" s="71">
        <v>27</v>
      </c>
      <c r="B1623" s="2" t="s">
        <v>6012</v>
      </c>
      <c r="C1623" s="71">
        <v>45</v>
      </c>
      <c r="D1623" s="2" t="s">
        <v>7709</v>
      </c>
      <c r="E1623" s="74">
        <v>0</v>
      </c>
      <c r="F1623" s="71">
        <v>1</v>
      </c>
      <c r="G1623" s="2" t="s">
        <v>6035</v>
      </c>
      <c r="H1623" s="73" t="s">
        <v>7208</v>
      </c>
      <c r="I1623" s="100" t="s">
        <v>7926</v>
      </c>
      <c r="J1623" s="2" t="s">
        <v>24</v>
      </c>
      <c r="K1623" s="2" t="s">
        <v>25</v>
      </c>
      <c r="L1623" s="2" t="s">
        <v>6037</v>
      </c>
      <c r="M1623" s="2" t="s">
        <v>24</v>
      </c>
      <c r="N1623" s="2" t="s">
        <v>25</v>
      </c>
      <c r="O1623" s="2" t="s">
        <v>6037</v>
      </c>
      <c r="P1623" s="51">
        <v>0</v>
      </c>
      <c r="Q1623" s="99" t="s">
        <v>6038</v>
      </c>
    </row>
    <row r="1624" spans="1:18">
      <c r="A1624" s="71">
        <v>27</v>
      </c>
      <c r="B1624" s="2" t="s">
        <v>6012</v>
      </c>
      <c r="C1624" s="71">
        <v>45</v>
      </c>
      <c r="D1624" s="2" t="s">
        <v>7709</v>
      </c>
      <c r="E1624" s="74">
        <v>0</v>
      </c>
      <c r="F1624" s="71">
        <v>2</v>
      </c>
      <c r="G1624" s="2" t="s">
        <v>6090</v>
      </c>
      <c r="H1624" s="73" t="s">
        <v>7209</v>
      </c>
      <c r="I1624" s="100" t="s">
        <v>7927</v>
      </c>
      <c r="J1624" s="2" t="s">
        <v>24</v>
      </c>
      <c r="K1624" s="2" t="s">
        <v>23</v>
      </c>
      <c r="M1624" s="2" t="s">
        <v>24</v>
      </c>
      <c r="N1624" s="2" t="s">
        <v>23</v>
      </c>
      <c r="P1624" s="51">
        <v>0</v>
      </c>
      <c r="Q1624" s="99" t="s">
        <v>7182</v>
      </c>
    </row>
    <row r="1625" spans="1:18">
      <c r="A1625" s="71">
        <v>27</v>
      </c>
      <c r="B1625" s="2" t="s">
        <v>6012</v>
      </c>
      <c r="C1625" s="71">
        <v>45</v>
      </c>
      <c r="D1625" s="2" t="s">
        <v>7709</v>
      </c>
      <c r="E1625" s="74">
        <v>0</v>
      </c>
      <c r="F1625" s="71">
        <v>3</v>
      </c>
      <c r="G1625" s="2" t="s">
        <v>7180</v>
      </c>
      <c r="H1625" s="73" t="s">
        <v>7210</v>
      </c>
      <c r="I1625" s="100" t="s">
        <v>7928</v>
      </c>
      <c r="J1625" s="2" t="s">
        <v>24</v>
      </c>
      <c r="K1625" s="2" t="s">
        <v>23</v>
      </c>
      <c r="M1625" s="2" t="s">
        <v>24</v>
      </c>
      <c r="N1625" s="2" t="s">
        <v>23</v>
      </c>
      <c r="P1625" s="51">
        <v>0</v>
      </c>
      <c r="Q1625" s="99" t="s">
        <v>6862</v>
      </c>
      <c r="R1625" s="2" t="s">
        <v>7183</v>
      </c>
    </row>
    <row r="1626" spans="1:18">
      <c r="A1626" s="71">
        <v>27</v>
      </c>
      <c r="B1626" s="2" t="s">
        <v>6012</v>
      </c>
      <c r="C1626" s="71">
        <v>45</v>
      </c>
      <c r="D1626" s="2" t="s">
        <v>7709</v>
      </c>
      <c r="E1626" s="74">
        <v>0</v>
      </c>
      <c r="F1626" s="71">
        <v>4</v>
      </c>
      <c r="G1626" s="2" t="s">
        <v>291</v>
      </c>
      <c r="H1626" s="73" t="s">
        <v>7211</v>
      </c>
      <c r="I1626" s="100" t="s">
        <v>7929</v>
      </c>
      <c r="J1626" s="2" t="s">
        <v>24</v>
      </c>
      <c r="K1626" s="2" t="s">
        <v>206</v>
      </c>
      <c r="M1626" s="2" t="s">
        <v>24</v>
      </c>
      <c r="N1626" s="2" t="s">
        <v>206</v>
      </c>
      <c r="P1626" s="51">
        <v>0</v>
      </c>
      <c r="Q1626" s="99" t="s">
        <v>7227</v>
      </c>
    </row>
    <row r="1627" spans="1:18">
      <c r="A1627" s="71">
        <v>27</v>
      </c>
      <c r="B1627" s="2" t="s">
        <v>6012</v>
      </c>
      <c r="C1627" s="71">
        <v>45</v>
      </c>
      <c r="D1627" s="2" t="s">
        <v>7709</v>
      </c>
      <c r="E1627" s="74">
        <v>0</v>
      </c>
      <c r="F1627" s="71">
        <v>5</v>
      </c>
      <c r="G1627" s="2" t="s">
        <v>6896</v>
      </c>
      <c r="H1627" s="73" t="s">
        <v>7212</v>
      </c>
      <c r="I1627" s="100" t="s">
        <v>7930</v>
      </c>
      <c r="J1627" s="2" t="s">
        <v>24</v>
      </c>
      <c r="K1627" s="2" t="s">
        <v>298</v>
      </c>
      <c r="M1627" s="2" t="s">
        <v>24</v>
      </c>
      <c r="N1627" s="2" t="s">
        <v>298</v>
      </c>
      <c r="P1627" s="51">
        <v>0</v>
      </c>
      <c r="Q1627" s="99" t="s">
        <v>7228</v>
      </c>
    </row>
    <row r="1628" spans="1:18">
      <c r="A1628" s="71">
        <v>27</v>
      </c>
      <c r="B1628" s="2" t="s">
        <v>6012</v>
      </c>
      <c r="C1628" s="71">
        <v>45</v>
      </c>
      <c r="D1628" s="2" t="s">
        <v>7709</v>
      </c>
      <c r="E1628" s="74">
        <v>0</v>
      </c>
      <c r="F1628" s="71">
        <v>6</v>
      </c>
      <c r="G1628" s="2" t="s">
        <v>7225</v>
      </c>
      <c r="H1628" s="73" t="s">
        <v>7213</v>
      </c>
      <c r="I1628" s="100" t="s">
        <v>7931</v>
      </c>
      <c r="J1628" s="2" t="s">
        <v>24</v>
      </c>
      <c r="K1628" s="2" t="s">
        <v>206</v>
      </c>
      <c r="M1628" s="2" t="s">
        <v>24</v>
      </c>
      <c r="N1628" s="2" t="s">
        <v>206</v>
      </c>
      <c r="P1628" s="51">
        <v>0</v>
      </c>
      <c r="Q1628" s="99" t="s">
        <v>6902</v>
      </c>
    </row>
    <row r="1629" spans="1:18">
      <c r="A1629" s="71">
        <v>27</v>
      </c>
      <c r="B1629" s="2" t="s">
        <v>6012</v>
      </c>
      <c r="C1629" s="71">
        <v>45</v>
      </c>
      <c r="D1629" s="2" t="s">
        <v>7709</v>
      </c>
      <c r="E1629" s="74">
        <v>0</v>
      </c>
      <c r="F1629" s="71">
        <v>7</v>
      </c>
      <c r="G1629" s="2" t="s">
        <v>6898</v>
      </c>
      <c r="H1629" s="73" t="s">
        <v>7214</v>
      </c>
      <c r="I1629" s="100" t="s">
        <v>7932</v>
      </c>
      <c r="J1629" s="2" t="s">
        <v>24</v>
      </c>
      <c r="K1629" s="2" t="s">
        <v>133</v>
      </c>
      <c r="M1629" s="2" t="s">
        <v>24</v>
      </c>
      <c r="N1629" s="2" t="s">
        <v>133</v>
      </c>
      <c r="P1629" s="51">
        <v>0</v>
      </c>
      <c r="Q1629" s="99" t="s">
        <v>7229</v>
      </c>
    </row>
    <row r="1630" spans="1:18">
      <c r="A1630" s="71">
        <v>27</v>
      </c>
      <c r="B1630" s="2" t="s">
        <v>6012</v>
      </c>
      <c r="C1630" s="71">
        <v>46</v>
      </c>
      <c r="D1630" s="2" t="s">
        <v>7710</v>
      </c>
      <c r="E1630" s="74">
        <v>0</v>
      </c>
      <c r="F1630" s="71">
        <v>0</v>
      </c>
      <c r="G1630" s="2" t="s">
        <v>20</v>
      </c>
      <c r="H1630" s="73" t="s">
        <v>7232</v>
      </c>
      <c r="I1630" s="76" t="s">
        <v>7933</v>
      </c>
      <c r="J1630" s="2" t="s">
        <v>24</v>
      </c>
      <c r="K1630" s="2" t="s">
        <v>25</v>
      </c>
      <c r="L1630" s="2" t="s">
        <v>26</v>
      </c>
      <c r="M1630" s="2" t="s">
        <v>24</v>
      </c>
      <c r="N1630" s="2" t="s">
        <v>25</v>
      </c>
      <c r="O1630" s="2" t="s">
        <v>26</v>
      </c>
      <c r="P1630" s="51">
        <v>0</v>
      </c>
      <c r="Q1630" s="1" t="s">
        <v>7230</v>
      </c>
    </row>
    <row r="1631" spans="1:18">
      <c r="A1631" s="71">
        <v>27</v>
      </c>
      <c r="B1631" s="2" t="s">
        <v>6012</v>
      </c>
      <c r="C1631" s="71">
        <v>46</v>
      </c>
      <c r="D1631" s="2" t="s">
        <v>7710</v>
      </c>
      <c r="E1631" s="74">
        <v>0</v>
      </c>
      <c r="F1631" s="71">
        <v>1</v>
      </c>
      <c r="G1631" s="2" t="s">
        <v>6035</v>
      </c>
      <c r="H1631" s="73" t="s">
        <v>7233</v>
      </c>
      <c r="I1631" s="100" t="s">
        <v>7934</v>
      </c>
      <c r="J1631" s="2" t="s">
        <v>24</v>
      </c>
      <c r="K1631" s="2" t="s">
        <v>25</v>
      </c>
      <c r="L1631" s="2" t="s">
        <v>6037</v>
      </c>
      <c r="M1631" s="2" t="s">
        <v>24</v>
      </c>
      <c r="N1631" s="2" t="s">
        <v>25</v>
      </c>
      <c r="O1631" s="2" t="s">
        <v>6037</v>
      </c>
      <c r="P1631" s="51">
        <v>0</v>
      </c>
      <c r="Q1631" s="99" t="s">
        <v>6038</v>
      </c>
    </row>
    <row r="1632" spans="1:18">
      <c r="A1632" s="71">
        <v>27</v>
      </c>
      <c r="B1632" s="2" t="s">
        <v>6012</v>
      </c>
      <c r="C1632" s="71">
        <v>46</v>
      </c>
      <c r="D1632" s="2" t="s">
        <v>7710</v>
      </c>
      <c r="E1632" s="74">
        <v>0</v>
      </c>
      <c r="F1632" s="71">
        <v>2</v>
      </c>
      <c r="G1632" s="2" t="s">
        <v>6090</v>
      </c>
      <c r="H1632" s="73" t="s">
        <v>7234</v>
      </c>
      <c r="I1632" s="100" t="s">
        <v>7935</v>
      </c>
      <c r="J1632" s="2" t="s">
        <v>24</v>
      </c>
      <c r="K1632" s="2" t="s">
        <v>23</v>
      </c>
      <c r="M1632" s="2" t="s">
        <v>24</v>
      </c>
      <c r="N1632" s="2" t="s">
        <v>23</v>
      </c>
      <c r="P1632" s="51">
        <v>0</v>
      </c>
      <c r="Q1632" s="99" t="s">
        <v>7182</v>
      </c>
    </row>
    <row r="1633" spans="1:18">
      <c r="A1633" s="71">
        <v>27</v>
      </c>
      <c r="B1633" s="2" t="s">
        <v>6012</v>
      </c>
      <c r="C1633" s="71">
        <v>46</v>
      </c>
      <c r="D1633" s="2" t="s">
        <v>7710</v>
      </c>
      <c r="E1633" s="74">
        <v>0</v>
      </c>
      <c r="F1633" s="71">
        <v>3</v>
      </c>
      <c r="G1633" s="2" t="s">
        <v>7180</v>
      </c>
      <c r="H1633" s="73" t="s">
        <v>7235</v>
      </c>
      <c r="I1633" s="100" t="s">
        <v>7936</v>
      </c>
      <c r="J1633" s="2" t="s">
        <v>24</v>
      </c>
      <c r="K1633" s="2" t="s">
        <v>23</v>
      </c>
      <c r="M1633" s="2" t="s">
        <v>24</v>
      </c>
      <c r="N1633" s="2" t="s">
        <v>23</v>
      </c>
      <c r="P1633" s="51">
        <v>0</v>
      </c>
      <c r="Q1633" s="99" t="s">
        <v>6862</v>
      </c>
      <c r="R1633" s="2" t="s">
        <v>7183</v>
      </c>
    </row>
    <row r="1634" spans="1:18">
      <c r="A1634" s="71">
        <v>27</v>
      </c>
      <c r="B1634" s="2" t="s">
        <v>6012</v>
      </c>
      <c r="C1634" s="71">
        <v>46</v>
      </c>
      <c r="D1634" s="2" t="s">
        <v>7710</v>
      </c>
      <c r="E1634" s="74">
        <v>0</v>
      </c>
      <c r="F1634" s="71">
        <v>4</v>
      </c>
      <c r="G1634" s="2" t="s">
        <v>6904</v>
      </c>
      <c r="H1634" s="73" t="s">
        <v>7236</v>
      </c>
      <c r="I1634" s="100" t="s">
        <v>7937</v>
      </c>
      <c r="J1634" s="2" t="s">
        <v>24</v>
      </c>
      <c r="K1634" s="2" t="s">
        <v>116</v>
      </c>
      <c r="L1634" s="16" t="s">
        <v>6906</v>
      </c>
      <c r="M1634" s="2" t="s">
        <v>24</v>
      </c>
      <c r="N1634" s="2" t="s">
        <v>116</v>
      </c>
      <c r="O1634" s="16" t="s">
        <v>6906</v>
      </c>
      <c r="P1634" s="51">
        <v>0</v>
      </c>
      <c r="Q1634" s="99" t="s">
        <v>6907</v>
      </c>
    </row>
    <row r="1635" spans="1:18">
      <c r="A1635" s="71">
        <v>27</v>
      </c>
      <c r="B1635" s="2" t="s">
        <v>6012</v>
      </c>
      <c r="C1635" s="71">
        <v>46</v>
      </c>
      <c r="D1635" s="2" t="s">
        <v>7710</v>
      </c>
      <c r="E1635" s="74">
        <v>0</v>
      </c>
      <c r="F1635" s="71">
        <v>5</v>
      </c>
      <c r="G1635" s="2" t="s">
        <v>6660</v>
      </c>
      <c r="H1635" s="73" t="s">
        <v>7237</v>
      </c>
      <c r="I1635" s="100" t="s">
        <v>7938</v>
      </c>
      <c r="J1635" s="2" t="s">
        <v>24</v>
      </c>
      <c r="K1635" s="2" t="s">
        <v>133</v>
      </c>
      <c r="L1635" s="16"/>
      <c r="M1635" s="2" t="s">
        <v>24</v>
      </c>
      <c r="N1635" s="2" t="s">
        <v>133</v>
      </c>
      <c r="O1635" s="16"/>
      <c r="P1635" s="51">
        <v>0</v>
      </c>
      <c r="Q1635" s="99" t="s">
        <v>6908</v>
      </c>
    </row>
    <row r="1636" spans="1:18">
      <c r="A1636" s="71">
        <v>27</v>
      </c>
      <c r="B1636" s="2" t="s">
        <v>6012</v>
      </c>
      <c r="C1636" s="71">
        <v>46</v>
      </c>
      <c r="D1636" s="2" t="s">
        <v>7710</v>
      </c>
      <c r="E1636" s="74">
        <v>0</v>
      </c>
      <c r="F1636" s="71">
        <v>6</v>
      </c>
      <c r="G1636" s="2" t="s">
        <v>6860</v>
      </c>
      <c r="H1636" s="73" t="s">
        <v>7238</v>
      </c>
      <c r="I1636" s="100" t="s">
        <v>7939</v>
      </c>
      <c r="J1636" s="2" t="s">
        <v>24</v>
      </c>
      <c r="K1636" s="2" t="s">
        <v>263</v>
      </c>
      <c r="L1636" s="16"/>
      <c r="M1636" s="2" t="s">
        <v>24</v>
      </c>
      <c r="N1636" s="2" t="s">
        <v>263</v>
      </c>
      <c r="O1636" s="16"/>
      <c r="P1636" s="51">
        <v>0</v>
      </c>
      <c r="Q1636" s="99" t="s">
        <v>6909</v>
      </c>
    </row>
    <row r="1637" spans="1:18">
      <c r="A1637" s="71">
        <v>27</v>
      </c>
      <c r="B1637" s="2" t="s">
        <v>6012</v>
      </c>
      <c r="C1637" s="71">
        <v>46</v>
      </c>
      <c r="D1637" s="2" t="s">
        <v>7710</v>
      </c>
      <c r="E1637" s="74">
        <v>0</v>
      </c>
      <c r="F1637" s="71">
        <v>7</v>
      </c>
      <c r="G1637" s="2" t="s">
        <v>2392</v>
      </c>
      <c r="H1637" s="73" t="s">
        <v>7239</v>
      </c>
      <c r="I1637" s="100" t="s">
        <v>7940</v>
      </c>
      <c r="J1637" s="2" t="s">
        <v>24</v>
      </c>
      <c r="K1637" s="2" t="s">
        <v>116</v>
      </c>
      <c r="L1637" s="16" t="s">
        <v>6910</v>
      </c>
      <c r="M1637" s="2" t="s">
        <v>24</v>
      </c>
      <c r="N1637" s="2" t="s">
        <v>116</v>
      </c>
      <c r="O1637" s="16" t="s">
        <v>6910</v>
      </c>
      <c r="P1637" s="51">
        <v>0</v>
      </c>
      <c r="Q1637" s="99" t="s">
        <v>7231</v>
      </c>
    </row>
    <row r="1638" spans="1:18">
      <c r="A1638" s="71">
        <v>27</v>
      </c>
      <c r="B1638" s="2" t="s">
        <v>6012</v>
      </c>
      <c r="C1638" s="71">
        <v>47</v>
      </c>
      <c r="D1638" s="2" t="s">
        <v>7711</v>
      </c>
      <c r="E1638" s="74">
        <v>0</v>
      </c>
      <c r="F1638" s="71">
        <v>0</v>
      </c>
      <c r="G1638" s="2" t="s">
        <v>20</v>
      </c>
      <c r="H1638" s="73" t="s">
        <v>7291</v>
      </c>
      <c r="I1638" s="76" t="s">
        <v>7941</v>
      </c>
      <c r="J1638" s="2" t="s">
        <v>24</v>
      </c>
      <c r="K1638" s="2" t="s">
        <v>25</v>
      </c>
      <c r="L1638" s="2" t="s">
        <v>26</v>
      </c>
      <c r="M1638" s="2" t="s">
        <v>24</v>
      </c>
      <c r="N1638" s="2" t="s">
        <v>25</v>
      </c>
      <c r="O1638" s="2" t="s">
        <v>26</v>
      </c>
      <c r="P1638" s="51">
        <v>0</v>
      </c>
      <c r="Q1638" s="1" t="s">
        <v>7242</v>
      </c>
    </row>
    <row r="1639" spans="1:18">
      <c r="A1639" s="71">
        <v>27</v>
      </c>
      <c r="B1639" s="2" t="s">
        <v>6012</v>
      </c>
      <c r="C1639" s="71">
        <v>47</v>
      </c>
      <c r="D1639" s="2" t="s">
        <v>7711</v>
      </c>
      <c r="E1639" s="74">
        <v>0</v>
      </c>
      <c r="F1639" s="71">
        <v>1</v>
      </c>
      <c r="G1639" s="2" t="s">
        <v>6035</v>
      </c>
      <c r="H1639" s="73" t="s">
        <v>7292</v>
      </c>
      <c r="I1639" s="100" t="s">
        <v>7942</v>
      </c>
      <c r="J1639" s="2" t="s">
        <v>24</v>
      </c>
      <c r="K1639" s="2" t="s">
        <v>25</v>
      </c>
      <c r="L1639" s="2" t="s">
        <v>6037</v>
      </c>
      <c r="M1639" s="2" t="s">
        <v>24</v>
      </c>
      <c r="N1639" s="2" t="s">
        <v>25</v>
      </c>
      <c r="O1639" s="2" t="s">
        <v>6037</v>
      </c>
      <c r="P1639" s="51">
        <v>0</v>
      </c>
      <c r="Q1639" s="99" t="s">
        <v>6038</v>
      </c>
    </row>
    <row r="1640" spans="1:18">
      <c r="A1640" s="71">
        <v>27</v>
      </c>
      <c r="B1640" s="2" t="s">
        <v>6012</v>
      </c>
      <c r="C1640" s="71">
        <v>47</v>
      </c>
      <c r="D1640" s="2" t="s">
        <v>7711</v>
      </c>
      <c r="E1640" s="74">
        <v>0</v>
      </c>
      <c r="F1640" s="71">
        <v>2</v>
      </c>
      <c r="G1640" s="2" t="s">
        <v>6090</v>
      </c>
      <c r="H1640" s="73" t="s">
        <v>7293</v>
      </c>
      <c r="I1640" s="100" t="s">
        <v>7943</v>
      </c>
      <c r="J1640" s="2" t="s">
        <v>24</v>
      </c>
      <c r="K1640" s="2" t="s">
        <v>23</v>
      </c>
      <c r="M1640" s="2" t="s">
        <v>24</v>
      </c>
      <c r="N1640" s="2" t="s">
        <v>23</v>
      </c>
      <c r="P1640" s="51">
        <v>0</v>
      </c>
      <c r="Q1640" s="99" t="s">
        <v>7182</v>
      </c>
    </row>
    <row r="1641" spans="1:18">
      <c r="A1641" s="71">
        <v>27</v>
      </c>
      <c r="B1641" s="2" t="s">
        <v>6012</v>
      </c>
      <c r="C1641" s="71">
        <v>47</v>
      </c>
      <c r="D1641" s="2" t="s">
        <v>7711</v>
      </c>
      <c r="E1641" s="74">
        <v>0</v>
      </c>
      <c r="F1641" s="71">
        <v>3</v>
      </c>
      <c r="G1641" s="2" t="s">
        <v>7180</v>
      </c>
      <c r="H1641" s="73" t="s">
        <v>7294</v>
      </c>
      <c r="I1641" s="100" t="s">
        <v>7944</v>
      </c>
      <c r="J1641" s="2" t="s">
        <v>24</v>
      </c>
      <c r="K1641" s="2" t="s">
        <v>23</v>
      </c>
      <c r="M1641" s="2" t="s">
        <v>24</v>
      </c>
      <c r="N1641" s="2" t="s">
        <v>23</v>
      </c>
      <c r="P1641" s="51">
        <v>0</v>
      </c>
      <c r="Q1641" s="99" t="s">
        <v>6862</v>
      </c>
      <c r="R1641" s="2" t="s">
        <v>7183</v>
      </c>
    </row>
    <row r="1642" spans="1:18">
      <c r="A1642" s="71">
        <v>27</v>
      </c>
      <c r="B1642" s="2" t="s">
        <v>6012</v>
      </c>
      <c r="C1642" s="71">
        <v>47</v>
      </c>
      <c r="D1642" s="2" t="s">
        <v>7711</v>
      </c>
      <c r="E1642" s="74">
        <v>0</v>
      </c>
      <c r="F1642" s="71">
        <v>4</v>
      </c>
      <c r="G1642" s="2" t="s">
        <v>6933</v>
      </c>
      <c r="H1642" s="73" t="s">
        <v>7295</v>
      </c>
      <c r="I1642" s="100" t="s">
        <v>7945</v>
      </c>
      <c r="J1642" s="2" t="s">
        <v>24</v>
      </c>
      <c r="K1642" s="2" t="s">
        <v>25</v>
      </c>
      <c r="L1642" s="2" t="s">
        <v>6944</v>
      </c>
      <c r="M1642" s="2" t="s">
        <v>24</v>
      </c>
      <c r="N1642" s="2" t="s">
        <v>25</v>
      </c>
      <c r="O1642" s="2" t="s">
        <v>6944</v>
      </c>
      <c r="P1642" s="51">
        <v>0</v>
      </c>
      <c r="Q1642" s="99" t="s">
        <v>7243</v>
      </c>
    </row>
    <row r="1643" spans="1:18">
      <c r="A1643" s="71">
        <v>27</v>
      </c>
      <c r="B1643" s="2" t="s">
        <v>6012</v>
      </c>
      <c r="C1643" s="71">
        <v>47</v>
      </c>
      <c r="D1643" s="2" t="s">
        <v>7711</v>
      </c>
      <c r="E1643" s="74">
        <v>0</v>
      </c>
      <c r="F1643" s="71">
        <v>5</v>
      </c>
      <c r="G1643" s="2" t="s">
        <v>6934</v>
      </c>
      <c r="H1643" s="73" t="s">
        <v>7296</v>
      </c>
      <c r="I1643" s="100" t="s">
        <v>7946</v>
      </c>
      <c r="J1643" s="2" t="s">
        <v>24</v>
      </c>
      <c r="K1643" s="2" t="s">
        <v>25</v>
      </c>
      <c r="L1643" s="2" t="s">
        <v>6946</v>
      </c>
      <c r="M1643" s="2" t="s">
        <v>24</v>
      </c>
      <c r="N1643" s="2" t="s">
        <v>25</v>
      </c>
      <c r="O1643" s="2" t="s">
        <v>6946</v>
      </c>
      <c r="P1643" s="51">
        <v>0</v>
      </c>
      <c r="Q1643" s="99" t="s">
        <v>7244</v>
      </c>
    </row>
    <row r="1644" spans="1:18">
      <c r="A1644" s="71">
        <v>27</v>
      </c>
      <c r="B1644" s="2" t="s">
        <v>6012</v>
      </c>
      <c r="C1644" s="71">
        <v>47</v>
      </c>
      <c r="D1644" s="2" t="s">
        <v>7711</v>
      </c>
      <c r="E1644" s="74">
        <v>0</v>
      </c>
      <c r="F1644" s="71">
        <v>6</v>
      </c>
      <c r="G1644" s="2" t="s">
        <v>6935</v>
      </c>
      <c r="H1644" s="73" t="s">
        <v>7297</v>
      </c>
      <c r="I1644" s="100" t="s">
        <v>7947</v>
      </c>
      <c r="J1644" s="2" t="s">
        <v>24</v>
      </c>
      <c r="K1644" s="2" t="s">
        <v>25</v>
      </c>
      <c r="L1644" s="2" t="s">
        <v>6944</v>
      </c>
      <c r="M1644" s="2" t="s">
        <v>24</v>
      </c>
      <c r="N1644" s="2" t="s">
        <v>25</v>
      </c>
      <c r="O1644" s="2" t="s">
        <v>6944</v>
      </c>
      <c r="P1644" s="51">
        <v>0</v>
      </c>
      <c r="Q1644" s="99" t="s">
        <v>7245</v>
      </c>
    </row>
    <row r="1645" spans="1:18">
      <c r="A1645" s="71">
        <v>27</v>
      </c>
      <c r="B1645" s="2" t="s">
        <v>6012</v>
      </c>
      <c r="C1645" s="71">
        <v>47</v>
      </c>
      <c r="D1645" s="2" t="s">
        <v>7711</v>
      </c>
      <c r="E1645" s="74">
        <v>0</v>
      </c>
      <c r="F1645" s="71">
        <v>7</v>
      </c>
      <c r="G1645" s="2" t="s">
        <v>6936</v>
      </c>
      <c r="H1645" s="73" t="s">
        <v>7298</v>
      </c>
      <c r="I1645" s="100" t="s">
        <v>7948</v>
      </c>
      <c r="J1645" s="2" t="s">
        <v>24</v>
      </c>
      <c r="K1645" s="2" t="s">
        <v>25</v>
      </c>
      <c r="L1645" s="2" t="s">
        <v>6946</v>
      </c>
      <c r="M1645" s="2" t="s">
        <v>24</v>
      </c>
      <c r="N1645" s="2" t="s">
        <v>25</v>
      </c>
      <c r="O1645" s="2" t="s">
        <v>6946</v>
      </c>
      <c r="P1645" s="51">
        <v>0</v>
      </c>
      <c r="Q1645" s="99" t="s">
        <v>7246</v>
      </c>
    </row>
    <row r="1646" spans="1:18">
      <c r="A1646" s="71">
        <v>27</v>
      </c>
      <c r="B1646" s="2" t="s">
        <v>6012</v>
      </c>
      <c r="C1646" s="71">
        <v>47</v>
      </c>
      <c r="D1646" s="2" t="s">
        <v>7711</v>
      </c>
      <c r="E1646" s="74">
        <v>0</v>
      </c>
      <c r="F1646" s="71">
        <v>8</v>
      </c>
      <c r="G1646" s="2" t="s">
        <v>6937</v>
      </c>
      <c r="H1646" s="73" t="s">
        <v>7299</v>
      </c>
      <c r="I1646" s="100" t="s">
        <v>7949</v>
      </c>
      <c r="J1646" s="2" t="s">
        <v>24</v>
      </c>
      <c r="K1646" s="2" t="s">
        <v>25</v>
      </c>
      <c r="L1646" s="2" t="s">
        <v>6944</v>
      </c>
      <c r="M1646" s="2" t="s">
        <v>24</v>
      </c>
      <c r="N1646" s="2" t="s">
        <v>25</v>
      </c>
      <c r="O1646" s="2" t="s">
        <v>6944</v>
      </c>
      <c r="P1646" s="51">
        <v>0</v>
      </c>
      <c r="Q1646" s="99" t="s">
        <v>7247</v>
      </c>
    </row>
    <row r="1647" spans="1:18">
      <c r="A1647" s="71">
        <v>27</v>
      </c>
      <c r="B1647" s="2" t="s">
        <v>6012</v>
      </c>
      <c r="C1647" s="71">
        <v>47</v>
      </c>
      <c r="D1647" s="2" t="s">
        <v>7711</v>
      </c>
      <c r="E1647" s="74">
        <v>0</v>
      </c>
      <c r="F1647" s="71">
        <v>9</v>
      </c>
      <c r="G1647" s="2" t="s">
        <v>6938</v>
      </c>
      <c r="H1647" s="73" t="s">
        <v>7300</v>
      </c>
      <c r="I1647" s="100" t="s">
        <v>7950</v>
      </c>
      <c r="J1647" s="2" t="s">
        <v>24</v>
      </c>
      <c r="K1647" s="2" t="s">
        <v>25</v>
      </c>
      <c r="L1647" s="2" t="s">
        <v>6946</v>
      </c>
      <c r="M1647" s="2" t="s">
        <v>24</v>
      </c>
      <c r="N1647" s="2" t="s">
        <v>25</v>
      </c>
      <c r="O1647" s="2" t="s">
        <v>6946</v>
      </c>
      <c r="P1647" s="51">
        <v>0</v>
      </c>
      <c r="Q1647" s="99" t="s">
        <v>6951</v>
      </c>
    </row>
    <row r="1648" spans="1:18">
      <c r="A1648" s="71">
        <v>27</v>
      </c>
      <c r="B1648" s="2" t="s">
        <v>6012</v>
      </c>
      <c r="C1648" s="71">
        <v>47</v>
      </c>
      <c r="D1648" s="2" t="s">
        <v>7711</v>
      </c>
      <c r="E1648" s="74">
        <v>0</v>
      </c>
      <c r="F1648" s="71">
        <v>10</v>
      </c>
      <c r="G1648" s="2" t="s">
        <v>6939</v>
      </c>
      <c r="H1648" s="73" t="s">
        <v>7301</v>
      </c>
      <c r="I1648" s="100" t="s">
        <v>7951</v>
      </c>
      <c r="J1648" s="2" t="s">
        <v>24</v>
      </c>
      <c r="K1648" s="2" t="s">
        <v>25</v>
      </c>
      <c r="L1648" s="2" t="s">
        <v>6944</v>
      </c>
      <c r="M1648" s="2" t="s">
        <v>24</v>
      </c>
      <c r="N1648" s="2" t="s">
        <v>25</v>
      </c>
      <c r="O1648" s="2" t="s">
        <v>6944</v>
      </c>
      <c r="P1648" s="51">
        <v>0</v>
      </c>
      <c r="Q1648" s="99" t="s">
        <v>6952</v>
      </c>
    </row>
    <row r="1649" spans="1:18">
      <c r="A1649" s="71">
        <v>27</v>
      </c>
      <c r="B1649" s="2" t="s">
        <v>6012</v>
      </c>
      <c r="C1649" s="71">
        <v>47</v>
      </c>
      <c r="D1649" s="2" t="s">
        <v>7711</v>
      </c>
      <c r="E1649" s="74">
        <v>0</v>
      </c>
      <c r="F1649" s="71">
        <v>11</v>
      </c>
      <c r="G1649" s="2" t="s">
        <v>6940</v>
      </c>
      <c r="H1649" s="73" t="s">
        <v>7302</v>
      </c>
      <c r="I1649" s="100" t="s">
        <v>7952</v>
      </c>
      <c r="J1649" s="2" t="s">
        <v>24</v>
      </c>
      <c r="K1649" s="2" t="s">
        <v>25</v>
      </c>
      <c r="L1649" s="2" t="s">
        <v>6946</v>
      </c>
      <c r="M1649" s="2" t="s">
        <v>24</v>
      </c>
      <c r="N1649" s="2" t="s">
        <v>25</v>
      </c>
      <c r="O1649" s="2" t="s">
        <v>6946</v>
      </c>
      <c r="P1649" s="51">
        <v>0</v>
      </c>
      <c r="Q1649" s="99" t="s">
        <v>6953</v>
      </c>
    </row>
    <row r="1650" spans="1:18">
      <c r="A1650" s="71">
        <v>27</v>
      </c>
      <c r="B1650" s="2" t="s">
        <v>6012</v>
      </c>
      <c r="C1650" s="71">
        <v>47</v>
      </c>
      <c r="D1650" s="2" t="s">
        <v>7711</v>
      </c>
      <c r="E1650" s="74">
        <v>0</v>
      </c>
      <c r="F1650" s="71">
        <v>12</v>
      </c>
      <c r="G1650" s="2" t="s">
        <v>6941</v>
      </c>
      <c r="H1650" s="73" t="s">
        <v>7303</v>
      </c>
      <c r="I1650" s="100" t="s">
        <v>7953</v>
      </c>
      <c r="J1650" s="2" t="s">
        <v>24</v>
      </c>
      <c r="K1650" s="2" t="s">
        <v>25</v>
      </c>
      <c r="L1650" s="2" t="s">
        <v>6944</v>
      </c>
      <c r="M1650" s="2" t="s">
        <v>24</v>
      </c>
      <c r="N1650" s="2" t="s">
        <v>25</v>
      </c>
      <c r="O1650" s="2" t="s">
        <v>6944</v>
      </c>
      <c r="P1650" s="51">
        <v>0</v>
      </c>
      <c r="Q1650" s="99" t="s">
        <v>6954</v>
      </c>
    </row>
    <row r="1651" spans="1:18">
      <c r="A1651" s="71">
        <v>27</v>
      </c>
      <c r="B1651" s="2" t="s">
        <v>6012</v>
      </c>
      <c r="C1651" s="71">
        <v>47</v>
      </c>
      <c r="D1651" s="2" t="s">
        <v>7711</v>
      </c>
      <c r="E1651" s="74">
        <v>0</v>
      </c>
      <c r="F1651" s="71">
        <v>13</v>
      </c>
      <c r="G1651" s="2" t="s">
        <v>6942</v>
      </c>
      <c r="H1651" s="73" t="s">
        <v>7304</v>
      </c>
      <c r="I1651" s="100" t="s">
        <v>7954</v>
      </c>
      <c r="J1651" s="2" t="s">
        <v>24</v>
      </c>
      <c r="K1651" s="2" t="s">
        <v>25</v>
      </c>
      <c r="L1651" s="2" t="s">
        <v>6946</v>
      </c>
      <c r="M1651" s="2" t="s">
        <v>24</v>
      </c>
      <c r="N1651" s="2" t="s">
        <v>25</v>
      </c>
      <c r="O1651" s="2" t="s">
        <v>6946</v>
      </c>
      <c r="P1651" s="51">
        <v>0</v>
      </c>
      <c r="Q1651" s="99" t="s">
        <v>6955</v>
      </c>
    </row>
    <row r="1652" spans="1:18">
      <c r="A1652" s="71">
        <v>27</v>
      </c>
      <c r="B1652" s="2" t="s">
        <v>6012</v>
      </c>
      <c r="C1652" s="71">
        <v>47</v>
      </c>
      <c r="D1652" s="2" t="s">
        <v>7711</v>
      </c>
      <c r="E1652" s="74">
        <v>0</v>
      </c>
      <c r="F1652" s="71">
        <v>14</v>
      </c>
      <c r="G1652" s="2" t="s">
        <v>7240</v>
      </c>
      <c r="H1652" s="73" t="s">
        <v>7305</v>
      </c>
      <c r="I1652" s="100" t="s">
        <v>7955</v>
      </c>
      <c r="J1652" s="2" t="s">
        <v>24</v>
      </c>
      <c r="K1652" s="2" t="s">
        <v>25</v>
      </c>
      <c r="L1652" s="2" t="s">
        <v>6944</v>
      </c>
      <c r="M1652" s="2" t="s">
        <v>24</v>
      </c>
      <c r="N1652" s="2" t="s">
        <v>25</v>
      </c>
      <c r="O1652" s="2" t="s">
        <v>6944</v>
      </c>
      <c r="P1652" s="51">
        <v>0</v>
      </c>
      <c r="Q1652" s="99" t="s">
        <v>7248</v>
      </c>
    </row>
    <row r="1653" spans="1:18">
      <c r="A1653" s="71">
        <v>27</v>
      </c>
      <c r="B1653" s="2" t="s">
        <v>6012</v>
      </c>
      <c r="C1653" s="71">
        <v>47</v>
      </c>
      <c r="D1653" s="2" t="s">
        <v>7711</v>
      </c>
      <c r="E1653" s="74">
        <v>0</v>
      </c>
      <c r="F1653" s="71">
        <v>15</v>
      </c>
      <c r="G1653" s="2" t="s">
        <v>7241</v>
      </c>
      <c r="H1653" s="73" t="s">
        <v>7306</v>
      </c>
      <c r="I1653" s="100" t="s">
        <v>7956</v>
      </c>
      <c r="J1653" s="2" t="s">
        <v>24</v>
      </c>
      <c r="K1653" s="2" t="s">
        <v>25</v>
      </c>
      <c r="L1653" s="2" t="s">
        <v>6946</v>
      </c>
      <c r="M1653" s="2" t="s">
        <v>24</v>
      </c>
      <c r="N1653" s="2" t="s">
        <v>25</v>
      </c>
      <c r="O1653" s="2" t="s">
        <v>6946</v>
      </c>
      <c r="P1653" s="51">
        <v>0</v>
      </c>
      <c r="Q1653" s="107" t="s">
        <v>7249</v>
      </c>
    </row>
    <row r="1654" spans="1:18">
      <c r="A1654" s="71">
        <v>27</v>
      </c>
      <c r="B1654" s="2" t="s">
        <v>6012</v>
      </c>
      <c r="C1654" s="71">
        <v>48</v>
      </c>
      <c r="D1654" s="2" t="s">
        <v>7712</v>
      </c>
      <c r="E1654" s="74">
        <v>0</v>
      </c>
      <c r="F1654" s="71">
        <v>0</v>
      </c>
      <c r="G1654" s="2" t="s">
        <v>20</v>
      </c>
      <c r="H1654" s="73" t="s">
        <v>7307</v>
      </c>
      <c r="I1654" s="76" t="s">
        <v>7957</v>
      </c>
      <c r="J1654" s="2" t="s">
        <v>24</v>
      </c>
      <c r="K1654" s="2" t="s">
        <v>25</v>
      </c>
      <c r="L1654" s="2" t="s">
        <v>26</v>
      </c>
      <c r="M1654" s="2" t="s">
        <v>24</v>
      </c>
      <c r="N1654" s="2" t="s">
        <v>25</v>
      </c>
      <c r="O1654" s="2" t="s">
        <v>26</v>
      </c>
      <c r="P1654" s="51">
        <v>0</v>
      </c>
      <c r="Q1654" s="1" t="s">
        <v>7250</v>
      </c>
      <c r="R1654" s="2" t="s">
        <v>6959</v>
      </c>
    </row>
    <row r="1655" spans="1:18">
      <c r="A1655" s="71">
        <v>27</v>
      </c>
      <c r="B1655" s="2" t="s">
        <v>6012</v>
      </c>
      <c r="C1655" s="71">
        <v>48</v>
      </c>
      <c r="D1655" s="2" t="s">
        <v>7712</v>
      </c>
      <c r="E1655" s="74">
        <v>0</v>
      </c>
      <c r="F1655" s="71">
        <v>1</v>
      </c>
      <c r="G1655" s="2" t="s">
        <v>6035</v>
      </c>
      <c r="H1655" s="73" t="s">
        <v>7308</v>
      </c>
      <c r="I1655" s="100" t="s">
        <v>7958</v>
      </c>
      <c r="J1655" s="2" t="s">
        <v>24</v>
      </c>
      <c r="K1655" s="2" t="s">
        <v>25</v>
      </c>
      <c r="L1655" s="2" t="s">
        <v>6037</v>
      </c>
      <c r="M1655" s="2" t="s">
        <v>24</v>
      </c>
      <c r="N1655" s="2" t="s">
        <v>25</v>
      </c>
      <c r="O1655" s="2" t="s">
        <v>6037</v>
      </c>
      <c r="P1655" s="51">
        <v>0</v>
      </c>
      <c r="Q1655" s="99" t="s">
        <v>6038</v>
      </c>
    </row>
    <row r="1656" spans="1:18">
      <c r="A1656" s="71">
        <v>27</v>
      </c>
      <c r="B1656" s="2" t="s">
        <v>6012</v>
      </c>
      <c r="C1656" s="71">
        <v>48</v>
      </c>
      <c r="D1656" s="2" t="s">
        <v>7712</v>
      </c>
      <c r="E1656" s="74">
        <v>0</v>
      </c>
      <c r="F1656" s="71">
        <v>2</v>
      </c>
      <c r="G1656" s="2" t="s">
        <v>6090</v>
      </c>
      <c r="H1656" s="73" t="s">
        <v>7309</v>
      </c>
      <c r="I1656" s="100" t="s">
        <v>7959</v>
      </c>
      <c r="J1656" s="2" t="s">
        <v>24</v>
      </c>
      <c r="K1656" s="2" t="s">
        <v>23</v>
      </c>
      <c r="M1656" s="2" t="s">
        <v>24</v>
      </c>
      <c r="N1656" s="2" t="s">
        <v>23</v>
      </c>
      <c r="P1656" s="51">
        <v>0</v>
      </c>
      <c r="Q1656" s="99" t="s">
        <v>7182</v>
      </c>
    </row>
    <row r="1657" spans="1:18">
      <c r="A1657" s="71">
        <v>27</v>
      </c>
      <c r="B1657" s="2" t="s">
        <v>6012</v>
      </c>
      <c r="C1657" s="71">
        <v>48</v>
      </c>
      <c r="D1657" s="2" t="s">
        <v>7712</v>
      </c>
      <c r="E1657" s="74">
        <v>0</v>
      </c>
      <c r="F1657" s="71">
        <v>3</v>
      </c>
      <c r="G1657" s="2" t="s">
        <v>7180</v>
      </c>
      <c r="H1657" s="73" t="s">
        <v>7310</v>
      </c>
      <c r="I1657" s="100" t="s">
        <v>7960</v>
      </c>
      <c r="J1657" s="2" t="s">
        <v>24</v>
      </c>
      <c r="K1657" s="2" t="s">
        <v>23</v>
      </c>
      <c r="M1657" s="2" t="s">
        <v>24</v>
      </c>
      <c r="N1657" s="2" t="s">
        <v>23</v>
      </c>
      <c r="P1657" s="51">
        <v>0</v>
      </c>
      <c r="Q1657" s="99" t="s">
        <v>6862</v>
      </c>
      <c r="R1657" s="2" t="s">
        <v>7183</v>
      </c>
    </row>
    <row r="1658" spans="1:18">
      <c r="A1658" s="71">
        <v>27</v>
      </c>
      <c r="B1658" s="2" t="s">
        <v>6012</v>
      </c>
      <c r="C1658" s="71">
        <v>48</v>
      </c>
      <c r="D1658" s="2" t="s">
        <v>7712</v>
      </c>
      <c r="E1658" s="74">
        <v>0</v>
      </c>
      <c r="F1658" s="71">
        <v>4</v>
      </c>
      <c r="G1658" s="2" t="s">
        <v>6956</v>
      </c>
      <c r="H1658" s="73" t="s">
        <v>7311</v>
      </c>
      <c r="I1658" s="100" t="s">
        <v>7961</v>
      </c>
      <c r="J1658" s="2" t="s">
        <v>24</v>
      </c>
      <c r="K1658" s="2" t="s">
        <v>298</v>
      </c>
      <c r="M1658" s="2" t="s">
        <v>24</v>
      </c>
      <c r="N1658" s="2" t="s">
        <v>298</v>
      </c>
      <c r="P1658" s="51">
        <v>0</v>
      </c>
      <c r="Q1658" s="99" t="s">
        <v>7251</v>
      </c>
    </row>
    <row r="1659" spans="1:18">
      <c r="A1659" s="71">
        <v>27</v>
      </c>
      <c r="B1659" s="2" t="s">
        <v>6012</v>
      </c>
      <c r="C1659" s="71">
        <v>48</v>
      </c>
      <c r="D1659" s="2" t="s">
        <v>7712</v>
      </c>
      <c r="E1659" s="74">
        <v>0</v>
      </c>
      <c r="F1659" s="71">
        <v>5</v>
      </c>
      <c r="G1659" s="2" t="s">
        <v>6957</v>
      </c>
      <c r="H1659" s="73" t="s">
        <v>7312</v>
      </c>
      <c r="I1659" s="100" t="s">
        <v>7962</v>
      </c>
      <c r="J1659" s="2" t="s">
        <v>24</v>
      </c>
      <c r="K1659" s="2" t="s">
        <v>298</v>
      </c>
      <c r="M1659" s="2" t="s">
        <v>24</v>
      </c>
      <c r="N1659" s="2" t="s">
        <v>298</v>
      </c>
      <c r="P1659" s="51">
        <v>0</v>
      </c>
      <c r="Q1659" s="99" t="s">
        <v>7252</v>
      </c>
    </row>
    <row r="1660" spans="1:18">
      <c r="A1660" s="71">
        <v>27</v>
      </c>
      <c r="B1660" s="2" t="s">
        <v>6012</v>
      </c>
      <c r="C1660" s="71">
        <v>49</v>
      </c>
      <c r="D1660" s="2" t="s">
        <v>7713</v>
      </c>
      <c r="E1660" s="74">
        <v>0</v>
      </c>
      <c r="F1660" s="71">
        <v>0</v>
      </c>
      <c r="G1660" s="2" t="s">
        <v>20</v>
      </c>
      <c r="H1660" s="73" t="s">
        <v>7313</v>
      </c>
      <c r="I1660" s="76" t="s">
        <v>7963</v>
      </c>
      <c r="J1660" s="2" t="s">
        <v>24</v>
      </c>
      <c r="K1660" s="2" t="s">
        <v>25</v>
      </c>
      <c r="L1660" s="2" t="s">
        <v>26</v>
      </c>
      <c r="M1660" s="2" t="s">
        <v>24</v>
      </c>
      <c r="N1660" s="2" t="s">
        <v>25</v>
      </c>
      <c r="O1660" s="2" t="s">
        <v>26</v>
      </c>
      <c r="P1660" s="51">
        <v>0</v>
      </c>
      <c r="Q1660" s="1" t="s">
        <v>7253</v>
      </c>
      <c r="R1660" s="2" t="s">
        <v>6959</v>
      </c>
    </row>
    <row r="1661" spans="1:18">
      <c r="A1661" s="71">
        <v>27</v>
      </c>
      <c r="B1661" s="2" t="s">
        <v>6012</v>
      </c>
      <c r="C1661" s="71">
        <v>49</v>
      </c>
      <c r="D1661" s="2" t="s">
        <v>7713</v>
      </c>
      <c r="E1661" s="74">
        <v>0</v>
      </c>
      <c r="F1661" s="71">
        <v>1</v>
      </c>
      <c r="G1661" s="2" t="s">
        <v>6035</v>
      </c>
      <c r="H1661" s="73" t="s">
        <v>7314</v>
      </c>
      <c r="I1661" s="100" t="s">
        <v>7964</v>
      </c>
      <c r="J1661" s="2" t="s">
        <v>24</v>
      </c>
      <c r="K1661" s="2" t="s">
        <v>25</v>
      </c>
      <c r="L1661" s="2" t="s">
        <v>6037</v>
      </c>
      <c r="M1661" s="2" t="s">
        <v>24</v>
      </c>
      <c r="N1661" s="2" t="s">
        <v>25</v>
      </c>
      <c r="O1661" s="2" t="s">
        <v>6037</v>
      </c>
      <c r="P1661" s="51">
        <v>0</v>
      </c>
      <c r="Q1661" s="99" t="s">
        <v>6038</v>
      </c>
    </row>
    <row r="1662" spans="1:18">
      <c r="A1662" s="71">
        <v>27</v>
      </c>
      <c r="B1662" s="2" t="s">
        <v>6012</v>
      </c>
      <c r="C1662" s="71">
        <v>49</v>
      </c>
      <c r="D1662" s="2" t="s">
        <v>7713</v>
      </c>
      <c r="E1662" s="74">
        <v>0</v>
      </c>
      <c r="F1662" s="71">
        <v>2</v>
      </c>
      <c r="G1662" s="2" t="s">
        <v>6090</v>
      </c>
      <c r="H1662" s="73" t="s">
        <v>7315</v>
      </c>
      <c r="I1662" s="100" t="s">
        <v>7965</v>
      </c>
      <c r="J1662" s="2" t="s">
        <v>24</v>
      </c>
      <c r="K1662" s="2" t="s">
        <v>23</v>
      </c>
      <c r="M1662" s="2" t="s">
        <v>24</v>
      </c>
      <c r="N1662" s="2" t="s">
        <v>23</v>
      </c>
      <c r="P1662" s="51">
        <v>0</v>
      </c>
      <c r="Q1662" s="99" t="s">
        <v>7182</v>
      </c>
    </row>
    <row r="1663" spans="1:18">
      <c r="A1663" s="71">
        <v>27</v>
      </c>
      <c r="B1663" s="2" t="s">
        <v>6012</v>
      </c>
      <c r="C1663" s="71">
        <v>49</v>
      </c>
      <c r="D1663" s="2" t="s">
        <v>7713</v>
      </c>
      <c r="E1663" s="74">
        <v>0</v>
      </c>
      <c r="F1663" s="71">
        <v>3</v>
      </c>
      <c r="G1663" s="2" t="s">
        <v>7180</v>
      </c>
      <c r="H1663" s="73" t="s">
        <v>7316</v>
      </c>
      <c r="I1663" s="100" t="s">
        <v>7966</v>
      </c>
      <c r="J1663" s="2" t="s">
        <v>24</v>
      </c>
      <c r="K1663" s="2" t="s">
        <v>23</v>
      </c>
      <c r="M1663" s="2" t="s">
        <v>24</v>
      </c>
      <c r="N1663" s="2" t="s">
        <v>23</v>
      </c>
      <c r="P1663" s="51">
        <v>0</v>
      </c>
      <c r="Q1663" s="99" t="s">
        <v>6862</v>
      </c>
      <c r="R1663" s="2" t="s">
        <v>7183</v>
      </c>
    </row>
    <row r="1664" spans="1:18">
      <c r="A1664" s="71">
        <v>27</v>
      </c>
      <c r="B1664" s="2" t="s">
        <v>6012</v>
      </c>
      <c r="C1664" s="71">
        <v>49</v>
      </c>
      <c r="D1664" s="2" t="s">
        <v>7713</v>
      </c>
      <c r="E1664" s="74">
        <v>0</v>
      </c>
      <c r="F1664" s="71">
        <v>4</v>
      </c>
      <c r="G1664" s="2" t="s">
        <v>6956</v>
      </c>
      <c r="H1664" s="73" t="s">
        <v>7317</v>
      </c>
      <c r="I1664" s="100" t="s">
        <v>7967</v>
      </c>
      <c r="J1664" s="2" t="s">
        <v>24</v>
      </c>
      <c r="K1664" s="2" t="s">
        <v>298</v>
      </c>
      <c r="M1664" s="2" t="s">
        <v>24</v>
      </c>
      <c r="N1664" s="2" t="s">
        <v>298</v>
      </c>
      <c r="P1664" s="51">
        <v>0</v>
      </c>
      <c r="Q1664" s="99" t="s">
        <v>7254</v>
      </c>
    </row>
    <row r="1665" spans="1:18">
      <c r="A1665" s="71">
        <v>27</v>
      </c>
      <c r="B1665" s="2" t="s">
        <v>6012</v>
      </c>
      <c r="C1665" s="71">
        <v>49</v>
      </c>
      <c r="D1665" s="2" t="s">
        <v>7713</v>
      </c>
      <c r="E1665" s="74">
        <v>0</v>
      </c>
      <c r="F1665" s="71">
        <v>5</v>
      </c>
      <c r="G1665" s="2" t="s">
        <v>6957</v>
      </c>
      <c r="H1665" s="73" t="s">
        <v>7318</v>
      </c>
      <c r="I1665" s="100" t="s">
        <v>7968</v>
      </c>
      <c r="J1665" s="2" t="s">
        <v>24</v>
      </c>
      <c r="K1665" s="2" t="s">
        <v>298</v>
      </c>
      <c r="M1665" s="2" t="s">
        <v>24</v>
      </c>
      <c r="N1665" s="2" t="s">
        <v>298</v>
      </c>
      <c r="P1665" s="51">
        <v>0</v>
      </c>
      <c r="Q1665" s="99" t="s">
        <v>7255</v>
      </c>
    </row>
    <row r="1666" spans="1:18">
      <c r="A1666" s="71">
        <v>27</v>
      </c>
      <c r="B1666" s="2" t="s">
        <v>6012</v>
      </c>
      <c r="C1666" s="71">
        <v>50</v>
      </c>
      <c r="D1666" s="2" t="s">
        <v>7714</v>
      </c>
      <c r="E1666" s="74">
        <v>0</v>
      </c>
      <c r="F1666" s="71">
        <v>0</v>
      </c>
      <c r="G1666" s="2" t="s">
        <v>20</v>
      </c>
      <c r="H1666" s="73" t="s">
        <v>7319</v>
      </c>
      <c r="I1666" s="76" t="s">
        <v>7969</v>
      </c>
      <c r="J1666" s="2" t="s">
        <v>24</v>
      </c>
      <c r="K1666" s="2" t="s">
        <v>25</v>
      </c>
      <c r="L1666" s="2" t="s">
        <v>26</v>
      </c>
      <c r="M1666" s="2" t="s">
        <v>24</v>
      </c>
      <c r="N1666" s="2" t="s">
        <v>25</v>
      </c>
      <c r="O1666" s="2" t="s">
        <v>26</v>
      </c>
      <c r="P1666" s="51">
        <v>0</v>
      </c>
      <c r="Q1666" s="1" t="s">
        <v>7256</v>
      </c>
      <c r="R1666" s="2" t="s">
        <v>6959</v>
      </c>
    </row>
    <row r="1667" spans="1:18">
      <c r="A1667" s="71">
        <v>27</v>
      </c>
      <c r="B1667" s="2" t="s">
        <v>6012</v>
      </c>
      <c r="C1667" s="71">
        <v>50</v>
      </c>
      <c r="D1667" s="2" t="s">
        <v>7714</v>
      </c>
      <c r="E1667" s="74">
        <v>0</v>
      </c>
      <c r="F1667" s="71">
        <v>1</v>
      </c>
      <c r="G1667" s="2" t="s">
        <v>6035</v>
      </c>
      <c r="H1667" s="73" t="s">
        <v>7320</v>
      </c>
      <c r="I1667" s="100" t="s">
        <v>7970</v>
      </c>
      <c r="J1667" s="2" t="s">
        <v>24</v>
      </c>
      <c r="K1667" s="2" t="s">
        <v>25</v>
      </c>
      <c r="L1667" s="2" t="s">
        <v>6037</v>
      </c>
      <c r="M1667" s="2" t="s">
        <v>24</v>
      </c>
      <c r="N1667" s="2" t="s">
        <v>25</v>
      </c>
      <c r="O1667" s="2" t="s">
        <v>6037</v>
      </c>
      <c r="P1667" s="51">
        <v>0</v>
      </c>
      <c r="Q1667" s="99" t="s">
        <v>6038</v>
      </c>
    </row>
    <row r="1668" spans="1:18">
      <c r="A1668" s="71">
        <v>27</v>
      </c>
      <c r="B1668" s="2" t="s">
        <v>6012</v>
      </c>
      <c r="C1668" s="71">
        <v>50</v>
      </c>
      <c r="D1668" s="2" t="s">
        <v>7714</v>
      </c>
      <c r="E1668" s="74">
        <v>0</v>
      </c>
      <c r="F1668" s="71">
        <v>2</v>
      </c>
      <c r="G1668" s="2" t="s">
        <v>6090</v>
      </c>
      <c r="H1668" s="73" t="s">
        <v>7321</v>
      </c>
      <c r="I1668" s="100" t="s">
        <v>7971</v>
      </c>
      <c r="J1668" s="2" t="s">
        <v>24</v>
      </c>
      <c r="K1668" s="2" t="s">
        <v>23</v>
      </c>
      <c r="M1668" s="2" t="s">
        <v>24</v>
      </c>
      <c r="N1668" s="2" t="s">
        <v>23</v>
      </c>
      <c r="P1668" s="51">
        <v>0</v>
      </c>
      <c r="Q1668" s="99" t="s">
        <v>7182</v>
      </c>
    </row>
    <row r="1669" spans="1:18">
      <c r="A1669" s="71">
        <v>27</v>
      </c>
      <c r="B1669" s="2" t="s">
        <v>6012</v>
      </c>
      <c r="C1669" s="71">
        <v>50</v>
      </c>
      <c r="D1669" s="2" t="s">
        <v>7714</v>
      </c>
      <c r="E1669" s="74">
        <v>0</v>
      </c>
      <c r="F1669" s="71">
        <v>3</v>
      </c>
      <c r="G1669" s="2" t="s">
        <v>7180</v>
      </c>
      <c r="H1669" s="73" t="s">
        <v>7322</v>
      </c>
      <c r="I1669" s="100" t="s">
        <v>7972</v>
      </c>
      <c r="J1669" s="2" t="s">
        <v>24</v>
      </c>
      <c r="K1669" s="2" t="s">
        <v>23</v>
      </c>
      <c r="M1669" s="2" t="s">
        <v>24</v>
      </c>
      <c r="N1669" s="2" t="s">
        <v>23</v>
      </c>
      <c r="P1669" s="51">
        <v>0</v>
      </c>
      <c r="Q1669" s="99" t="s">
        <v>6862</v>
      </c>
      <c r="R1669" s="2" t="s">
        <v>7183</v>
      </c>
    </row>
    <row r="1670" spans="1:18">
      <c r="A1670" s="71">
        <v>27</v>
      </c>
      <c r="B1670" s="2" t="s">
        <v>6012</v>
      </c>
      <c r="C1670" s="71">
        <v>50</v>
      </c>
      <c r="D1670" s="2" t="s">
        <v>7714</v>
      </c>
      <c r="E1670" s="74">
        <v>0</v>
      </c>
      <c r="F1670" s="71">
        <v>4</v>
      </c>
      <c r="G1670" s="2" t="s">
        <v>6956</v>
      </c>
      <c r="H1670" s="73" t="s">
        <v>7323</v>
      </c>
      <c r="I1670" s="100" t="s">
        <v>7973</v>
      </c>
      <c r="J1670" s="2" t="s">
        <v>24</v>
      </c>
      <c r="K1670" s="2" t="s">
        <v>298</v>
      </c>
      <c r="M1670" s="2" t="s">
        <v>24</v>
      </c>
      <c r="N1670" s="2" t="s">
        <v>298</v>
      </c>
      <c r="P1670" s="51">
        <v>0</v>
      </c>
      <c r="Q1670" s="99" t="s">
        <v>7257</v>
      </c>
    </row>
    <row r="1671" spans="1:18">
      <c r="A1671" s="71">
        <v>27</v>
      </c>
      <c r="B1671" s="2" t="s">
        <v>6012</v>
      </c>
      <c r="C1671" s="71">
        <v>50</v>
      </c>
      <c r="D1671" s="2" t="s">
        <v>7714</v>
      </c>
      <c r="E1671" s="74">
        <v>0</v>
      </c>
      <c r="F1671" s="71">
        <v>5</v>
      </c>
      <c r="G1671" s="2" t="s">
        <v>6957</v>
      </c>
      <c r="H1671" s="73" t="s">
        <v>7324</v>
      </c>
      <c r="I1671" s="100" t="s">
        <v>7974</v>
      </c>
      <c r="J1671" s="2" t="s">
        <v>24</v>
      </c>
      <c r="K1671" s="2" t="s">
        <v>298</v>
      </c>
      <c r="M1671" s="2" t="s">
        <v>24</v>
      </c>
      <c r="N1671" s="2" t="s">
        <v>298</v>
      </c>
      <c r="P1671" s="51">
        <v>0</v>
      </c>
      <c r="Q1671" s="99" t="s">
        <v>7258</v>
      </c>
    </row>
    <row r="1672" spans="1:18">
      <c r="A1672" s="71">
        <v>27</v>
      </c>
      <c r="B1672" s="2" t="s">
        <v>6012</v>
      </c>
      <c r="C1672" s="71">
        <v>51</v>
      </c>
      <c r="D1672" s="2" t="s">
        <v>7715</v>
      </c>
      <c r="E1672" s="74">
        <v>0</v>
      </c>
      <c r="F1672" s="71">
        <v>0</v>
      </c>
      <c r="G1672" s="2" t="s">
        <v>20</v>
      </c>
      <c r="H1672" s="73" t="s">
        <v>7325</v>
      </c>
      <c r="I1672" s="76" t="s">
        <v>7975</v>
      </c>
      <c r="J1672" s="2" t="s">
        <v>24</v>
      </c>
      <c r="K1672" s="2" t="s">
        <v>25</v>
      </c>
      <c r="L1672" s="2" t="s">
        <v>26</v>
      </c>
      <c r="M1672" s="2" t="s">
        <v>24</v>
      </c>
      <c r="N1672" s="2" t="s">
        <v>25</v>
      </c>
      <c r="O1672" s="2" t="s">
        <v>26</v>
      </c>
      <c r="P1672" s="51">
        <v>0</v>
      </c>
      <c r="Q1672" s="1" t="s">
        <v>7259</v>
      </c>
      <c r="R1672" s="2" t="s">
        <v>6959</v>
      </c>
    </row>
    <row r="1673" spans="1:18">
      <c r="A1673" s="71">
        <v>27</v>
      </c>
      <c r="B1673" s="2" t="s">
        <v>6012</v>
      </c>
      <c r="C1673" s="71">
        <v>51</v>
      </c>
      <c r="D1673" s="2" t="s">
        <v>7715</v>
      </c>
      <c r="E1673" s="74">
        <v>0</v>
      </c>
      <c r="F1673" s="71">
        <v>1</v>
      </c>
      <c r="G1673" s="2" t="s">
        <v>6035</v>
      </c>
      <c r="H1673" s="73" t="s">
        <v>7326</v>
      </c>
      <c r="I1673" s="100" t="s">
        <v>7976</v>
      </c>
      <c r="J1673" s="2" t="s">
        <v>24</v>
      </c>
      <c r="K1673" s="2" t="s">
        <v>25</v>
      </c>
      <c r="L1673" s="2" t="s">
        <v>6037</v>
      </c>
      <c r="M1673" s="2" t="s">
        <v>24</v>
      </c>
      <c r="N1673" s="2" t="s">
        <v>25</v>
      </c>
      <c r="O1673" s="2" t="s">
        <v>6037</v>
      </c>
      <c r="P1673" s="51">
        <v>0</v>
      </c>
      <c r="Q1673" s="99" t="s">
        <v>6038</v>
      </c>
    </row>
    <row r="1674" spans="1:18">
      <c r="A1674" s="71">
        <v>27</v>
      </c>
      <c r="B1674" s="2" t="s">
        <v>6012</v>
      </c>
      <c r="C1674" s="71">
        <v>51</v>
      </c>
      <c r="D1674" s="2" t="s">
        <v>7715</v>
      </c>
      <c r="E1674" s="74">
        <v>0</v>
      </c>
      <c r="F1674" s="71">
        <v>2</v>
      </c>
      <c r="G1674" s="2" t="s">
        <v>6090</v>
      </c>
      <c r="H1674" s="73" t="s">
        <v>7327</v>
      </c>
      <c r="I1674" s="100" t="s">
        <v>7977</v>
      </c>
      <c r="J1674" s="2" t="s">
        <v>24</v>
      </c>
      <c r="K1674" s="2" t="s">
        <v>23</v>
      </c>
      <c r="M1674" s="2" t="s">
        <v>24</v>
      </c>
      <c r="N1674" s="2" t="s">
        <v>23</v>
      </c>
      <c r="P1674" s="51">
        <v>0</v>
      </c>
      <c r="Q1674" s="99" t="s">
        <v>7182</v>
      </c>
    </row>
    <row r="1675" spans="1:18">
      <c r="A1675" s="71">
        <v>27</v>
      </c>
      <c r="B1675" s="2" t="s">
        <v>6012</v>
      </c>
      <c r="C1675" s="71">
        <v>51</v>
      </c>
      <c r="D1675" s="2" t="s">
        <v>7715</v>
      </c>
      <c r="E1675" s="74">
        <v>0</v>
      </c>
      <c r="F1675" s="71">
        <v>3</v>
      </c>
      <c r="G1675" s="2" t="s">
        <v>7180</v>
      </c>
      <c r="H1675" s="73" t="s">
        <v>7328</v>
      </c>
      <c r="I1675" s="100" t="s">
        <v>7978</v>
      </c>
      <c r="J1675" s="2" t="s">
        <v>24</v>
      </c>
      <c r="K1675" s="2" t="s">
        <v>23</v>
      </c>
      <c r="M1675" s="2" t="s">
        <v>24</v>
      </c>
      <c r="N1675" s="2" t="s">
        <v>23</v>
      </c>
      <c r="P1675" s="51">
        <v>0</v>
      </c>
      <c r="Q1675" s="99" t="s">
        <v>6862</v>
      </c>
      <c r="R1675" s="2" t="s">
        <v>7183</v>
      </c>
    </row>
    <row r="1676" spans="1:18">
      <c r="A1676" s="71">
        <v>27</v>
      </c>
      <c r="B1676" s="2" t="s">
        <v>6012</v>
      </c>
      <c r="C1676" s="71">
        <v>51</v>
      </c>
      <c r="D1676" s="2" t="s">
        <v>7715</v>
      </c>
      <c r="E1676" s="74">
        <v>0</v>
      </c>
      <c r="F1676" s="71">
        <v>4</v>
      </c>
      <c r="G1676" s="2" t="s">
        <v>6956</v>
      </c>
      <c r="H1676" s="73" t="s">
        <v>7329</v>
      </c>
      <c r="I1676" s="100" t="s">
        <v>7979</v>
      </c>
      <c r="J1676" s="2" t="s">
        <v>24</v>
      </c>
      <c r="K1676" s="2" t="s">
        <v>298</v>
      </c>
      <c r="M1676" s="2" t="s">
        <v>24</v>
      </c>
      <c r="N1676" s="2" t="s">
        <v>298</v>
      </c>
      <c r="P1676" s="51">
        <v>0</v>
      </c>
      <c r="Q1676" s="99" t="s">
        <v>7260</v>
      </c>
    </row>
    <row r="1677" spans="1:18">
      <c r="A1677" s="71">
        <v>27</v>
      </c>
      <c r="B1677" s="2" t="s">
        <v>6012</v>
      </c>
      <c r="C1677" s="71">
        <v>51</v>
      </c>
      <c r="D1677" s="2" t="s">
        <v>7715</v>
      </c>
      <c r="E1677" s="74">
        <v>0</v>
      </c>
      <c r="F1677" s="71">
        <v>5</v>
      </c>
      <c r="G1677" s="2" t="s">
        <v>6957</v>
      </c>
      <c r="H1677" s="73" t="s">
        <v>7330</v>
      </c>
      <c r="I1677" s="100" t="s">
        <v>7980</v>
      </c>
      <c r="J1677" s="2" t="s">
        <v>24</v>
      </c>
      <c r="K1677" s="2" t="s">
        <v>298</v>
      </c>
      <c r="M1677" s="2" t="s">
        <v>24</v>
      </c>
      <c r="N1677" s="2" t="s">
        <v>298</v>
      </c>
      <c r="P1677" s="51">
        <v>0</v>
      </c>
      <c r="Q1677" s="99" t="s">
        <v>7261</v>
      </c>
    </row>
    <row r="1678" spans="1:18">
      <c r="A1678" s="71">
        <v>27</v>
      </c>
      <c r="B1678" s="2" t="s">
        <v>6012</v>
      </c>
      <c r="C1678" s="71">
        <v>52</v>
      </c>
      <c r="D1678" s="2" t="s">
        <v>7716</v>
      </c>
      <c r="E1678" s="74">
        <v>0</v>
      </c>
      <c r="F1678" s="71">
        <v>0</v>
      </c>
      <c r="G1678" s="2" t="s">
        <v>20</v>
      </c>
      <c r="H1678" s="73" t="s">
        <v>7331</v>
      </c>
      <c r="I1678" s="76" t="s">
        <v>7981</v>
      </c>
      <c r="J1678" s="2" t="s">
        <v>24</v>
      </c>
      <c r="K1678" s="2" t="s">
        <v>25</v>
      </c>
      <c r="L1678" s="2" t="s">
        <v>26</v>
      </c>
      <c r="M1678" s="2" t="s">
        <v>24</v>
      </c>
      <c r="N1678" s="2" t="s">
        <v>25</v>
      </c>
      <c r="O1678" s="2" t="s">
        <v>26</v>
      </c>
      <c r="P1678" s="51">
        <v>0</v>
      </c>
      <c r="Q1678" s="1" t="s">
        <v>7262</v>
      </c>
    </row>
    <row r="1679" spans="1:18">
      <c r="A1679" s="71">
        <v>27</v>
      </c>
      <c r="B1679" s="2" t="s">
        <v>6012</v>
      </c>
      <c r="C1679" s="71">
        <v>52</v>
      </c>
      <c r="D1679" s="2" t="s">
        <v>7716</v>
      </c>
      <c r="E1679" s="74">
        <v>0</v>
      </c>
      <c r="F1679" s="71">
        <v>1</v>
      </c>
      <c r="G1679" s="2" t="s">
        <v>6035</v>
      </c>
      <c r="H1679" s="73" t="s">
        <v>7332</v>
      </c>
      <c r="I1679" s="100" t="s">
        <v>7982</v>
      </c>
      <c r="J1679" s="2" t="s">
        <v>24</v>
      </c>
      <c r="K1679" s="2" t="s">
        <v>25</v>
      </c>
      <c r="L1679" s="2" t="s">
        <v>6037</v>
      </c>
      <c r="M1679" s="2" t="s">
        <v>24</v>
      </c>
      <c r="N1679" s="2" t="s">
        <v>25</v>
      </c>
      <c r="O1679" s="2" t="s">
        <v>6037</v>
      </c>
      <c r="P1679" s="51">
        <v>0</v>
      </c>
      <c r="Q1679" s="99" t="s">
        <v>6038</v>
      </c>
    </row>
    <row r="1680" spans="1:18">
      <c r="A1680" s="71">
        <v>27</v>
      </c>
      <c r="B1680" s="2" t="s">
        <v>6012</v>
      </c>
      <c r="C1680" s="71">
        <v>52</v>
      </c>
      <c r="D1680" s="2" t="s">
        <v>7716</v>
      </c>
      <c r="E1680" s="74">
        <v>0</v>
      </c>
      <c r="F1680" s="71">
        <v>2</v>
      </c>
      <c r="G1680" s="2" t="s">
        <v>6090</v>
      </c>
      <c r="H1680" s="73" t="s">
        <v>7333</v>
      </c>
      <c r="I1680" s="100" t="s">
        <v>7983</v>
      </c>
      <c r="J1680" s="2" t="s">
        <v>23</v>
      </c>
      <c r="K1680" s="2" t="s">
        <v>23</v>
      </c>
      <c r="M1680" s="2" t="s">
        <v>24</v>
      </c>
      <c r="N1680" s="2" t="s">
        <v>23</v>
      </c>
      <c r="P1680" s="51">
        <v>0</v>
      </c>
      <c r="Q1680" s="99" t="s">
        <v>7182</v>
      </c>
    </row>
    <row r="1681" spans="1:18">
      <c r="A1681" s="71">
        <v>27</v>
      </c>
      <c r="B1681" s="2" t="s">
        <v>6012</v>
      </c>
      <c r="C1681" s="71">
        <v>52</v>
      </c>
      <c r="D1681" s="2" t="s">
        <v>7716</v>
      </c>
      <c r="E1681" s="74">
        <v>0</v>
      </c>
      <c r="F1681" s="71">
        <v>3</v>
      </c>
      <c r="G1681" s="2" t="s">
        <v>7180</v>
      </c>
      <c r="H1681" s="73" t="s">
        <v>7334</v>
      </c>
      <c r="I1681" s="100" t="s">
        <v>7984</v>
      </c>
      <c r="J1681" s="2" t="s">
        <v>24</v>
      </c>
      <c r="K1681" s="2" t="s">
        <v>23</v>
      </c>
      <c r="M1681" s="2" t="s">
        <v>24</v>
      </c>
      <c r="N1681" s="2" t="s">
        <v>23</v>
      </c>
      <c r="P1681" s="51">
        <v>0</v>
      </c>
      <c r="Q1681" s="99" t="s">
        <v>6862</v>
      </c>
      <c r="R1681" s="2" t="s">
        <v>7183</v>
      </c>
    </row>
    <row r="1682" spans="1:18">
      <c r="A1682" s="71">
        <v>27</v>
      </c>
      <c r="B1682" s="2" t="s">
        <v>6012</v>
      </c>
      <c r="C1682" s="71">
        <v>52</v>
      </c>
      <c r="D1682" s="2" t="s">
        <v>7716</v>
      </c>
      <c r="E1682" s="74">
        <v>0</v>
      </c>
      <c r="F1682" s="71">
        <v>4</v>
      </c>
      <c r="G1682" s="2" t="s">
        <v>6971</v>
      </c>
      <c r="H1682" s="73" t="s">
        <v>7335</v>
      </c>
      <c r="I1682" s="100" t="s">
        <v>7985</v>
      </c>
      <c r="J1682" s="2" t="s">
        <v>24</v>
      </c>
      <c r="K1682" s="2" t="s">
        <v>25</v>
      </c>
      <c r="L1682" s="2" t="s">
        <v>6976</v>
      </c>
      <c r="M1682" s="2" t="s">
        <v>24</v>
      </c>
      <c r="N1682" s="2" t="s">
        <v>25</v>
      </c>
      <c r="O1682" s="2" t="s">
        <v>6976</v>
      </c>
      <c r="P1682" s="51">
        <v>0</v>
      </c>
      <c r="Q1682" s="99" t="s">
        <v>6977</v>
      </c>
    </row>
    <row r="1683" spans="1:18">
      <c r="A1683" s="71">
        <v>27</v>
      </c>
      <c r="B1683" s="2" t="s">
        <v>6012</v>
      </c>
      <c r="C1683" s="71">
        <v>52</v>
      </c>
      <c r="D1683" s="2" t="s">
        <v>7716</v>
      </c>
      <c r="E1683" s="74">
        <v>0</v>
      </c>
      <c r="F1683" s="71">
        <v>5</v>
      </c>
      <c r="G1683" s="2" t="s">
        <v>6904</v>
      </c>
      <c r="H1683" s="73" t="s">
        <v>7336</v>
      </c>
      <c r="I1683" s="100" t="s">
        <v>7986</v>
      </c>
      <c r="J1683" s="2" t="s">
        <v>24</v>
      </c>
      <c r="K1683" s="2" t="s">
        <v>25</v>
      </c>
      <c r="L1683" s="2" t="s">
        <v>6976</v>
      </c>
      <c r="M1683" s="2" t="s">
        <v>24</v>
      </c>
      <c r="N1683" s="2" t="s">
        <v>25</v>
      </c>
      <c r="O1683" s="2" t="s">
        <v>6976</v>
      </c>
      <c r="P1683" s="51">
        <v>0</v>
      </c>
      <c r="Q1683" s="99" t="s">
        <v>6978</v>
      </c>
    </row>
    <row r="1684" spans="1:18">
      <c r="A1684" s="71">
        <v>27</v>
      </c>
      <c r="B1684" s="2" t="s">
        <v>6012</v>
      </c>
      <c r="C1684" s="71">
        <v>52</v>
      </c>
      <c r="D1684" s="2" t="s">
        <v>7716</v>
      </c>
      <c r="E1684" s="74">
        <v>0</v>
      </c>
      <c r="F1684" s="71">
        <v>6</v>
      </c>
      <c r="G1684" s="2" t="s">
        <v>6972</v>
      </c>
      <c r="H1684" s="73" t="s">
        <v>7337</v>
      </c>
      <c r="I1684" s="100" t="s">
        <v>7987</v>
      </c>
      <c r="J1684" s="2" t="s">
        <v>24</v>
      </c>
      <c r="K1684" s="2" t="s">
        <v>25</v>
      </c>
      <c r="L1684" s="2" t="s">
        <v>7263</v>
      </c>
      <c r="M1684" s="2" t="s">
        <v>24</v>
      </c>
      <c r="N1684" s="2" t="s">
        <v>25</v>
      </c>
      <c r="O1684" s="2" t="s">
        <v>7263</v>
      </c>
      <c r="P1684" s="51">
        <v>0</v>
      </c>
      <c r="Q1684" s="99" t="s">
        <v>6980</v>
      </c>
    </row>
    <row r="1685" spans="1:18">
      <c r="A1685" s="71">
        <v>27</v>
      </c>
      <c r="B1685" s="2" t="s">
        <v>6012</v>
      </c>
      <c r="C1685" s="71">
        <v>52</v>
      </c>
      <c r="D1685" s="2" t="s">
        <v>7716</v>
      </c>
      <c r="E1685" s="74">
        <v>0</v>
      </c>
      <c r="F1685" s="71">
        <v>7</v>
      </c>
      <c r="G1685" s="2" t="s">
        <v>6973</v>
      </c>
      <c r="H1685" s="73" t="s">
        <v>7338</v>
      </c>
      <c r="I1685" s="100" t="s">
        <v>7988</v>
      </c>
      <c r="J1685" s="2" t="s">
        <v>24</v>
      </c>
      <c r="K1685" s="2" t="s">
        <v>25</v>
      </c>
      <c r="L1685" s="2" t="s">
        <v>6981</v>
      </c>
      <c r="M1685" s="2" t="s">
        <v>24</v>
      </c>
      <c r="N1685" s="2" t="s">
        <v>25</v>
      </c>
      <c r="O1685" s="2" t="s">
        <v>6981</v>
      </c>
      <c r="P1685" s="51">
        <v>0</v>
      </c>
      <c r="Q1685" s="99" t="s">
        <v>6982</v>
      </c>
    </row>
    <row r="1686" spans="1:18">
      <c r="A1686" s="71">
        <v>27</v>
      </c>
      <c r="B1686" s="2" t="s">
        <v>6012</v>
      </c>
      <c r="C1686" s="71">
        <v>52</v>
      </c>
      <c r="D1686" s="2" t="s">
        <v>7716</v>
      </c>
      <c r="E1686" s="74">
        <v>0</v>
      </c>
      <c r="F1686" s="71">
        <v>8</v>
      </c>
      <c r="G1686" s="2" t="s">
        <v>6974</v>
      </c>
      <c r="H1686" s="73" t="s">
        <v>7339</v>
      </c>
      <c r="I1686" s="100" t="s">
        <v>7989</v>
      </c>
      <c r="J1686" s="2" t="s">
        <v>24</v>
      </c>
      <c r="K1686" s="2" t="s">
        <v>298</v>
      </c>
      <c r="M1686" s="2" t="s">
        <v>24</v>
      </c>
      <c r="N1686" s="2" t="s">
        <v>298</v>
      </c>
      <c r="P1686" s="51">
        <v>0</v>
      </c>
      <c r="Q1686" s="99" t="s">
        <v>6983</v>
      </c>
    </row>
    <row r="1687" spans="1:18">
      <c r="A1687" s="71">
        <v>27</v>
      </c>
      <c r="B1687" s="2" t="s">
        <v>6012</v>
      </c>
      <c r="C1687" s="71">
        <v>52</v>
      </c>
      <c r="D1687" s="2" t="s">
        <v>7716</v>
      </c>
      <c r="E1687" s="74">
        <v>0</v>
      </c>
      <c r="F1687" s="71">
        <v>9</v>
      </c>
      <c r="G1687" s="2" t="s">
        <v>5933</v>
      </c>
      <c r="H1687" s="73" t="s">
        <v>7340</v>
      </c>
      <c r="I1687" s="100" t="s">
        <v>7990</v>
      </c>
      <c r="J1687" s="2" t="s">
        <v>24</v>
      </c>
      <c r="K1687" s="2" t="s">
        <v>335</v>
      </c>
      <c r="M1687" s="2" t="s">
        <v>24</v>
      </c>
      <c r="N1687" s="2" t="s">
        <v>335</v>
      </c>
      <c r="P1687" s="51">
        <v>0</v>
      </c>
      <c r="Q1687" s="99" t="s">
        <v>6984</v>
      </c>
    </row>
    <row r="1688" spans="1:18">
      <c r="A1688" s="71">
        <v>27</v>
      </c>
      <c r="B1688" s="2" t="s">
        <v>6012</v>
      </c>
      <c r="C1688" s="71">
        <v>53</v>
      </c>
      <c r="D1688" s="2" t="s">
        <v>7717</v>
      </c>
      <c r="E1688" s="74">
        <v>0</v>
      </c>
      <c r="F1688" s="71">
        <v>0</v>
      </c>
      <c r="G1688" s="2" t="s">
        <v>20</v>
      </c>
      <c r="H1688" s="73" t="s">
        <v>7341</v>
      </c>
      <c r="I1688" s="76" t="s">
        <v>7991</v>
      </c>
      <c r="J1688" s="2" t="s">
        <v>24</v>
      </c>
      <c r="K1688" s="2" t="s">
        <v>25</v>
      </c>
      <c r="L1688" s="2" t="s">
        <v>26</v>
      </c>
      <c r="M1688" s="2" t="s">
        <v>24</v>
      </c>
      <c r="N1688" s="2" t="s">
        <v>25</v>
      </c>
      <c r="O1688" s="2" t="s">
        <v>26</v>
      </c>
      <c r="P1688" s="51">
        <v>0</v>
      </c>
      <c r="Q1688" s="1" t="s">
        <v>7264</v>
      </c>
    </row>
    <row r="1689" spans="1:18">
      <c r="A1689" s="71">
        <v>27</v>
      </c>
      <c r="B1689" s="2" t="s">
        <v>6012</v>
      </c>
      <c r="C1689" s="71">
        <v>53</v>
      </c>
      <c r="D1689" s="2" t="s">
        <v>7717</v>
      </c>
      <c r="E1689" s="74">
        <v>0</v>
      </c>
      <c r="F1689" s="71">
        <v>1</v>
      </c>
      <c r="G1689" s="2" t="s">
        <v>6035</v>
      </c>
      <c r="H1689" s="73" t="s">
        <v>7342</v>
      </c>
      <c r="I1689" s="100" t="s">
        <v>7992</v>
      </c>
      <c r="J1689" s="2" t="s">
        <v>24</v>
      </c>
      <c r="K1689" s="2" t="s">
        <v>25</v>
      </c>
      <c r="L1689" s="2" t="s">
        <v>6037</v>
      </c>
      <c r="M1689" s="2" t="s">
        <v>24</v>
      </c>
      <c r="N1689" s="2" t="s">
        <v>25</v>
      </c>
      <c r="O1689" s="2" t="s">
        <v>6037</v>
      </c>
      <c r="P1689" s="51">
        <v>0</v>
      </c>
      <c r="Q1689" s="99" t="s">
        <v>6038</v>
      </c>
    </row>
    <row r="1690" spans="1:18">
      <c r="A1690" s="71">
        <v>27</v>
      </c>
      <c r="B1690" s="2" t="s">
        <v>6012</v>
      </c>
      <c r="C1690" s="71">
        <v>53</v>
      </c>
      <c r="D1690" s="2" t="s">
        <v>7717</v>
      </c>
      <c r="E1690" s="74">
        <v>0</v>
      </c>
      <c r="F1690" s="71">
        <v>2</v>
      </c>
      <c r="G1690" s="2" t="s">
        <v>6090</v>
      </c>
      <c r="H1690" s="73" t="s">
        <v>7343</v>
      </c>
      <c r="I1690" s="100" t="s">
        <v>7993</v>
      </c>
      <c r="J1690" s="2" t="s">
        <v>23</v>
      </c>
      <c r="K1690" s="2" t="s">
        <v>23</v>
      </c>
      <c r="M1690" s="2" t="s">
        <v>24</v>
      </c>
      <c r="N1690" s="2" t="s">
        <v>23</v>
      </c>
      <c r="P1690" s="51">
        <v>0</v>
      </c>
      <c r="Q1690" s="99" t="s">
        <v>7182</v>
      </c>
    </row>
    <row r="1691" spans="1:18">
      <c r="A1691" s="71">
        <v>27</v>
      </c>
      <c r="B1691" s="2" t="s">
        <v>6012</v>
      </c>
      <c r="C1691" s="71">
        <v>53</v>
      </c>
      <c r="D1691" s="2" t="s">
        <v>7717</v>
      </c>
      <c r="E1691" s="74">
        <v>0</v>
      </c>
      <c r="F1691" s="71">
        <v>3</v>
      </c>
      <c r="G1691" s="2" t="s">
        <v>7180</v>
      </c>
      <c r="H1691" s="73" t="s">
        <v>7344</v>
      </c>
      <c r="I1691" s="100" t="s">
        <v>7994</v>
      </c>
      <c r="J1691" s="2" t="s">
        <v>24</v>
      </c>
      <c r="K1691" s="2" t="s">
        <v>23</v>
      </c>
      <c r="M1691" s="2" t="s">
        <v>24</v>
      </c>
      <c r="N1691" s="2" t="s">
        <v>23</v>
      </c>
      <c r="P1691" s="51">
        <v>0</v>
      </c>
      <c r="Q1691" s="99" t="s">
        <v>6862</v>
      </c>
      <c r="R1691" s="2" t="s">
        <v>7183</v>
      </c>
    </row>
    <row r="1692" spans="1:18">
      <c r="A1692" s="71">
        <v>27</v>
      </c>
      <c r="B1692" s="2" t="s">
        <v>6012</v>
      </c>
      <c r="C1692" s="71">
        <v>53</v>
      </c>
      <c r="D1692" s="2" t="s">
        <v>7717</v>
      </c>
      <c r="E1692" s="74">
        <v>0</v>
      </c>
      <c r="F1692" s="71">
        <v>4</v>
      </c>
      <c r="G1692" s="2" t="s">
        <v>6985</v>
      </c>
      <c r="H1692" s="73" t="s">
        <v>7345</v>
      </c>
      <c r="I1692" s="100" t="s">
        <v>7995</v>
      </c>
      <c r="J1692" s="2" t="s">
        <v>24</v>
      </c>
      <c r="K1692" s="2" t="s">
        <v>23</v>
      </c>
      <c r="M1692" s="2" t="s">
        <v>24</v>
      </c>
      <c r="N1692" s="2" t="s">
        <v>23</v>
      </c>
      <c r="P1692" s="51">
        <v>0</v>
      </c>
      <c r="Q1692" s="99" t="s">
        <v>6989</v>
      </c>
    </row>
    <row r="1693" spans="1:18">
      <c r="A1693" s="71">
        <v>27</v>
      </c>
      <c r="B1693" s="2" t="s">
        <v>6012</v>
      </c>
      <c r="C1693" s="71">
        <v>53</v>
      </c>
      <c r="D1693" s="2" t="s">
        <v>7717</v>
      </c>
      <c r="E1693" s="74">
        <v>0</v>
      </c>
      <c r="F1693" s="71">
        <v>5</v>
      </c>
      <c r="G1693" s="2" t="s">
        <v>6986</v>
      </c>
      <c r="H1693" s="73" t="s">
        <v>7346</v>
      </c>
      <c r="I1693" s="100" t="s">
        <v>7996</v>
      </c>
      <c r="J1693" s="2" t="s">
        <v>24</v>
      </c>
      <c r="K1693" s="2" t="s">
        <v>298</v>
      </c>
      <c r="M1693" s="2" t="s">
        <v>24</v>
      </c>
      <c r="N1693" s="2" t="s">
        <v>298</v>
      </c>
      <c r="P1693" s="51">
        <v>0</v>
      </c>
      <c r="Q1693" s="99" t="s">
        <v>6990</v>
      </c>
    </row>
    <row r="1694" spans="1:18">
      <c r="A1694" s="71">
        <v>27</v>
      </c>
      <c r="B1694" s="2" t="s">
        <v>6012</v>
      </c>
      <c r="C1694" s="71">
        <v>53</v>
      </c>
      <c r="D1694" s="2" t="s">
        <v>7717</v>
      </c>
      <c r="E1694" s="74">
        <v>0</v>
      </c>
      <c r="F1694" s="71">
        <v>6</v>
      </c>
      <c r="G1694" s="2" t="s">
        <v>6987</v>
      </c>
      <c r="H1694" s="73" t="s">
        <v>7347</v>
      </c>
      <c r="I1694" s="100" t="s">
        <v>7997</v>
      </c>
      <c r="J1694" s="2" t="s">
        <v>24</v>
      </c>
      <c r="K1694" s="2" t="s">
        <v>298</v>
      </c>
      <c r="M1694" s="2" t="s">
        <v>24</v>
      </c>
      <c r="N1694" s="2" t="s">
        <v>298</v>
      </c>
      <c r="P1694" s="51">
        <v>0</v>
      </c>
      <c r="Q1694" s="99" t="s">
        <v>6991</v>
      </c>
    </row>
    <row r="1695" spans="1:18">
      <c r="A1695" s="71">
        <v>27</v>
      </c>
      <c r="B1695" s="2" t="s">
        <v>6012</v>
      </c>
      <c r="C1695" s="71">
        <v>54</v>
      </c>
      <c r="D1695" s="2" t="s">
        <v>7718</v>
      </c>
      <c r="E1695" s="74">
        <v>0</v>
      </c>
      <c r="F1695" s="71">
        <v>0</v>
      </c>
      <c r="G1695" s="2" t="s">
        <v>20</v>
      </c>
      <c r="H1695" s="73" t="s">
        <v>7348</v>
      </c>
      <c r="I1695" s="76" t="s">
        <v>7998</v>
      </c>
      <c r="J1695" s="2" t="s">
        <v>24</v>
      </c>
      <c r="K1695" s="2" t="s">
        <v>25</v>
      </c>
      <c r="L1695" s="2" t="s">
        <v>26</v>
      </c>
      <c r="M1695" s="2" t="s">
        <v>24</v>
      </c>
      <c r="N1695" s="2" t="s">
        <v>25</v>
      </c>
      <c r="O1695" s="2" t="s">
        <v>26</v>
      </c>
      <c r="P1695" s="51">
        <v>0</v>
      </c>
      <c r="Q1695" s="1" t="s">
        <v>7265</v>
      </c>
    </row>
    <row r="1696" spans="1:18">
      <c r="A1696" s="71">
        <v>27</v>
      </c>
      <c r="B1696" s="2" t="s">
        <v>6012</v>
      </c>
      <c r="C1696" s="71">
        <v>54</v>
      </c>
      <c r="D1696" s="2" t="s">
        <v>7718</v>
      </c>
      <c r="E1696" s="74">
        <v>0</v>
      </c>
      <c r="F1696" s="71">
        <v>1</v>
      </c>
      <c r="G1696" s="2" t="s">
        <v>6035</v>
      </c>
      <c r="H1696" s="73" t="s">
        <v>7349</v>
      </c>
      <c r="I1696" s="100" t="s">
        <v>7999</v>
      </c>
      <c r="J1696" s="2" t="s">
        <v>24</v>
      </c>
      <c r="K1696" s="2" t="s">
        <v>25</v>
      </c>
      <c r="L1696" s="2" t="s">
        <v>6037</v>
      </c>
      <c r="M1696" s="2" t="s">
        <v>24</v>
      </c>
      <c r="N1696" s="2" t="s">
        <v>25</v>
      </c>
      <c r="O1696" s="2" t="s">
        <v>6037</v>
      </c>
      <c r="P1696" s="51">
        <v>0</v>
      </c>
      <c r="Q1696" s="99" t="s">
        <v>6038</v>
      </c>
    </row>
    <row r="1697" spans="1:18">
      <c r="A1697" s="71">
        <v>27</v>
      </c>
      <c r="B1697" s="2" t="s">
        <v>6012</v>
      </c>
      <c r="C1697" s="71">
        <v>54</v>
      </c>
      <c r="D1697" s="2" t="s">
        <v>7718</v>
      </c>
      <c r="E1697" s="74">
        <v>0</v>
      </c>
      <c r="F1697" s="71">
        <v>2</v>
      </c>
      <c r="G1697" s="2" t="s">
        <v>6090</v>
      </c>
      <c r="H1697" s="73" t="s">
        <v>7350</v>
      </c>
      <c r="I1697" s="100" t="s">
        <v>8000</v>
      </c>
      <c r="J1697" s="2" t="s">
        <v>23</v>
      </c>
      <c r="K1697" s="2" t="s">
        <v>23</v>
      </c>
      <c r="M1697" s="2" t="s">
        <v>24</v>
      </c>
      <c r="N1697" s="2" t="s">
        <v>23</v>
      </c>
      <c r="P1697" s="51">
        <v>0</v>
      </c>
      <c r="Q1697" s="99" t="s">
        <v>7182</v>
      </c>
    </row>
    <row r="1698" spans="1:18">
      <c r="A1698" s="71">
        <v>27</v>
      </c>
      <c r="B1698" s="2" t="s">
        <v>6012</v>
      </c>
      <c r="C1698" s="71">
        <v>54</v>
      </c>
      <c r="D1698" s="2" t="s">
        <v>7718</v>
      </c>
      <c r="E1698" s="74">
        <v>0</v>
      </c>
      <c r="F1698" s="71">
        <v>3</v>
      </c>
      <c r="G1698" s="2" t="s">
        <v>7180</v>
      </c>
      <c r="H1698" s="73" t="s">
        <v>7351</v>
      </c>
      <c r="I1698" s="100" t="s">
        <v>8001</v>
      </c>
      <c r="J1698" s="2" t="s">
        <v>24</v>
      </c>
      <c r="K1698" s="2" t="s">
        <v>23</v>
      </c>
      <c r="M1698" s="2" t="s">
        <v>24</v>
      </c>
      <c r="N1698" s="2" t="s">
        <v>23</v>
      </c>
      <c r="P1698" s="51">
        <v>0</v>
      </c>
      <c r="Q1698" s="99" t="s">
        <v>6862</v>
      </c>
      <c r="R1698" s="2" t="s">
        <v>7183</v>
      </c>
    </row>
    <row r="1699" spans="1:18">
      <c r="A1699" s="71">
        <v>27</v>
      </c>
      <c r="B1699" s="2" t="s">
        <v>6012</v>
      </c>
      <c r="C1699" s="71">
        <v>54</v>
      </c>
      <c r="D1699" s="2" t="s">
        <v>7718</v>
      </c>
      <c r="E1699" s="74">
        <v>0</v>
      </c>
      <c r="F1699" s="71">
        <v>4</v>
      </c>
      <c r="G1699" s="2" t="s">
        <v>6992</v>
      </c>
      <c r="H1699" s="73" t="s">
        <v>7352</v>
      </c>
      <c r="I1699" s="100" t="s">
        <v>8002</v>
      </c>
      <c r="J1699" s="2" t="s">
        <v>24</v>
      </c>
      <c r="K1699" s="2" t="s">
        <v>133</v>
      </c>
      <c r="M1699" s="2" t="s">
        <v>24</v>
      </c>
      <c r="N1699" s="2" t="s">
        <v>133</v>
      </c>
      <c r="P1699" s="51">
        <v>0</v>
      </c>
      <c r="Q1699" s="99" t="s">
        <v>7266</v>
      </c>
    </row>
    <row r="1700" spans="1:18">
      <c r="A1700" s="71">
        <v>27</v>
      </c>
      <c r="B1700" s="2" t="s">
        <v>6012</v>
      </c>
      <c r="C1700" s="71">
        <v>54</v>
      </c>
      <c r="D1700" s="2" t="s">
        <v>7718</v>
      </c>
      <c r="E1700" s="74">
        <v>0</v>
      </c>
      <c r="F1700" s="71">
        <v>5</v>
      </c>
      <c r="G1700" s="2" t="s">
        <v>6993</v>
      </c>
      <c r="H1700" s="73" t="s">
        <v>7353</v>
      </c>
      <c r="I1700" s="100" t="s">
        <v>8003</v>
      </c>
      <c r="J1700" s="2" t="s">
        <v>24</v>
      </c>
      <c r="K1700" s="2" t="s">
        <v>133</v>
      </c>
      <c r="M1700" s="2" t="s">
        <v>24</v>
      </c>
      <c r="N1700" s="2" t="s">
        <v>133</v>
      </c>
      <c r="P1700" s="51">
        <v>0</v>
      </c>
      <c r="Q1700" s="99" t="s">
        <v>7267</v>
      </c>
    </row>
    <row r="1701" spans="1:18">
      <c r="A1701" s="71">
        <v>27</v>
      </c>
      <c r="B1701" s="2" t="s">
        <v>6012</v>
      </c>
      <c r="C1701" s="71">
        <v>55</v>
      </c>
      <c r="D1701" s="2" t="s">
        <v>7719</v>
      </c>
      <c r="E1701" s="74">
        <v>0</v>
      </c>
      <c r="F1701" s="71">
        <v>0</v>
      </c>
      <c r="G1701" s="2" t="s">
        <v>20</v>
      </c>
      <c r="H1701" s="73" t="s">
        <v>7354</v>
      </c>
      <c r="I1701" s="76" t="s">
        <v>8004</v>
      </c>
      <c r="J1701" s="2" t="s">
        <v>24</v>
      </c>
      <c r="K1701" s="2" t="s">
        <v>25</v>
      </c>
      <c r="L1701" s="2" t="s">
        <v>26</v>
      </c>
      <c r="M1701" s="2" t="s">
        <v>24</v>
      </c>
      <c r="N1701" s="2" t="s">
        <v>25</v>
      </c>
      <c r="O1701" s="2" t="s">
        <v>26</v>
      </c>
      <c r="P1701" s="51">
        <v>0</v>
      </c>
      <c r="Q1701" s="1" t="s">
        <v>7271</v>
      </c>
    </row>
    <row r="1702" spans="1:18">
      <c r="A1702" s="71">
        <v>27</v>
      </c>
      <c r="B1702" s="2" t="s">
        <v>6012</v>
      </c>
      <c r="C1702" s="71">
        <v>55</v>
      </c>
      <c r="D1702" s="2" t="s">
        <v>7719</v>
      </c>
      <c r="E1702" s="74">
        <v>0</v>
      </c>
      <c r="F1702" s="71">
        <v>1</v>
      </c>
      <c r="G1702" s="2" t="s">
        <v>6035</v>
      </c>
      <c r="H1702" s="73" t="s">
        <v>7355</v>
      </c>
      <c r="I1702" s="100" t="s">
        <v>8005</v>
      </c>
      <c r="J1702" s="2" t="s">
        <v>24</v>
      </c>
      <c r="K1702" s="2" t="s">
        <v>25</v>
      </c>
      <c r="L1702" s="2" t="s">
        <v>6037</v>
      </c>
      <c r="M1702" s="2" t="s">
        <v>24</v>
      </c>
      <c r="N1702" s="2" t="s">
        <v>25</v>
      </c>
      <c r="O1702" s="2" t="s">
        <v>6037</v>
      </c>
      <c r="P1702" s="51">
        <v>0</v>
      </c>
      <c r="Q1702" s="99" t="s">
        <v>6038</v>
      </c>
    </row>
    <row r="1703" spans="1:18">
      <c r="A1703" s="71">
        <v>27</v>
      </c>
      <c r="B1703" s="2" t="s">
        <v>6012</v>
      </c>
      <c r="C1703" s="71">
        <v>55</v>
      </c>
      <c r="D1703" s="2" t="s">
        <v>7719</v>
      </c>
      <c r="E1703" s="74">
        <v>0</v>
      </c>
      <c r="F1703" s="71">
        <v>2</v>
      </c>
      <c r="G1703" s="2" t="s">
        <v>6090</v>
      </c>
      <c r="H1703" s="73" t="s">
        <v>7356</v>
      </c>
      <c r="I1703" s="100" t="s">
        <v>8006</v>
      </c>
      <c r="J1703" s="2" t="s">
        <v>24</v>
      </c>
      <c r="K1703" s="2" t="s">
        <v>23</v>
      </c>
      <c r="M1703" s="2" t="s">
        <v>24</v>
      </c>
      <c r="N1703" s="2" t="s">
        <v>23</v>
      </c>
      <c r="P1703" s="51">
        <v>0</v>
      </c>
      <c r="Q1703" s="99" t="s">
        <v>7182</v>
      </c>
    </row>
    <row r="1704" spans="1:18" ht="75">
      <c r="A1704" s="71">
        <v>27</v>
      </c>
      <c r="B1704" s="2" t="s">
        <v>6012</v>
      </c>
      <c r="C1704" s="71">
        <v>55</v>
      </c>
      <c r="D1704" s="2" t="s">
        <v>7719</v>
      </c>
      <c r="E1704" s="74">
        <v>0</v>
      </c>
      <c r="F1704" s="71">
        <v>3</v>
      </c>
      <c r="G1704" s="2" t="s">
        <v>7180</v>
      </c>
      <c r="H1704" s="73" t="s">
        <v>7357</v>
      </c>
      <c r="I1704" s="100" t="s">
        <v>8007</v>
      </c>
      <c r="J1704" s="2" t="s">
        <v>24</v>
      </c>
      <c r="K1704" s="2" t="s">
        <v>23</v>
      </c>
      <c r="M1704" s="2" t="s">
        <v>24</v>
      </c>
      <c r="N1704" s="2" t="s">
        <v>23</v>
      </c>
      <c r="P1704" s="51">
        <v>0</v>
      </c>
      <c r="Q1704" s="99" t="s">
        <v>7272</v>
      </c>
      <c r="R1704" s="6" t="s">
        <v>7273</v>
      </c>
    </row>
    <row r="1705" spans="1:18">
      <c r="A1705" s="71">
        <v>27</v>
      </c>
      <c r="B1705" s="2" t="s">
        <v>6012</v>
      </c>
      <c r="C1705" s="71">
        <v>55</v>
      </c>
      <c r="D1705" s="2" t="s">
        <v>7719</v>
      </c>
      <c r="E1705" s="74">
        <v>0</v>
      </c>
      <c r="F1705" s="71">
        <v>4</v>
      </c>
      <c r="G1705" s="2" t="s">
        <v>7268</v>
      </c>
      <c r="H1705" s="73" t="s">
        <v>7358</v>
      </c>
      <c r="I1705" s="100" t="s">
        <v>8008</v>
      </c>
      <c r="J1705" s="2" t="s">
        <v>24</v>
      </c>
      <c r="K1705" s="2" t="s">
        <v>25</v>
      </c>
      <c r="L1705" s="2" t="s">
        <v>7000</v>
      </c>
      <c r="M1705" s="2" t="s">
        <v>24</v>
      </c>
      <c r="N1705" s="2" t="s">
        <v>25</v>
      </c>
      <c r="O1705" s="2" t="s">
        <v>7000</v>
      </c>
      <c r="P1705" s="51">
        <v>0</v>
      </c>
      <c r="Q1705" s="99" t="s">
        <v>7274</v>
      </c>
    </row>
    <row r="1706" spans="1:18">
      <c r="A1706" s="71">
        <v>27</v>
      </c>
      <c r="B1706" s="2" t="s">
        <v>6012</v>
      </c>
      <c r="C1706" s="71">
        <v>55</v>
      </c>
      <c r="D1706" s="2" t="s">
        <v>7719</v>
      </c>
      <c r="E1706" s="74">
        <v>0</v>
      </c>
      <c r="F1706" s="71">
        <v>5</v>
      </c>
      <c r="G1706" s="2" t="s">
        <v>6904</v>
      </c>
      <c r="H1706" s="73" t="s">
        <v>7359</v>
      </c>
      <c r="I1706" s="100" t="s">
        <v>8009</v>
      </c>
      <c r="J1706" s="2" t="s">
        <v>24</v>
      </c>
      <c r="K1706" s="2" t="s">
        <v>25</v>
      </c>
      <c r="L1706" s="2" t="s">
        <v>7002</v>
      </c>
      <c r="M1706" s="2" t="s">
        <v>24</v>
      </c>
      <c r="N1706" s="2" t="s">
        <v>25</v>
      </c>
      <c r="O1706" s="2" t="s">
        <v>7002</v>
      </c>
      <c r="P1706" s="51">
        <v>0</v>
      </c>
      <c r="Q1706" s="99" t="s">
        <v>7003</v>
      </c>
    </row>
    <row r="1707" spans="1:18">
      <c r="A1707" s="71">
        <v>27</v>
      </c>
      <c r="B1707" s="2" t="s">
        <v>6012</v>
      </c>
      <c r="C1707" s="71">
        <v>55</v>
      </c>
      <c r="D1707" s="2" t="s">
        <v>7719</v>
      </c>
      <c r="E1707" s="74">
        <v>0</v>
      </c>
      <c r="F1707" s="71">
        <v>6</v>
      </c>
      <c r="G1707" s="2" t="s">
        <v>7269</v>
      </c>
      <c r="H1707" s="73" t="s">
        <v>7360</v>
      </c>
      <c r="I1707" s="100" t="s">
        <v>8010</v>
      </c>
      <c r="J1707" s="2" t="s">
        <v>24</v>
      </c>
      <c r="K1707" s="2" t="s">
        <v>25</v>
      </c>
      <c r="L1707" s="2" t="s">
        <v>7028</v>
      </c>
      <c r="M1707" s="2" t="s">
        <v>24</v>
      </c>
      <c r="N1707" s="2" t="s">
        <v>25</v>
      </c>
      <c r="O1707" s="2" t="s">
        <v>7028</v>
      </c>
      <c r="P1707" s="51">
        <v>0</v>
      </c>
      <c r="Q1707" s="99" t="s">
        <v>7275</v>
      </c>
    </row>
    <row r="1708" spans="1:18">
      <c r="A1708" s="71">
        <v>27</v>
      </c>
      <c r="B1708" s="2" t="s">
        <v>6012</v>
      </c>
      <c r="C1708" s="71">
        <v>55</v>
      </c>
      <c r="D1708" s="2" t="s">
        <v>7719</v>
      </c>
      <c r="E1708" s="74">
        <v>0</v>
      </c>
      <c r="F1708" s="71">
        <v>7</v>
      </c>
      <c r="G1708" s="2" t="s">
        <v>7270</v>
      </c>
      <c r="H1708" s="73" t="s">
        <v>7361</v>
      </c>
      <c r="I1708" s="100" t="s">
        <v>8011</v>
      </c>
      <c r="J1708" s="2" t="s">
        <v>24</v>
      </c>
      <c r="K1708" s="2" t="s">
        <v>23</v>
      </c>
      <c r="M1708" s="2" t="s">
        <v>24</v>
      </c>
      <c r="N1708" s="2" t="s">
        <v>23</v>
      </c>
      <c r="P1708" s="51">
        <v>0</v>
      </c>
      <c r="Q1708" s="99" t="s">
        <v>7276</v>
      </c>
      <c r="R1708" s="2" t="s">
        <v>7277</v>
      </c>
    </row>
    <row r="1709" spans="1:18">
      <c r="A1709" s="71">
        <v>27</v>
      </c>
      <c r="B1709" s="2" t="s">
        <v>6012</v>
      </c>
      <c r="C1709" s="71">
        <v>56</v>
      </c>
      <c r="D1709" s="2" t="s">
        <v>7720</v>
      </c>
      <c r="E1709" s="74">
        <v>0</v>
      </c>
      <c r="F1709" s="71">
        <v>0</v>
      </c>
      <c r="G1709" s="2" t="s">
        <v>20</v>
      </c>
      <c r="H1709" s="73" t="s">
        <v>7362</v>
      </c>
      <c r="I1709" s="76" t="s">
        <v>8012</v>
      </c>
      <c r="J1709" s="2" t="s">
        <v>24</v>
      </c>
      <c r="K1709" s="2" t="s">
        <v>25</v>
      </c>
      <c r="L1709" s="2" t="s">
        <v>26</v>
      </c>
      <c r="M1709" s="2" t="s">
        <v>24</v>
      </c>
      <c r="N1709" s="2" t="s">
        <v>25</v>
      </c>
      <c r="O1709" s="2" t="s">
        <v>26</v>
      </c>
      <c r="P1709" s="51">
        <v>0</v>
      </c>
      <c r="Q1709" s="1" t="s">
        <v>7283</v>
      </c>
    </row>
    <row r="1710" spans="1:18">
      <c r="A1710" s="71">
        <v>27</v>
      </c>
      <c r="B1710" s="2" t="s">
        <v>6012</v>
      </c>
      <c r="C1710" s="71">
        <v>56</v>
      </c>
      <c r="D1710" s="2" t="s">
        <v>7720</v>
      </c>
      <c r="E1710" s="74">
        <v>0</v>
      </c>
      <c r="F1710" s="71">
        <v>1</v>
      </c>
      <c r="G1710" s="2" t="s">
        <v>6035</v>
      </c>
      <c r="H1710" s="73" t="s">
        <v>7363</v>
      </c>
      <c r="I1710" s="100" t="s">
        <v>8013</v>
      </c>
      <c r="J1710" s="2" t="s">
        <v>24</v>
      </c>
      <c r="K1710" s="2" t="s">
        <v>25</v>
      </c>
      <c r="L1710" s="2" t="s">
        <v>6037</v>
      </c>
      <c r="M1710" s="2" t="s">
        <v>24</v>
      </c>
      <c r="N1710" s="2" t="s">
        <v>25</v>
      </c>
      <c r="O1710" s="2" t="s">
        <v>6037</v>
      </c>
      <c r="P1710" s="51">
        <v>0</v>
      </c>
      <c r="Q1710" s="99" t="s">
        <v>6038</v>
      </c>
    </row>
    <row r="1711" spans="1:18">
      <c r="A1711" s="71">
        <v>27</v>
      </c>
      <c r="B1711" s="2" t="s">
        <v>6012</v>
      </c>
      <c r="C1711" s="71">
        <v>56</v>
      </c>
      <c r="D1711" s="2" t="s">
        <v>7720</v>
      </c>
      <c r="E1711" s="74">
        <v>0</v>
      </c>
      <c r="F1711" s="71">
        <v>2</v>
      </c>
      <c r="G1711" s="2" t="s">
        <v>6090</v>
      </c>
      <c r="H1711" s="73" t="s">
        <v>7364</v>
      </c>
      <c r="I1711" s="100" t="s">
        <v>8014</v>
      </c>
      <c r="J1711" s="2" t="s">
        <v>23</v>
      </c>
      <c r="K1711" s="2" t="s">
        <v>23</v>
      </c>
      <c r="M1711" s="2" t="s">
        <v>24</v>
      </c>
      <c r="N1711" s="2" t="s">
        <v>23</v>
      </c>
      <c r="P1711" s="51">
        <v>0</v>
      </c>
      <c r="Q1711" s="99" t="s">
        <v>7182</v>
      </c>
    </row>
    <row r="1712" spans="1:18">
      <c r="A1712" s="71">
        <v>27</v>
      </c>
      <c r="B1712" s="2" t="s">
        <v>6012</v>
      </c>
      <c r="C1712" s="71">
        <v>56</v>
      </c>
      <c r="D1712" s="2" t="s">
        <v>7720</v>
      </c>
      <c r="E1712" s="74">
        <v>0</v>
      </c>
      <c r="F1712" s="71">
        <v>3</v>
      </c>
      <c r="G1712" s="2" t="s">
        <v>7180</v>
      </c>
      <c r="H1712" s="73" t="s">
        <v>7365</v>
      </c>
      <c r="I1712" s="100" t="s">
        <v>8015</v>
      </c>
      <c r="J1712" s="2" t="s">
        <v>24</v>
      </c>
      <c r="K1712" s="2" t="s">
        <v>23</v>
      </c>
      <c r="M1712" s="2" t="s">
        <v>24</v>
      </c>
      <c r="N1712" s="2" t="s">
        <v>23</v>
      </c>
      <c r="P1712" s="51">
        <v>0</v>
      </c>
      <c r="Q1712" s="99" t="s">
        <v>6862</v>
      </c>
      <c r="R1712" s="2" t="s">
        <v>7183</v>
      </c>
    </row>
    <row r="1713" spans="1:18">
      <c r="A1713" s="71">
        <v>27</v>
      </c>
      <c r="B1713" s="2" t="s">
        <v>6012</v>
      </c>
      <c r="C1713" s="71">
        <v>56</v>
      </c>
      <c r="D1713" s="2" t="s">
        <v>7720</v>
      </c>
      <c r="E1713" s="74">
        <v>0</v>
      </c>
      <c r="F1713" s="71">
        <v>4</v>
      </c>
      <c r="G1713" s="2" t="s">
        <v>7278</v>
      </c>
      <c r="H1713" s="73" t="s">
        <v>7366</v>
      </c>
      <c r="I1713" s="100" t="s">
        <v>8016</v>
      </c>
      <c r="J1713" s="2" t="s">
        <v>24</v>
      </c>
      <c r="K1713" s="2" t="s">
        <v>23</v>
      </c>
      <c r="M1713" s="2" t="s">
        <v>24</v>
      </c>
      <c r="N1713" s="2" t="s">
        <v>23</v>
      </c>
      <c r="P1713" s="51">
        <v>0</v>
      </c>
      <c r="Q1713" s="99" t="s">
        <v>7284</v>
      </c>
    </row>
    <row r="1714" spans="1:18">
      <c r="A1714" s="71">
        <v>27</v>
      </c>
      <c r="B1714" s="2" t="s">
        <v>6012</v>
      </c>
      <c r="C1714" s="71">
        <v>56</v>
      </c>
      <c r="D1714" s="2" t="s">
        <v>7720</v>
      </c>
      <c r="E1714" s="74">
        <v>0</v>
      </c>
      <c r="F1714" s="71">
        <v>5</v>
      </c>
      <c r="G1714" s="2" t="s">
        <v>7279</v>
      </c>
      <c r="H1714" s="73" t="s">
        <v>7367</v>
      </c>
      <c r="I1714" s="100" t="s">
        <v>8017</v>
      </c>
      <c r="J1714" s="2" t="s">
        <v>24</v>
      </c>
      <c r="K1714" s="2" t="s">
        <v>23</v>
      </c>
      <c r="M1714" s="2" t="s">
        <v>24</v>
      </c>
      <c r="N1714" s="2" t="s">
        <v>23</v>
      </c>
      <c r="P1714" s="51">
        <v>0</v>
      </c>
      <c r="Q1714" s="99" t="s">
        <v>7285</v>
      </c>
    </row>
    <row r="1715" spans="1:18">
      <c r="A1715" s="71">
        <v>27</v>
      </c>
      <c r="B1715" s="2" t="s">
        <v>6012</v>
      </c>
      <c r="C1715" s="71">
        <v>56</v>
      </c>
      <c r="D1715" s="2" t="s">
        <v>7720</v>
      </c>
      <c r="E1715" s="74">
        <v>0</v>
      </c>
      <c r="F1715" s="71">
        <v>6</v>
      </c>
      <c r="G1715" s="2" t="s">
        <v>7280</v>
      </c>
      <c r="H1715" s="73" t="s">
        <v>7368</v>
      </c>
      <c r="I1715" s="100" t="s">
        <v>8018</v>
      </c>
      <c r="J1715" s="2" t="s">
        <v>24</v>
      </c>
      <c r="K1715" s="2" t="s">
        <v>23</v>
      </c>
      <c r="M1715" s="2" t="s">
        <v>24</v>
      </c>
      <c r="N1715" s="2" t="s">
        <v>23</v>
      </c>
      <c r="P1715" s="51">
        <v>0</v>
      </c>
      <c r="Q1715" s="99" t="s">
        <v>7286</v>
      </c>
    </row>
    <row r="1716" spans="1:18">
      <c r="A1716" s="71">
        <v>27</v>
      </c>
      <c r="B1716" s="2" t="s">
        <v>6012</v>
      </c>
      <c r="C1716" s="71">
        <v>56</v>
      </c>
      <c r="D1716" s="2" t="s">
        <v>7720</v>
      </c>
      <c r="E1716" s="74">
        <v>0</v>
      </c>
      <c r="F1716" s="71">
        <v>7</v>
      </c>
      <c r="G1716" s="2" t="s">
        <v>7281</v>
      </c>
      <c r="H1716" s="73" t="s">
        <v>7369</v>
      </c>
      <c r="I1716" s="100" t="s">
        <v>8019</v>
      </c>
      <c r="J1716" s="2" t="s">
        <v>24</v>
      </c>
      <c r="K1716" s="2" t="s">
        <v>116</v>
      </c>
      <c r="L1716" s="16" t="s">
        <v>7287</v>
      </c>
      <c r="M1716" s="2" t="s">
        <v>24</v>
      </c>
      <c r="N1716" s="2" t="s">
        <v>116</v>
      </c>
      <c r="O1716" s="16" t="s">
        <v>7287</v>
      </c>
      <c r="P1716" s="51">
        <v>0</v>
      </c>
      <c r="Q1716" s="99" t="s">
        <v>7288</v>
      </c>
    </row>
    <row r="1717" spans="1:18">
      <c r="A1717" s="71">
        <v>27</v>
      </c>
      <c r="B1717" s="2" t="s">
        <v>6012</v>
      </c>
      <c r="C1717" s="71">
        <v>56</v>
      </c>
      <c r="D1717" s="2" t="s">
        <v>7720</v>
      </c>
      <c r="E1717" s="74">
        <v>0</v>
      </c>
      <c r="F1717" s="71">
        <v>8</v>
      </c>
      <c r="G1717" s="2" t="s">
        <v>7282</v>
      </c>
      <c r="H1717" s="73" t="s">
        <v>7370</v>
      </c>
      <c r="I1717" s="100" t="s">
        <v>8020</v>
      </c>
      <c r="J1717" s="2" t="s">
        <v>24</v>
      </c>
      <c r="K1717" s="2" t="s">
        <v>116</v>
      </c>
      <c r="L1717" s="16" t="s">
        <v>7289</v>
      </c>
      <c r="M1717" s="2" t="s">
        <v>24</v>
      </c>
      <c r="N1717" s="2" t="s">
        <v>116</v>
      </c>
      <c r="O1717" s="16" t="s">
        <v>7289</v>
      </c>
      <c r="P1717" s="51">
        <v>0</v>
      </c>
      <c r="Q1717" s="99" t="s">
        <v>7290</v>
      </c>
    </row>
    <row r="1718" spans="1:18">
      <c r="A1718" s="71">
        <v>27</v>
      </c>
      <c r="B1718" s="2" t="s">
        <v>6012</v>
      </c>
      <c r="C1718" s="71">
        <v>56</v>
      </c>
      <c r="D1718" s="2" t="s">
        <v>7720</v>
      </c>
      <c r="E1718" s="74">
        <v>0</v>
      </c>
      <c r="F1718" s="71">
        <v>9</v>
      </c>
      <c r="G1718" s="2" t="s">
        <v>1111</v>
      </c>
      <c r="H1718" s="73" t="s">
        <v>10747</v>
      </c>
      <c r="I1718" s="100" t="s">
        <v>10748</v>
      </c>
      <c r="J1718" s="2" t="s">
        <v>24</v>
      </c>
      <c r="K1718" s="2" t="s">
        <v>23</v>
      </c>
      <c r="L1718" s="16"/>
      <c r="M1718" s="2" t="s">
        <v>24</v>
      </c>
      <c r="N1718" s="2" t="s">
        <v>23</v>
      </c>
      <c r="O1718" s="16"/>
      <c r="P1718" s="51">
        <v>0</v>
      </c>
      <c r="Q1718" s="99" t="s">
        <v>1114</v>
      </c>
    </row>
    <row r="1719" spans="1:18">
      <c r="A1719" s="71">
        <v>27</v>
      </c>
      <c r="B1719" s="2" t="s">
        <v>6012</v>
      </c>
      <c r="C1719" s="71">
        <v>57</v>
      </c>
      <c r="D1719" s="2" t="s">
        <v>7721</v>
      </c>
      <c r="E1719" s="74">
        <v>0</v>
      </c>
      <c r="F1719" s="71">
        <v>0</v>
      </c>
      <c r="G1719" s="2" t="s">
        <v>20</v>
      </c>
      <c r="H1719" s="73" t="s">
        <v>7389</v>
      </c>
      <c r="I1719" s="76" t="s">
        <v>8021</v>
      </c>
      <c r="J1719" s="2" t="s">
        <v>24</v>
      </c>
      <c r="K1719" s="2" t="s">
        <v>25</v>
      </c>
      <c r="L1719" s="2" t="s">
        <v>26</v>
      </c>
      <c r="M1719" s="2" t="s">
        <v>24</v>
      </c>
      <c r="N1719" s="2" t="s">
        <v>25</v>
      </c>
      <c r="O1719" s="2" t="s">
        <v>26</v>
      </c>
      <c r="P1719" s="51">
        <v>0</v>
      </c>
      <c r="Q1719" s="1" t="s">
        <v>7381</v>
      </c>
    </row>
    <row r="1720" spans="1:18">
      <c r="A1720" s="71">
        <v>27</v>
      </c>
      <c r="B1720" s="2" t="s">
        <v>6012</v>
      </c>
      <c r="C1720" s="71">
        <v>57</v>
      </c>
      <c r="D1720" s="2" t="s">
        <v>7721</v>
      </c>
      <c r="E1720" s="74">
        <v>0</v>
      </c>
      <c r="F1720" s="71">
        <v>1</v>
      </c>
      <c r="G1720" s="2" t="s">
        <v>6035</v>
      </c>
      <c r="H1720" s="73" t="s">
        <v>7390</v>
      </c>
      <c r="I1720" s="100" t="s">
        <v>8022</v>
      </c>
      <c r="J1720" s="2" t="s">
        <v>24</v>
      </c>
      <c r="K1720" s="2" t="s">
        <v>25</v>
      </c>
      <c r="L1720" s="2" t="s">
        <v>6037</v>
      </c>
      <c r="M1720" s="2" t="s">
        <v>24</v>
      </c>
      <c r="N1720" s="2" t="s">
        <v>25</v>
      </c>
      <c r="O1720" s="2" t="s">
        <v>6037</v>
      </c>
      <c r="P1720" s="51">
        <v>0</v>
      </c>
      <c r="Q1720" s="99" t="s">
        <v>6038</v>
      </c>
    </row>
    <row r="1721" spans="1:18">
      <c r="A1721" s="71">
        <v>27</v>
      </c>
      <c r="B1721" s="2" t="s">
        <v>6012</v>
      </c>
      <c r="C1721" s="71">
        <v>57</v>
      </c>
      <c r="D1721" s="2" t="s">
        <v>7721</v>
      </c>
      <c r="E1721" s="74">
        <v>0</v>
      </c>
      <c r="F1721" s="71">
        <v>2</v>
      </c>
      <c r="G1721" s="2" t="s">
        <v>6090</v>
      </c>
      <c r="H1721" s="73" t="s">
        <v>7391</v>
      </c>
      <c r="I1721" s="100" t="s">
        <v>8023</v>
      </c>
      <c r="J1721" s="2" t="s">
        <v>23</v>
      </c>
      <c r="K1721" s="2" t="s">
        <v>23</v>
      </c>
      <c r="M1721" s="2" t="s">
        <v>24</v>
      </c>
      <c r="N1721" s="2" t="s">
        <v>23</v>
      </c>
      <c r="P1721" s="51">
        <v>0</v>
      </c>
      <c r="Q1721" s="99" t="s">
        <v>7182</v>
      </c>
    </row>
    <row r="1722" spans="1:18">
      <c r="A1722" s="71">
        <v>27</v>
      </c>
      <c r="B1722" s="2" t="s">
        <v>6012</v>
      </c>
      <c r="C1722" s="71">
        <v>57</v>
      </c>
      <c r="D1722" s="2" t="s">
        <v>7721</v>
      </c>
      <c r="E1722" s="74">
        <v>0</v>
      </c>
      <c r="F1722" s="71">
        <v>3</v>
      </c>
      <c r="G1722" s="2" t="s">
        <v>7378</v>
      </c>
      <c r="H1722" s="73" t="s">
        <v>7392</v>
      </c>
      <c r="I1722" s="100" t="s">
        <v>8024</v>
      </c>
      <c r="J1722" s="2" t="s">
        <v>24</v>
      </c>
      <c r="K1722" s="2" t="s">
        <v>23</v>
      </c>
      <c r="M1722" s="2" t="s">
        <v>24</v>
      </c>
      <c r="N1722" s="2" t="s">
        <v>23</v>
      </c>
      <c r="P1722" s="51">
        <v>0</v>
      </c>
      <c r="Q1722" s="99" t="s">
        <v>7382</v>
      </c>
    </row>
    <row r="1723" spans="1:18">
      <c r="A1723" s="71">
        <v>27</v>
      </c>
      <c r="B1723" s="2" t="s">
        <v>6012</v>
      </c>
      <c r="C1723" s="71">
        <v>57</v>
      </c>
      <c r="D1723" s="2" t="s">
        <v>7721</v>
      </c>
      <c r="E1723" s="74">
        <v>0</v>
      </c>
      <c r="F1723" s="71">
        <v>4</v>
      </c>
      <c r="G1723" s="2" t="s">
        <v>7379</v>
      </c>
      <c r="H1723" s="73" t="s">
        <v>7393</v>
      </c>
      <c r="I1723" s="100" t="s">
        <v>8025</v>
      </c>
      <c r="J1723" s="2" t="s">
        <v>24</v>
      </c>
      <c r="K1723" s="2" t="s">
        <v>23</v>
      </c>
      <c r="M1723" s="2" t="s">
        <v>24</v>
      </c>
      <c r="N1723" s="2" t="s">
        <v>23</v>
      </c>
      <c r="P1723" s="51">
        <v>0</v>
      </c>
      <c r="Q1723" s="99" t="s">
        <v>7383</v>
      </c>
    </row>
    <row r="1724" spans="1:18">
      <c r="A1724" s="71">
        <v>27</v>
      </c>
      <c r="B1724" s="2" t="s">
        <v>6012</v>
      </c>
      <c r="C1724" s="71">
        <v>57</v>
      </c>
      <c r="D1724" s="2" t="s">
        <v>7721</v>
      </c>
      <c r="E1724" s="74">
        <v>0</v>
      </c>
      <c r="F1724" s="71">
        <v>5</v>
      </c>
      <c r="G1724" s="2" t="s">
        <v>7281</v>
      </c>
      <c r="H1724" s="73" t="s">
        <v>7394</v>
      </c>
      <c r="I1724" s="100" t="s">
        <v>8026</v>
      </c>
      <c r="J1724" s="2" t="s">
        <v>24</v>
      </c>
      <c r="K1724" s="2" t="s">
        <v>116</v>
      </c>
      <c r="L1724" s="16" t="s">
        <v>7384</v>
      </c>
      <c r="M1724" s="2" t="s">
        <v>24</v>
      </c>
      <c r="N1724" s="2" t="s">
        <v>116</v>
      </c>
      <c r="O1724" s="16" t="s">
        <v>7384</v>
      </c>
      <c r="P1724" s="51">
        <v>0</v>
      </c>
      <c r="Q1724" s="99" t="s">
        <v>7385</v>
      </c>
    </row>
    <row r="1725" spans="1:18">
      <c r="A1725" s="71">
        <v>27</v>
      </c>
      <c r="B1725" s="2" t="s">
        <v>6012</v>
      </c>
      <c r="C1725" s="71">
        <v>57</v>
      </c>
      <c r="D1725" s="2" t="s">
        <v>7721</v>
      </c>
      <c r="E1725" s="74">
        <v>0</v>
      </c>
      <c r="F1725" s="71">
        <v>6</v>
      </c>
      <c r="G1725" s="2" t="s">
        <v>7282</v>
      </c>
      <c r="H1725" s="73" t="s">
        <v>7395</v>
      </c>
      <c r="I1725" s="100" t="s">
        <v>8027</v>
      </c>
      <c r="J1725" s="2" t="s">
        <v>24</v>
      </c>
      <c r="K1725" s="2" t="s">
        <v>116</v>
      </c>
      <c r="L1725" s="16" t="s">
        <v>7386</v>
      </c>
      <c r="M1725" s="2" t="s">
        <v>24</v>
      </c>
      <c r="N1725" s="2" t="s">
        <v>116</v>
      </c>
      <c r="O1725" s="16" t="s">
        <v>7386</v>
      </c>
      <c r="P1725" s="51">
        <v>0</v>
      </c>
      <c r="Q1725" s="99" t="s">
        <v>7385</v>
      </c>
    </row>
    <row r="1726" spans="1:18">
      <c r="A1726" s="71">
        <v>27</v>
      </c>
      <c r="B1726" s="2" t="s">
        <v>6012</v>
      </c>
      <c r="C1726" s="71">
        <v>57</v>
      </c>
      <c r="D1726" s="2" t="s">
        <v>7721</v>
      </c>
      <c r="E1726" s="74">
        <v>0</v>
      </c>
      <c r="F1726" s="71">
        <v>7</v>
      </c>
      <c r="G1726" s="2" t="s">
        <v>7380</v>
      </c>
      <c r="H1726" s="73" t="s">
        <v>7396</v>
      </c>
      <c r="I1726" s="100" t="s">
        <v>8028</v>
      </c>
      <c r="J1726" s="2" t="s">
        <v>24</v>
      </c>
      <c r="K1726" s="2" t="s">
        <v>23</v>
      </c>
      <c r="L1726" s="16"/>
      <c r="M1726" s="2" t="s">
        <v>24</v>
      </c>
      <c r="N1726" s="2" t="s">
        <v>23</v>
      </c>
      <c r="O1726" s="16"/>
      <c r="P1726" s="51">
        <v>0</v>
      </c>
      <c r="Q1726" s="99" t="s">
        <v>7387</v>
      </c>
      <c r="R1726" s="2" t="s">
        <v>7388</v>
      </c>
    </row>
    <row r="1727" spans="1:18">
      <c r="A1727" s="71">
        <v>27</v>
      </c>
      <c r="B1727" s="2" t="s">
        <v>6012</v>
      </c>
      <c r="C1727" s="71">
        <v>57</v>
      </c>
      <c r="D1727" s="2" t="s">
        <v>7721</v>
      </c>
      <c r="E1727" s="74">
        <v>0</v>
      </c>
      <c r="F1727" s="71">
        <v>8</v>
      </c>
      <c r="G1727" s="2" t="s">
        <v>6660</v>
      </c>
      <c r="H1727" s="73" t="s">
        <v>7397</v>
      </c>
      <c r="I1727" s="100" t="s">
        <v>8029</v>
      </c>
      <c r="J1727" s="2" t="s">
        <v>24</v>
      </c>
      <c r="K1727" s="2" t="s">
        <v>133</v>
      </c>
      <c r="L1727" s="16"/>
      <c r="M1727" s="2" t="s">
        <v>24</v>
      </c>
      <c r="N1727" s="2" t="s">
        <v>133</v>
      </c>
      <c r="O1727" s="16"/>
      <c r="P1727" s="51">
        <v>0</v>
      </c>
      <c r="Q1727" s="99" t="s">
        <v>4129</v>
      </c>
    </row>
    <row r="1728" spans="1:18">
      <c r="A1728" s="71">
        <v>27</v>
      </c>
      <c r="B1728" s="2" t="s">
        <v>6012</v>
      </c>
      <c r="C1728" s="71">
        <v>57</v>
      </c>
      <c r="D1728" s="2" t="s">
        <v>7721</v>
      </c>
      <c r="E1728" s="74">
        <v>0</v>
      </c>
      <c r="F1728" s="71">
        <v>9</v>
      </c>
      <c r="G1728" s="2" t="s">
        <v>273</v>
      </c>
      <c r="H1728" s="73" t="s">
        <v>7398</v>
      </c>
      <c r="I1728" s="100" t="s">
        <v>8030</v>
      </c>
      <c r="J1728" s="2" t="s">
        <v>24</v>
      </c>
      <c r="K1728" s="2" t="s">
        <v>139</v>
      </c>
      <c r="L1728" s="16"/>
      <c r="M1728" s="2" t="s">
        <v>24</v>
      </c>
      <c r="N1728" s="2" t="s">
        <v>139</v>
      </c>
      <c r="O1728" s="16"/>
      <c r="P1728" s="51">
        <v>0</v>
      </c>
      <c r="Q1728" s="99" t="s">
        <v>3053</v>
      </c>
    </row>
    <row r="1729" spans="1:18">
      <c r="A1729" s="71">
        <v>27</v>
      </c>
      <c r="B1729" s="2" t="s">
        <v>6012</v>
      </c>
      <c r="C1729" s="71">
        <v>58</v>
      </c>
      <c r="D1729" s="2" t="s">
        <v>7404</v>
      </c>
      <c r="E1729" s="74">
        <v>0</v>
      </c>
      <c r="F1729" s="71">
        <v>0</v>
      </c>
      <c r="G1729" s="2" t="s">
        <v>20</v>
      </c>
      <c r="H1729" s="73" t="s">
        <v>7418</v>
      </c>
      <c r="I1729" s="76" t="s">
        <v>7419</v>
      </c>
      <c r="J1729" s="2" t="s">
        <v>24</v>
      </c>
      <c r="K1729" s="2" t="s">
        <v>25</v>
      </c>
      <c r="L1729" s="2" t="s">
        <v>26</v>
      </c>
      <c r="M1729" s="2" t="s">
        <v>24</v>
      </c>
      <c r="N1729" s="2" t="s">
        <v>25</v>
      </c>
      <c r="O1729" s="2" t="s">
        <v>26</v>
      </c>
      <c r="P1729" s="51">
        <v>0</v>
      </c>
      <c r="Q1729" s="1" t="s">
        <v>7408</v>
      </c>
    </row>
    <row r="1730" spans="1:18">
      <c r="A1730" s="71">
        <v>27</v>
      </c>
      <c r="B1730" s="2" t="s">
        <v>6012</v>
      </c>
      <c r="C1730" s="71">
        <v>58</v>
      </c>
      <c r="D1730" s="2" t="s">
        <v>7404</v>
      </c>
      <c r="E1730" s="74">
        <v>0</v>
      </c>
      <c r="F1730" s="71">
        <v>1</v>
      </c>
      <c r="G1730" s="2" t="s">
        <v>6035</v>
      </c>
      <c r="H1730" s="73" t="s">
        <v>7420</v>
      </c>
      <c r="I1730" s="100" t="s">
        <v>7421</v>
      </c>
      <c r="J1730" s="2" t="s">
        <v>24</v>
      </c>
      <c r="K1730" s="2" t="s">
        <v>25</v>
      </c>
      <c r="L1730" s="2" t="s">
        <v>6037</v>
      </c>
      <c r="M1730" s="2" t="s">
        <v>24</v>
      </c>
      <c r="N1730" s="2" t="s">
        <v>25</v>
      </c>
      <c r="O1730" s="2" t="s">
        <v>6037</v>
      </c>
      <c r="P1730" s="51">
        <v>0</v>
      </c>
      <c r="Q1730" s="99" t="s">
        <v>6038</v>
      </c>
    </row>
    <row r="1731" spans="1:18">
      <c r="A1731" s="71">
        <v>27</v>
      </c>
      <c r="B1731" s="2" t="s">
        <v>6012</v>
      </c>
      <c r="C1731" s="71">
        <v>58</v>
      </c>
      <c r="D1731" s="2" t="s">
        <v>7404</v>
      </c>
      <c r="E1731" s="74">
        <v>0</v>
      </c>
      <c r="F1731" s="71">
        <v>2</v>
      </c>
      <c r="G1731" s="2" t="s">
        <v>6090</v>
      </c>
      <c r="H1731" s="73" t="s">
        <v>7422</v>
      </c>
      <c r="I1731" s="100" t="s">
        <v>7423</v>
      </c>
      <c r="J1731" s="2" t="s">
        <v>23</v>
      </c>
      <c r="K1731" s="2" t="s">
        <v>23</v>
      </c>
      <c r="M1731" s="2" t="s">
        <v>24</v>
      </c>
      <c r="N1731" s="2" t="s">
        <v>23</v>
      </c>
      <c r="P1731" s="51">
        <v>0</v>
      </c>
      <c r="Q1731" s="99" t="s">
        <v>7409</v>
      </c>
    </row>
    <row r="1732" spans="1:18">
      <c r="A1732" s="71">
        <v>27</v>
      </c>
      <c r="B1732" s="2" t="s">
        <v>6012</v>
      </c>
      <c r="C1732" s="71">
        <v>58</v>
      </c>
      <c r="D1732" s="2" t="s">
        <v>7404</v>
      </c>
      <c r="E1732" s="74">
        <v>0</v>
      </c>
      <c r="F1732" s="71">
        <v>3</v>
      </c>
      <c r="G1732" s="2" t="s">
        <v>6660</v>
      </c>
      <c r="H1732" s="73" t="s">
        <v>7424</v>
      </c>
      <c r="I1732" s="100" t="s">
        <v>7425</v>
      </c>
      <c r="J1732" s="2" t="s">
        <v>24</v>
      </c>
      <c r="K1732" s="2" t="s">
        <v>133</v>
      </c>
      <c r="M1732" s="2" t="s">
        <v>24</v>
      </c>
      <c r="N1732" s="2" t="s">
        <v>133</v>
      </c>
      <c r="P1732" s="51">
        <v>0</v>
      </c>
      <c r="Q1732" s="99" t="s">
        <v>7410</v>
      </c>
    </row>
    <row r="1733" spans="1:18">
      <c r="A1733" s="71">
        <v>27</v>
      </c>
      <c r="B1733" s="2" t="s">
        <v>6012</v>
      </c>
      <c r="C1733" s="71">
        <v>58</v>
      </c>
      <c r="D1733" s="2" t="s">
        <v>7404</v>
      </c>
      <c r="E1733" s="74">
        <v>0</v>
      </c>
      <c r="F1733" s="71">
        <v>4</v>
      </c>
      <c r="G1733" s="2" t="s">
        <v>6860</v>
      </c>
      <c r="H1733" s="73" t="s">
        <v>7426</v>
      </c>
      <c r="I1733" s="100" t="s">
        <v>7427</v>
      </c>
      <c r="J1733" s="2" t="s">
        <v>24</v>
      </c>
      <c r="K1733" s="2" t="s">
        <v>263</v>
      </c>
      <c r="M1733" s="2" t="s">
        <v>24</v>
      </c>
      <c r="N1733" s="2" t="s">
        <v>263</v>
      </c>
      <c r="P1733" s="51">
        <v>0</v>
      </c>
      <c r="Q1733" s="99" t="s">
        <v>7411</v>
      </c>
    </row>
    <row r="1734" spans="1:18">
      <c r="A1734" s="71">
        <v>27</v>
      </c>
      <c r="B1734" s="2" t="s">
        <v>6012</v>
      </c>
      <c r="C1734" s="71">
        <v>58</v>
      </c>
      <c r="D1734" s="2" t="s">
        <v>7404</v>
      </c>
      <c r="E1734" s="74">
        <v>0</v>
      </c>
      <c r="F1734" s="71">
        <v>5</v>
      </c>
      <c r="G1734" s="2" t="s">
        <v>7405</v>
      </c>
      <c r="H1734" s="73" t="s">
        <v>7428</v>
      </c>
      <c r="I1734" s="100" t="s">
        <v>7429</v>
      </c>
      <c r="J1734" s="2" t="s">
        <v>23</v>
      </c>
      <c r="K1734" s="2" t="s">
        <v>23</v>
      </c>
      <c r="M1734" s="2" t="s">
        <v>24</v>
      </c>
      <c r="N1734" s="2" t="s">
        <v>206</v>
      </c>
      <c r="P1734" s="51">
        <v>0</v>
      </c>
      <c r="Q1734" s="107" t="s">
        <v>2514</v>
      </c>
    </row>
    <row r="1735" spans="1:18">
      <c r="A1735" s="71">
        <v>27</v>
      </c>
      <c r="B1735" s="2" t="s">
        <v>6012</v>
      </c>
      <c r="C1735" s="71">
        <v>58</v>
      </c>
      <c r="D1735" s="2" t="s">
        <v>7404</v>
      </c>
      <c r="E1735" s="74">
        <v>0</v>
      </c>
      <c r="F1735" s="71">
        <v>6</v>
      </c>
      <c r="G1735" s="2" t="s">
        <v>6830</v>
      </c>
      <c r="H1735" s="73" t="s">
        <v>7430</v>
      </c>
      <c r="I1735" s="100" t="s">
        <v>7412</v>
      </c>
      <c r="J1735" s="2" t="s">
        <v>24</v>
      </c>
      <c r="K1735" s="2" t="s">
        <v>116</v>
      </c>
      <c r="L1735" s="16" t="s">
        <v>7412</v>
      </c>
      <c r="M1735" s="2" t="s">
        <v>24</v>
      </c>
      <c r="N1735" s="2" t="s">
        <v>116</v>
      </c>
      <c r="O1735" s="16" t="s">
        <v>6906</v>
      </c>
      <c r="P1735" s="51">
        <v>0</v>
      </c>
      <c r="Q1735" s="99" t="s">
        <v>2518</v>
      </c>
    </row>
    <row r="1736" spans="1:18">
      <c r="A1736" s="71">
        <v>27</v>
      </c>
      <c r="B1736" s="2" t="s">
        <v>6012</v>
      </c>
      <c r="C1736" s="71">
        <v>58</v>
      </c>
      <c r="D1736" s="2" t="s">
        <v>7404</v>
      </c>
      <c r="E1736" s="74">
        <v>0</v>
      </c>
      <c r="F1736" s="71">
        <v>7</v>
      </c>
      <c r="G1736" s="2" t="s">
        <v>7406</v>
      </c>
      <c r="H1736" s="73" t="s">
        <v>7431</v>
      </c>
      <c r="I1736" s="100" t="s">
        <v>7432</v>
      </c>
      <c r="J1736" s="2" t="s">
        <v>24</v>
      </c>
      <c r="K1736" s="2" t="s">
        <v>25</v>
      </c>
      <c r="L1736" s="2" t="s">
        <v>7413</v>
      </c>
      <c r="M1736" s="2" t="s">
        <v>24</v>
      </c>
      <c r="N1736" s="2" t="s">
        <v>25</v>
      </c>
      <c r="O1736" s="2" t="s">
        <v>6286</v>
      </c>
      <c r="P1736" s="51">
        <v>0</v>
      </c>
      <c r="Q1736" s="99" t="s">
        <v>7414</v>
      </c>
    </row>
    <row r="1737" spans="1:18">
      <c r="A1737" s="71">
        <v>27</v>
      </c>
      <c r="B1737" s="2" t="s">
        <v>6012</v>
      </c>
      <c r="C1737" s="71">
        <v>58</v>
      </c>
      <c r="D1737" s="2" t="s">
        <v>7404</v>
      </c>
      <c r="E1737" s="74">
        <v>0</v>
      </c>
      <c r="F1737" s="71">
        <v>8</v>
      </c>
      <c r="G1737" s="2" t="s">
        <v>7022</v>
      </c>
      <c r="H1737" s="73" t="s">
        <v>7433</v>
      </c>
      <c r="I1737" s="100" t="s">
        <v>7434</v>
      </c>
      <c r="J1737" s="2" t="s">
        <v>24</v>
      </c>
      <c r="K1737" s="2" t="s">
        <v>25</v>
      </c>
      <c r="L1737" s="2" t="s">
        <v>7415</v>
      </c>
      <c r="M1737" s="2" t="s">
        <v>24</v>
      </c>
      <c r="N1737" s="2" t="s">
        <v>25</v>
      </c>
      <c r="O1737" s="2" t="s">
        <v>7416</v>
      </c>
      <c r="P1737" s="51">
        <v>0</v>
      </c>
      <c r="Q1737" s="99" t="s">
        <v>7029</v>
      </c>
    </row>
    <row r="1738" spans="1:18">
      <c r="A1738" s="71">
        <v>27</v>
      </c>
      <c r="B1738" s="2" t="s">
        <v>6012</v>
      </c>
      <c r="C1738" s="71">
        <v>58</v>
      </c>
      <c r="D1738" s="2" t="s">
        <v>7404</v>
      </c>
      <c r="E1738" s="74">
        <v>0</v>
      </c>
      <c r="F1738" s="71">
        <v>9</v>
      </c>
      <c r="G1738" s="2" t="s">
        <v>7407</v>
      </c>
      <c r="H1738" s="73" t="s">
        <v>7435</v>
      </c>
      <c r="I1738" s="100" t="s">
        <v>7417</v>
      </c>
      <c r="J1738" s="2" t="s">
        <v>24</v>
      </c>
      <c r="K1738" s="2" t="s">
        <v>116</v>
      </c>
      <c r="L1738" s="16" t="s">
        <v>7417</v>
      </c>
      <c r="M1738" s="2" t="s">
        <v>24</v>
      </c>
      <c r="N1738" s="2" t="s">
        <v>116</v>
      </c>
      <c r="O1738" s="16" t="s">
        <v>7417</v>
      </c>
      <c r="P1738" s="51">
        <v>0</v>
      </c>
      <c r="Q1738" s="99" t="s">
        <v>2535</v>
      </c>
    </row>
    <row r="1739" spans="1:18">
      <c r="A1739" s="71">
        <v>27</v>
      </c>
      <c r="B1739" s="2" t="s">
        <v>6012</v>
      </c>
      <c r="C1739" s="71">
        <v>59</v>
      </c>
      <c r="D1739" s="2" t="s">
        <v>7722</v>
      </c>
      <c r="E1739" s="74">
        <v>0</v>
      </c>
      <c r="F1739" s="71">
        <v>0</v>
      </c>
      <c r="G1739" s="2" t="s">
        <v>20</v>
      </c>
      <c r="H1739" s="73" t="s">
        <v>7506</v>
      </c>
      <c r="I1739" s="76" t="s">
        <v>8031</v>
      </c>
      <c r="J1739" s="2" t="s">
        <v>24</v>
      </c>
      <c r="K1739" s="2" t="s">
        <v>25</v>
      </c>
      <c r="L1739" s="2" t="s">
        <v>26</v>
      </c>
      <c r="M1739" s="2" t="s">
        <v>24</v>
      </c>
      <c r="N1739" s="2" t="s">
        <v>25</v>
      </c>
      <c r="O1739" s="2" t="s">
        <v>26</v>
      </c>
      <c r="P1739" s="51">
        <v>0</v>
      </c>
      <c r="Q1739" s="1" t="s">
        <v>7439</v>
      </c>
    </row>
    <row r="1740" spans="1:18">
      <c r="A1740" s="71">
        <v>27</v>
      </c>
      <c r="B1740" s="2" t="s">
        <v>6012</v>
      </c>
      <c r="C1740" s="71">
        <v>59</v>
      </c>
      <c r="D1740" s="2" t="s">
        <v>7722</v>
      </c>
      <c r="E1740" s="74">
        <v>0</v>
      </c>
      <c r="F1740" s="71">
        <v>1</v>
      </c>
      <c r="G1740" s="2" t="s">
        <v>6035</v>
      </c>
      <c r="H1740" s="73" t="s">
        <v>7507</v>
      </c>
      <c r="I1740" s="100" t="s">
        <v>8032</v>
      </c>
      <c r="J1740" s="2" t="s">
        <v>24</v>
      </c>
      <c r="K1740" s="2" t="s">
        <v>25</v>
      </c>
      <c r="L1740" s="2" t="s">
        <v>6037</v>
      </c>
      <c r="M1740" s="2" t="s">
        <v>24</v>
      </c>
      <c r="N1740" s="2" t="s">
        <v>25</v>
      </c>
      <c r="O1740" s="2" t="s">
        <v>6037</v>
      </c>
      <c r="P1740" s="51">
        <v>0</v>
      </c>
      <c r="Q1740" s="99" t="s">
        <v>6038</v>
      </c>
    </row>
    <row r="1741" spans="1:18">
      <c r="A1741" s="71">
        <v>27</v>
      </c>
      <c r="B1741" s="2" t="s">
        <v>6012</v>
      </c>
      <c r="C1741" s="71">
        <v>59</v>
      </c>
      <c r="D1741" s="2" t="s">
        <v>7722</v>
      </c>
      <c r="E1741" s="74">
        <v>0</v>
      </c>
      <c r="F1741" s="71">
        <v>2</v>
      </c>
      <c r="G1741" s="2" t="s">
        <v>6090</v>
      </c>
      <c r="H1741" s="73" t="s">
        <v>7508</v>
      </c>
      <c r="I1741" s="100" t="s">
        <v>8033</v>
      </c>
      <c r="J1741" s="2" t="s">
        <v>23</v>
      </c>
      <c r="K1741" s="2" t="s">
        <v>23</v>
      </c>
      <c r="M1741" s="2" t="s">
        <v>24</v>
      </c>
      <c r="N1741" s="2" t="s">
        <v>23</v>
      </c>
      <c r="P1741" s="51">
        <v>0</v>
      </c>
      <c r="Q1741" s="99" t="s">
        <v>7409</v>
      </c>
    </row>
    <row r="1742" spans="1:18">
      <c r="A1742" s="71">
        <v>27</v>
      </c>
      <c r="B1742" s="2" t="s">
        <v>6012</v>
      </c>
      <c r="C1742" s="71">
        <v>59</v>
      </c>
      <c r="D1742" s="2" t="s">
        <v>7722</v>
      </c>
      <c r="E1742" s="74">
        <v>0</v>
      </c>
      <c r="F1742" s="71">
        <v>3</v>
      </c>
      <c r="G1742" s="2" t="s">
        <v>6660</v>
      </c>
      <c r="H1742" s="73" t="s">
        <v>7509</v>
      </c>
      <c r="I1742" s="100" t="s">
        <v>8034</v>
      </c>
      <c r="J1742" s="2" t="s">
        <v>23</v>
      </c>
      <c r="K1742" s="2" t="s">
        <v>23</v>
      </c>
      <c r="M1742" s="2" t="s">
        <v>24</v>
      </c>
      <c r="N1742" s="2" t="s">
        <v>133</v>
      </c>
      <c r="P1742" s="51">
        <v>0</v>
      </c>
      <c r="Q1742" s="99" t="s">
        <v>7440</v>
      </c>
      <c r="R1742" s="6" t="s">
        <v>7441</v>
      </c>
    </row>
    <row r="1743" spans="1:18">
      <c r="A1743" s="71">
        <v>27</v>
      </c>
      <c r="B1743" s="2" t="s">
        <v>6012</v>
      </c>
      <c r="C1743" s="71">
        <v>59</v>
      </c>
      <c r="D1743" s="2" t="s">
        <v>7722</v>
      </c>
      <c r="E1743" s="74">
        <v>0</v>
      </c>
      <c r="F1743" s="71">
        <v>4</v>
      </c>
      <c r="G1743" s="2" t="s">
        <v>6860</v>
      </c>
      <c r="H1743" s="73" t="s">
        <v>7510</v>
      </c>
      <c r="I1743" s="100" t="s">
        <v>8035</v>
      </c>
      <c r="J1743" s="2" t="s">
        <v>23</v>
      </c>
      <c r="K1743" s="2" t="s">
        <v>23</v>
      </c>
      <c r="M1743" s="2" t="s">
        <v>24</v>
      </c>
      <c r="N1743" s="2" t="s">
        <v>263</v>
      </c>
      <c r="P1743" s="51">
        <v>0</v>
      </c>
      <c r="Q1743" s="99" t="s">
        <v>7442</v>
      </c>
      <c r="R1743" s="6" t="s">
        <v>7443</v>
      </c>
    </row>
    <row r="1744" spans="1:18">
      <c r="A1744" s="71">
        <v>27</v>
      </c>
      <c r="B1744" s="2" t="s">
        <v>6012</v>
      </c>
      <c r="C1744" s="71">
        <v>60</v>
      </c>
      <c r="D1744" s="2" t="s">
        <v>7723</v>
      </c>
      <c r="E1744" s="74">
        <v>0</v>
      </c>
      <c r="F1744" s="71">
        <v>0</v>
      </c>
      <c r="G1744" s="2" t="s">
        <v>20</v>
      </c>
      <c r="H1744" s="73" t="s">
        <v>7511</v>
      </c>
      <c r="I1744" s="76" t="s">
        <v>8036</v>
      </c>
      <c r="J1744" s="2" t="s">
        <v>24</v>
      </c>
      <c r="K1744" s="2" t="s">
        <v>25</v>
      </c>
      <c r="L1744" s="2" t="s">
        <v>26</v>
      </c>
      <c r="M1744" s="2" t="s">
        <v>24</v>
      </c>
      <c r="N1744" s="2" t="s">
        <v>25</v>
      </c>
      <c r="O1744" s="2" t="s">
        <v>26</v>
      </c>
      <c r="P1744" s="51">
        <v>0</v>
      </c>
      <c r="Q1744" s="1" t="s">
        <v>7445</v>
      </c>
    </row>
    <row r="1745" spans="1:18">
      <c r="A1745" s="71">
        <v>27</v>
      </c>
      <c r="B1745" s="2" t="s">
        <v>6012</v>
      </c>
      <c r="C1745" s="71">
        <v>60</v>
      </c>
      <c r="D1745" s="2" t="s">
        <v>7723</v>
      </c>
      <c r="E1745" s="74">
        <v>0</v>
      </c>
      <c r="F1745" s="71">
        <v>1</v>
      </c>
      <c r="G1745" s="2" t="s">
        <v>6035</v>
      </c>
      <c r="H1745" s="73" t="s">
        <v>7512</v>
      </c>
      <c r="I1745" s="100" t="s">
        <v>8037</v>
      </c>
      <c r="J1745" s="2" t="s">
        <v>24</v>
      </c>
      <c r="K1745" s="2" t="s">
        <v>25</v>
      </c>
      <c r="L1745" s="2" t="s">
        <v>6037</v>
      </c>
      <c r="M1745" s="2" t="s">
        <v>24</v>
      </c>
      <c r="N1745" s="2" t="s">
        <v>25</v>
      </c>
      <c r="O1745" s="2" t="s">
        <v>6037</v>
      </c>
      <c r="P1745" s="51">
        <v>0</v>
      </c>
      <c r="Q1745" s="99" t="s">
        <v>6038</v>
      </c>
    </row>
    <row r="1746" spans="1:18">
      <c r="A1746" s="71">
        <v>27</v>
      </c>
      <c r="B1746" s="2" t="s">
        <v>6012</v>
      </c>
      <c r="C1746" s="71">
        <v>60</v>
      </c>
      <c r="D1746" s="2" t="s">
        <v>7723</v>
      </c>
      <c r="E1746" s="74">
        <v>0</v>
      </c>
      <c r="F1746" s="71">
        <v>2</v>
      </c>
      <c r="G1746" s="2" t="s">
        <v>6090</v>
      </c>
      <c r="H1746" s="73" t="s">
        <v>7513</v>
      </c>
      <c r="I1746" s="100" t="s">
        <v>8038</v>
      </c>
      <c r="J1746" s="2" t="s">
        <v>23</v>
      </c>
      <c r="K1746" s="2" t="s">
        <v>23</v>
      </c>
      <c r="M1746" s="2" t="s">
        <v>24</v>
      </c>
      <c r="N1746" s="2" t="s">
        <v>23</v>
      </c>
      <c r="P1746" s="51">
        <v>0</v>
      </c>
      <c r="Q1746" s="99" t="s">
        <v>7409</v>
      </c>
    </row>
    <row r="1747" spans="1:18">
      <c r="A1747" s="71">
        <v>27</v>
      </c>
      <c r="B1747" s="2" t="s">
        <v>6012</v>
      </c>
      <c r="C1747" s="71">
        <v>60</v>
      </c>
      <c r="D1747" s="2" t="s">
        <v>7723</v>
      </c>
      <c r="E1747" s="74">
        <v>0</v>
      </c>
      <c r="F1747" s="71">
        <v>3</v>
      </c>
      <c r="G1747" s="2" t="s">
        <v>6660</v>
      </c>
      <c r="H1747" s="73" t="s">
        <v>7514</v>
      </c>
      <c r="I1747" s="100" t="s">
        <v>8039</v>
      </c>
      <c r="J1747" s="2" t="s">
        <v>23</v>
      </c>
      <c r="K1747" s="2" t="s">
        <v>23</v>
      </c>
      <c r="M1747" s="2" t="s">
        <v>24</v>
      </c>
      <c r="N1747" s="2" t="s">
        <v>133</v>
      </c>
      <c r="P1747" s="51">
        <v>0</v>
      </c>
      <c r="Q1747" s="99" t="s">
        <v>7446</v>
      </c>
      <c r="R1747" s="6" t="s">
        <v>7447</v>
      </c>
    </row>
    <row r="1748" spans="1:18">
      <c r="A1748" s="71">
        <v>27</v>
      </c>
      <c r="B1748" s="2" t="s">
        <v>6012</v>
      </c>
      <c r="C1748" s="71">
        <v>60</v>
      </c>
      <c r="D1748" s="2" t="s">
        <v>7723</v>
      </c>
      <c r="E1748" s="74">
        <v>0</v>
      </c>
      <c r="F1748" s="71">
        <v>4</v>
      </c>
      <c r="G1748" s="2" t="s">
        <v>6860</v>
      </c>
      <c r="H1748" s="73" t="s">
        <v>7515</v>
      </c>
      <c r="I1748" s="100" t="s">
        <v>8040</v>
      </c>
      <c r="J1748" s="2" t="s">
        <v>23</v>
      </c>
      <c r="K1748" s="2" t="s">
        <v>23</v>
      </c>
      <c r="M1748" s="2" t="s">
        <v>24</v>
      </c>
      <c r="N1748" s="2" t="s">
        <v>263</v>
      </c>
      <c r="P1748" s="51">
        <v>0</v>
      </c>
      <c r="Q1748" s="99" t="s">
        <v>7448</v>
      </c>
      <c r="R1748" s="6" t="s">
        <v>7449</v>
      </c>
    </row>
    <row r="1749" spans="1:18">
      <c r="A1749" s="71">
        <v>27</v>
      </c>
      <c r="B1749" s="2" t="s">
        <v>6012</v>
      </c>
      <c r="C1749" s="71">
        <v>60</v>
      </c>
      <c r="D1749" s="2" t="s">
        <v>7723</v>
      </c>
      <c r="E1749" s="74">
        <v>0</v>
      </c>
      <c r="F1749" s="71">
        <v>5</v>
      </c>
      <c r="G1749" s="2" t="s">
        <v>7444</v>
      </c>
      <c r="H1749" s="73" t="s">
        <v>7516</v>
      </c>
      <c r="I1749" s="100" t="s">
        <v>8041</v>
      </c>
      <c r="J1749" s="2" t="s">
        <v>23</v>
      </c>
      <c r="K1749" s="2" t="s">
        <v>23</v>
      </c>
      <c r="M1749" s="2" t="s">
        <v>24</v>
      </c>
      <c r="N1749" s="2" t="s">
        <v>335</v>
      </c>
      <c r="P1749" s="51">
        <v>0</v>
      </c>
      <c r="Q1749" s="99" t="s">
        <v>7450</v>
      </c>
      <c r="R1749" s="6" t="s">
        <v>7451</v>
      </c>
    </row>
    <row r="1750" spans="1:18">
      <c r="A1750" s="71">
        <v>27</v>
      </c>
      <c r="B1750" s="2" t="s">
        <v>6012</v>
      </c>
      <c r="C1750" s="71">
        <v>61</v>
      </c>
      <c r="D1750" s="2" t="s">
        <v>7724</v>
      </c>
      <c r="E1750" s="74">
        <v>0</v>
      </c>
      <c r="F1750" s="71">
        <v>0</v>
      </c>
      <c r="G1750" s="2" t="s">
        <v>20</v>
      </c>
      <c r="H1750" s="73" t="s">
        <v>7517</v>
      </c>
      <c r="I1750" s="76" t="s">
        <v>8042</v>
      </c>
      <c r="J1750" s="2" t="s">
        <v>24</v>
      </c>
      <c r="K1750" s="2" t="s">
        <v>25</v>
      </c>
      <c r="L1750" s="2" t="s">
        <v>26</v>
      </c>
      <c r="M1750" s="2" t="s">
        <v>24</v>
      </c>
      <c r="N1750" s="2" t="s">
        <v>25</v>
      </c>
      <c r="O1750" s="2" t="s">
        <v>26</v>
      </c>
      <c r="P1750" s="51">
        <v>0</v>
      </c>
      <c r="Q1750" s="1" t="s">
        <v>7455</v>
      </c>
    </row>
    <row r="1751" spans="1:18">
      <c r="A1751" s="71">
        <v>27</v>
      </c>
      <c r="B1751" s="2" t="s">
        <v>6012</v>
      </c>
      <c r="C1751" s="71">
        <v>61</v>
      </c>
      <c r="D1751" s="2" t="s">
        <v>7724</v>
      </c>
      <c r="E1751" s="74">
        <v>0</v>
      </c>
      <c r="F1751" s="71">
        <v>1</v>
      </c>
      <c r="G1751" s="2" t="s">
        <v>6035</v>
      </c>
      <c r="H1751" s="73" t="s">
        <v>7518</v>
      </c>
      <c r="I1751" s="100" t="s">
        <v>8043</v>
      </c>
      <c r="J1751" s="2" t="s">
        <v>24</v>
      </c>
      <c r="K1751" s="2" t="s">
        <v>25</v>
      </c>
      <c r="L1751" s="2" t="s">
        <v>6037</v>
      </c>
      <c r="M1751" s="2" t="s">
        <v>24</v>
      </c>
      <c r="N1751" s="2" t="s">
        <v>25</v>
      </c>
      <c r="O1751" s="2" t="s">
        <v>6037</v>
      </c>
      <c r="P1751" s="51">
        <v>0</v>
      </c>
      <c r="Q1751" s="99" t="s">
        <v>6038</v>
      </c>
    </row>
    <row r="1752" spans="1:18">
      <c r="A1752" s="71">
        <v>27</v>
      </c>
      <c r="B1752" s="2" t="s">
        <v>6012</v>
      </c>
      <c r="C1752" s="71">
        <v>61</v>
      </c>
      <c r="D1752" s="2" t="s">
        <v>7724</v>
      </c>
      <c r="E1752" s="74">
        <v>0</v>
      </c>
      <c r="F1752" s="71">
        <v>2</v>
      </c>
      <c r="G1752" s="2" t="s">
        <v>6090</v>
      </c>
      <c r="H1752" s="73" t="s">
        <v>7519</v>
      </c>
      <c r="I1752" s="100" t="s">
        <v>8044</v>
      </c>
      <c r="J1752" s="2" t="s">
        <v>23</v>
      </c>
      <c r="K1752" s="2" t="s">
        <v>23</v>
      </c>
      <c r="M1752" s="2" t="s">
        <v>24</v>
      </c>
      <c r="N1752" s="2" t="s">
        <v>23</v>
      </c>
      <c r="P1752" s="51">
        <v>0</v>
      </c>
      <c r="Q1752" s="99" t="s">
        <v>7409</v>
      </c>
    </row>
    <row r="1753" spans="1:18">
      <c r="A1753" s="71">
        <v>27</v>
      </c>
      <c r="B1753" s="2" t="s">
        <v>6012</v>
      </c>
      <c r="C1753" s="71">
        <v>61</v>
      </c>
      <c r="D1753" s="2" t="s">
        <v>7724</v>
      </c>
      <c r="E1753" s="74">
        <v>0</v>
      </c>
      <c r="F1753" s="71">
        <v>3</v>
      </c>
      <c r="G1753" s="2" t="s">
        <v>7452</v>
      </c>
      <c r="H1753" s="73" t="s">
        <v>7520</v>
      </c>
      <c r="I1753" s="100" t="s">
        <v>8045</v>
      </c>
      <c r="J1753" s="2" t="s">
        <v>23</v>
      </c>
      <c r="K1753" s="2" t="s">
        <v>23</v>
      </c>
      <c r="M1753" s="2" t="s">
        <v>24</v>
      </c>
      <c r="N1753" s="2" t="s">
        <v>298</v>
      </c>
      <c r="P1753" s="51">
        <v>0</v>
      </c>
      <c r="Q1753" s="107" t="s">
        <v>7456</v>
      </c>
      <c r="R1753" s="6" t="s">
        <v>7457</v>
      </c>
    </row>
    <row r="1754" spans="1:18">
      <c r="A1754" s="71">
        <v>27</v>
      </c>
      <c r="B1754" s="2" t="s">
        <v>6012</v>
      </c>
      <c r="C1754" s="71">
        <v>61</v>
      </c>
      <c r="D1754" s="2" t="s">
        <v>7724</v>
      </c>
      <c r="E1754" s="74">
        <v>0</v>
      </c>
      <c r="F1754" s="71">
        <v>4</v>
      </c>
      <c r="G1754" s="2" t="s">
        <v>7453</v>
      </c>
      <c r="H1754" s="73" t="s">
        <v>7521</v>
      </c>
      <c r="I1754" s="100" t="s">
        <v>8046</v>
      </c>
      <c r="J1754" s="2" t="s">
        <v>23</v>
      </c>
      <c r="K1754" s="2" t="s">
        <v>23</v>
      </c>
      <c r="M1754" s="2" t="s">
        <v>24</v>
      </c>
      <c r="N1754" s="2" t="s">
        <v>298</v>
      </c>
      <c r="P1754" s="51">
        <v>0</v>
      </c>
      <c r="Q1754" s="107" t="s">
        <v>7458</v>
      </c>
      <c r="R1754" s="6" t="s">
        <v>7459</v>
      </c>
    </row>
    <row r="1755" spans="1:18">
      <c r="A1755" s="71">
        <v>27</v>
      </c>
      <c r="B1755" s="2" t="s">
        <v>6012</v>
      </c>
      <c r="C1755" s="71">
        <v>61</v>
      </c>
      <c r="D1755" s="2" t="s">
        <v>7724</v>
      </c>
      <c r="E1755" s="74">
        <v>0</v>
      </c>
      <c r="F1755" s="71">
        <v>5</v>
      </c>
      <c r="G1755" s="2" t="s">
        <v>7454</v>
      </c>
      <c r="H1755" s="73" t="s">
        <v>7522</v>
      </c>
      <c r="I1755" s="100" t="s">
        <v>8047</v>
      </c>
      <c r="J1755" s="2" t="s">
        <v>23</v>
      </c>
      <c r="K1755" s="2" t="s">
        <v>23</v>
      </c>
      <c r="M1755" s="2" t="s">
        <v>24</v>
      </c>
      <c r="N1755" s="2" t="s">
        <v>298</v>
      </c>
      <c r="P1755" s="51">
        <v>0</v>
      </c>
      <c r="Q1755" s="107" t="s">
        <v>7460</v>
      </c>
      <c r="R1755" s="6" t="s">
        <v>7461</v>
      </c>
    </row>
    <row r="1756" spans="1:18">
      <c r="A1756" s="71">
        <v>27</v>
      </c>
      <c r="B1756" s="2" t="s">
        <v>6012</v>
      </c>
      <c r="C1756" s="71">
        <v>62</v>
      </c>
      <c r="D1756" s="2" t="s">
        <v>7725</v>
      </c>
      <c r="E1756" s="74">
        <v>0</v>
      </c>
      <c r="F1756" s="71">
        <v>0</v>
      </c>
      <c r="G1756" s="2" t="s">
        <v>20</v>
      </c>
      <c r="H1756" s="73" t="s">
        <v>7523</v>
      </c>
      <c r="I1756" s="76" t="s">
        <v>8048</v>
      </c>
      <c r="J1756" s="2" t="s">
        <v>24</v>
      </c>
      <c r="K1756" s="2" t="s">
        <v>25</v>
      </c>
      <c r="L1756" s="2" t="s">
        <v>26</v>
      </c>
      <c r="M1756" s="2" t="s">
        <v>24</v>
      </c>
      <c r="N1756" s="2" t="s">
        <v>25</v>
      </c>
      <c r="O1756" s="2" t="s">
        <v>26</v>
      </c>
      <c r="P1756" s="51">
        <v>0</v>
      </c>
      <c r="Q1756" s="1" t="s">
        <v>7463</v>
      </c>
    </row>
    <row r="1757" spans="1:18">
      <c r="A1757" s="71">
        <v>27</v>
      </c>
      <c r="B1757" s="2" t="s">
        <v>6012</v>
      </c>
      <c r="C1757" s="71">
        <v>62</v>
      </c>
      <c r="D1757" s="2" t="s">
        <v>7725</v>
      </c>
      <c r="E1757" s="74">
        <v>0</v>
      </c>
      <c r="F1757" s="71">
        <v>1</v>
      </c>
      <c r="G1757" s="2" t="s">
        <v>6035</v>
      </c>
      <c r="H1757" s="73" t="s">
        <v>7524</v>
      </c>
      <c r="I1757" s="100" t="s">
        <v>8049</v>
      </c>
      <c r="J1757" s="2" t="s">
        <v>24</v>
      </c>
      <c r="K1757" s="2" t="s">
        <v>25</v>
      </c>
      <c r="L1757" s="2" t="s">
        <v>6037</v>
      </c>
      <c r="M1757" s="2" t="s">
        <v>24</v>
      </c>
      <c r="N1757" s="2" t="s">
        <v>25</v>
      </c>
      <c r="O1757" s="2" t="s">
        <v>6037</v>
      </c>
      <c r="P1757" s="51">
        <v>0</v>
      </c>
      <c r="Q1757" s="99" t="s">
        <v>6038</v>
      </c>
    </row>
    <row r="1758" spans="1:18">
      <c r="A1758" s="71">
        <v>27</v>
      </c>
      <c r="B1758" s="2" t="s">
        <v>6012</v>
      </c>
      <c r="C1758" s="71">
        <v>62</v>
      </c>
      <c r="D1758" s="2" t="s">
        <v>7725</v>
      </c>
      <c r="E1758" s="74">
        <v>0</v>
      </c>
      <c r="F1758" s="71">
        <v>2</v>
      </c>
      <c r="G1758" s="2" t="s">
        <v>6090</v>
      </c>
      <c r="H1758" s="73" t="s">
        <v>7525</v>
      </c>
      <c r="I1758" s="100" t="s">
        <v>8050</v>
      </c>
      <c r="J1758" s="2" t="s">
        <v>23</v>
      </c>
      <c r="K1758" s="2" t="s">
        <v>23</v>
      </c>
      <c r="M1758" s="2" t="s">
        <v>24</v>
      </c>
      <c r="N1758" s="2" t="s">
        <v>23</v>
      </c>
      <c r="P1758" s="51">
        <v>0</v>
      </c>
      <c r="Q1758" s="99" t="s">
        <v>7409</v>
      </c>
    </row>
    <row r="1759" spans="1:18">
      <c r="A1759" s="71">
        <v>27</v>
      </c>
      <c r="B1759" s="2" t="s">
        <v>6012</v>
      </c>
      <c r="C1759" s="71">
        <v>62</v>
      </c>
      <c r="D1759" s="2" t="s">
        <v>7725</v>
      </c>
      <c r="E1759" s="74">
        <v>0</v>
      </c>
      <c r="F1759" s="71">
        <v>3</v>
      </c>
      <c r="G1759" s="2" t="s">
        <v>7462</v>
      </c>
      <c r="H1759" s="73" t="s">
        <v>7526</v>
      </c>
      <c r="I1759" s="100" t="s">
        <v>8051</v>
      </c>
      <c r="J1759" s="2" t="s">
        <v>23</v>
      </c>
      <c r="K1759" s="2" t="s">
        <v>23</v>
      </c>
      <c r="M1759" s="2" t="s">
        <v>24</v>
      </c>
      <c r="N1759" s="2" t="s">
        <v>298</v>
      </c>
      <c r="P1759" s="51">
        <v>0</v>
      </c>
      <c r="Q1759" s="99" t="s">
        <v>7464</v>
      </c>
      <c r="R1759" s="6" t="s">
        <v>7465</v>
      </c>
    </row>
    <row r="1760" spans="1:18">
      <c r="A1760" s="71">
        <v>27</v>
      </c>
      <c r="B1760" s="2" t="s">
        <v>6012</v>
      </c>
      <c r="C1760" s="71">
        <v>62</v>
      </c>
      <c r="D1760" s="2" t="s">
        <v>7725</v>
      </c>
      <c r="E1760" s="74">
        <v>0</v>
      </c>
      <c r="F1760" s="71">
        <v>4</v>
      </c>
      <c r="G1760" s="2" t="s">
        <v>5933</v>
      </c>
      <c r="H1760" s="73" t="s">
        <v>7527</v>
      </c>
      <c r="I1760" s="100" t="s">
        <v>8052</v>
      </c>
      <c r="J1760" s="2" t="s">
        <v>23</v>
      </c>
      <c r="K1760" s="2" t="s">
        <v>23</v>
      </c>
      <c r="M1760" s="2" t="s">
        <v>24</v>
      </c>
      <c r="N1760" s="2" t="s">
        <v>23</v>
      </c>
      <c r="P1760" s="51">
        <v>0</v>
      </c>
      <c r="Q1760" s="107" t="s">
        <v>7466</v>
      </c>
      <c r="R1760" s="6" t="s">
        <v>7467</v>
      </c>
    </row>
    <row r="1761" spans="1:18">
      <c r="A1761" s="71">
        <v>27</v>
      </c>
      <c r="B1761" s="2" t="s">
        <v>6012</v>
      </c>
      <c r="C1761" s="71">
        <v>63</v>
      </c>
      <c r="D1761" s="2" t="s">
        <v>7726</v>
      </c>
      <c r="E1761" s="74">
        <v>0</v>
      </c>
      <c r="F1761" s="71">
        <v>0</v>
      </c>
      <c r="G1761" s="2" t="s">
        <v>20</v>
      </c>
      <c r="H1761" s="73" t="s">
        <v>7528</v>
      </c>
      <c r="I1761" s="76" t="s">
        <v>8053</v>
      </c>
      <c r="J1761" s="2" t="s">
        <v>24</v>
      </c>
      <c r="K1761" s="2" t="s">
        <v>25</v>
      </c>
      <c r="L1761" s="2" t="s">
        <v>26</v>
      </c>
      <c r="M1761" s="2" t="s">
        <v>24</v>
      </c>
      <c r="N1761" s="2" t="s">
        <v>25</v>
      </c>
      <c r="O1761" s="2" t="s">
        <v>26</v>
      </c>
      <c r="P1761" s="51">
        <v>0</v>
      </c>
      <c r="Q1761" s="1" t="s">
        <v>7469</v>
      </c>
    </row>
    <row r="1762" spans="1:18">
      <c r="A1762" s="71">
        <v>27</v>
      </c>
      <c r="B1762" s="2" t="s">
        <v>6012</v>
      </c>
      <c r="C1762" s="71">
        <v>63</v>
      </c>
      <c r="D1762" s="2" t="s">
        <v>7726</v>
      </c>
      <c r="E1762" s="74">
        <v>0</v>
      </c>
      <c r="F1762" s="71">
        <v>1</v>
      </c>
      <c r="G1762" s="2" t="s">
        <v>6035</v>
      </c>
      <c r="H1762" s="73" t="s">
        <v>7529</v>
      </c>
      <c r="I1762" s="100" t="s">
        <v>8054</v>
      </c>
      <c r="J1762" s="2" t="s">
        <v>24</v>
      </c>
      <c r="K1762" s="2" t="s">
        <v>25</v>
      </c>
      <c r="L1762" s="2" t="s">
        <v>6037</v>
      </c>
      <c r="M1762" s="2" t="s">
        <v>24</v>
      </c>
      <c r="N1762" s="2" t="s">
        <v>25</v>
      </c>
      <c r="O1762" s="2" t="s">
        <v>6037</v>
      </c>
      <c r="P1762" s="51">
        <v>0</v>
      </c>
      <c r="Q1762" s="99" t="s">
        <v>6038</v>
      </c>
    </row>
    <row r="1763" spans="1:18">
      <c r="A1763" s="71">
        <v>27</v>
      </c>
      <c r="B1763" s="2" t="s">
        <v>6012</v>
      </c>
      <c r="C1763" s="71">
        <v>63</v>
      </c>
      <c r="D1763" s="2" t="s">
        <v>7726</v>
      </c>
      <c r="E1763" s="74">
        <v>0</v>
      </c>
      <c r="F1763" s="71">
        <v>2</v>
      </c>
      <c r="G1763" s="2" t="s">
        <v>6090</v>
      </c>
      <c r="H1763" s="73" t="s">
        <v>7530</v>
      </c>
      <c r="I1763" s="100" t="s">
        <v>8055</v>
      </c>
      <c r="J1763" s="2" t="s">
        <v>23</v>
      </c>
      <c r="K1763" s="2" t="s">
        <v>23</v>
      </c>
      <c r="M1763" s="2" t="s">
        <v>24</v>
      </c>
      <c r="N1763" s="2" t="s">
        <v>23</v>
      </c>
      <c r="P1763" s="51">
        <v>0</v>
      </c>
      <c r="Q1763" s="99" t="s">
        <v>7409</v>
      </c>
    </row>
    <row r="1764" spans="1:18">
      <c r="A1764" s="71">
        <v>27</v>
      </c>
      <c r="B1764" s="2" t="s">
        <v>6012</v>
      </c>
      <c r="C1764" s="71">
        <v>63</v>
      </c>
      <c r="D1764" s="2" t="s">
        <v>7726</v>
      </c>
      <c r="E1764" s="74">
        <v>0</v>
      </c>
      <c r="F1764" s="71">
        <v>3</v>
      </c>
      <c r="G1764" s="2" t="s">
        <v>7468</v>
      </c>
      <c r="H1764" s="73" t="s">
        <v>7531</v>
      </c>
      <c r="I1764" s="100" t="s">
        <v>8056</v>
      </c>
      <c r="J1764" s="2" t="s">
        <v>23</v>
      </c>
      <c r="K1764" s="2" t="s">
        <v>23</v>
      </c>
      <c r="M1764" s="2" t="s">
        <v>24</v>
      </c>
      <c r="N1764" s="2" t="s">
        <v>23</v>
      </c>
      <c r="P1764" s="51">
        <v>0</v>
      </c>
      <c r="Q1764" s="107" t="s">
        <v>7470</v>
      </c>
      <c r="R1764" s="6" t="s">
        <v>7471</v>
      </c>
    </row>
    <row r="1765" spans="1:18">
      <c r="A1765" s="71">
        <v>27</v>
      </c>
      <c r="B1765" s="2" t="s">
        <v>6012</v>
      </c>
      <c r="C1765" s="71">
        <v>63</v>
      </c>
      <c r="D1765" s="2" t="s">
        <v>7726</v>
      </c>
      <c r="E1765" s="74">
        <v>0</v>
      </c>
      <c r="F1765" s="71">
        <v>4</v>
      </c>
      <c r="G1765" s="2" t="s">
        <v>273</v>
      </c>
      <c r="H1765" s="73" t="s">
        <v>7532</v>
      </c>
      <c r="I1765" s="100" t="s">
        <v>8057</v>
      </c>
      <c r="J1765" s="2" t="s">
        <v>23</v>
      </c>
      <c r="K1765" s="2" t="s">
        <v>23</v>
      </c>
      <c r="M1765" s="2" t="s">
        <v>24</v>
      </c>
      <c r="N1765" s="2" t="s">
        <v>139</v>
      </c>
      <c r="P1765" s="51">
        <v>0</v>
      </c>
      <c r="Q1765" s="107" t="s">
        <v>7472</v>
      </c>
      <c r="R1765" s="2" t="s">
        <v>7473</v>
      </c>
    </row>
    <row r="1766" spans="1:18">
      <c r="A1766" s="71">
        <v>27</v>
      </c>
      <c r="B1766" s="2" t="s">
        <v>6012</v>
      </c>
      <c r="C1766" s="71">
        <v>64</v>
      </c>
      <c r="D1766" s="2" t="s">
        <v>7727</v>
      </c>
      <c r="E1766" s="74">
        <v>0</v>
      </c>
      <c r="F1766" s="71">
        <v>0</v>
      </c>
      <c r="G1766" s="2" t="s">
        <v>20</v>
      </c>
      <c r="H1766" s="73" t="s">
        <v>7533</v>
      </c>
      <c r="I1766" s="76" t="s">
        <v>8058</v>
      </c>
      <c r="J1766" s="2" t="s">
        <v>24</v>
      </c>
      <c r="K1766" s="2" t="s">
        <v>25</v>
      </c>
      <c r="L1766" s="2" t="s">
        <v>26</v>
      </c>
      <c r="M1766" s="2" t="s">
        <v>24</v>
      </c>
      <c r="N1766" s="2" t="s">
        <v>25</v>
      </c>
      <c r="O1766" s="2" t="s">
        <v>26</v>
      </c>
      <c r="P1766" s="51">
        <v>0</v>
      </c>
      <c r="Q1766" s="1" t="s">
        <v>7474</v>
      </c>
    </row>
    <row r="1767" spans="1:18">
      <c r="A1767" s="71">
        <v>27</v>
      </c>
      <c r="B1767" s="2" t="s">
        <v>6012</v>
      </c>
      <c r="C1767" s="71">
        <v>64</v>
      </c>
      <c r="D1767" s="2" t="s">
        <v>7727</v>
      </c>
      <c r="E1767" s="74">
        <v>0</v>
      </c>
      <c r="F1767" s="71">
        <v>1</v>
      </c>
      <c r="G1767" s="2" t="s">
        <v>6035</v>
      </c>
      <c r="H1767" s="73" t="s">
        <v>7534</v>
      </c>
      <c r="I1767" s="100" t="s">
        <v>8059</v>
      </c>
      <c r="J1767" s="2" t="s">
        <v>24</v>
      </c>
      <c r="K1767" s="2" t="s">
        <v>25</v>
      </c>
      <c r="L1767" s="2" t="s">
        <v>6037</v>
      </c>
      <c r="M1767" s="2" t="s">
        <v>24</v>
      </c>
      <c r="N1767" s="2" t="s">
        <v>25</v>
      </c>
      <c r="O1767" s="2" t="s">
        <v>6037</v>
      </c>
      <c r="P1767" s="51">
        <v>0</v>
      </c>
      <c r="Q1767" s="99" t="s">
        <v>6038</v>
      </c>
    </row>
    <row r="1768" spans="1:18">
      <c r="A1768" s="71">
        <v>27</v>
      </c>
      <c r="B1768" s="2" t="s">
        <v>6012</v>
      </c>
      <c r="C1768" s="71">
        <v>64</v>
      </c>
      <c r="D1768" s="2" t="s">
        <v>7727</v>
      </c>
      <c r="E1768" s="74">
        <v>0</v>
      </c>
      <c r="F1768" s="71">
        <v>2</v>
      </c>
      <c r="G1768" s="2" t="s">
        <v>6090</v>
      </c>
      <c r="H1768" s="73" t="s">
        <v>7535</v>
      </c>
      <c r="I1768" s="100" t="s">
        <v>8060</v>
      </c>
      <c r="J1768" s="2" t="s">
        <v>23</v>
      </c>
      <c r="K1768" s="2" t="s">
        <v>23</v>
      </c>
      <c r="M1768" s="2" t="s">
        <v>24</v>
      </c>
      <c r="N1768" s="2" t="s">
        <v>23</v>
      </c>
      <c r="P1768" s="51">
        <v>0</v>
      </c>
      <c r="Q1768" s="99" t="s">
        <v>7409</v>
      </c>
    </row>
    <row r="1769" spans="1:18">
      <c r="A1769" s="71">
        <v>27</v>
      </c>
      <c r="B1769" s="2" t="s">
        <v>6012</v>
      </c>
      <c r="C1769" s="71">
        <v>64</v>
      </c>
      <c r="D1769" s="2" t="s">
        <v>7727</v>
      </c>
      <c r="E1769" s="74">
        <v>0</v>
      </c>
      <c r="F1769" s="71">
        <v>3</v>
      </c>
      <c r="G1769" s="2" t="s">
        <v>7180</v>
      </c>
      <c r="H1769" s="73" t="s">
        <v>7536</v>
      </c>
      <c r="I1769" s="100" t="s">
        <v>8061</v>
      </c>
      <c r="J1769" s="2" t="s">
        <v>23</v>
      </c>
      <c r="K1769" s="2" t="s">
        <v>23</v>
      </c>
      <c r="M1769" s="2" t="s">
        <v>24</v>
      </c>
      <c r="N1769" s="2" t="s">
        <v>23</v>
      </c>
      <c r="P1769" s="51">
        <v>0</v>
      </c>
      <c r="Q1769" s="99" t="s">
        <v>7475</v>
      </c>
      <c r="R1769" s="6" t="s">
        <v>7476</v>
      </c>
    </row>
    <row r="1770" spans="1:18">
      <c r="A1770" s="71">
        <v>27</v>
      </c>
      <c r="B1770" s="2" t="s">
        <v>6012</v>
      </c>
      <c r="C1770" s="71">
        <v>64</v>
      </c>
      <c r="D1770" s="2" t="s">
        <v>7727</v>
      </c>
      <c r="E1770" s="74">
        <v>0</v>
      </c>
      <c r="F1770" s="71">
        <v>4</v>
      </c>
      <c r="G1770" s="2" t="s">
        <v>2601</v>
      </c>
      <c r="H1770" s="73" t="s">
        <v>7537</v>
      </c>
      <c r="I1770" s="100" t="s">
        <v>8062</v>
      </c>
      <c r="J1770" s="2" t="s">
        <v>23</v>
      </c>
      <c r="K1770" s="2" t="s">
        <v>23</v>
      </c>
      <c r="M1770" s="2" t="s">
        <v>24</v>
      </c>
      <c r="N1770" s="2" t="s">
        <v>23</v>
      </c>
      <c r="P1770" s="51">
        <v>0</v>
      </c>
      <c r="Q1770" s="99" t="s">
        <v>7477</v>
      </c>
      <c r="R1770" s="2" t="s">
        <v>7478</v>
      </c>
    </row>
    <row r="1771" spans="1:18">
      <c r="A1771" s="71">
        <v>27</v>
      </c>
      <c r="B1771" s="2" t="s">
        <v>6012</v>
      </c>
      <c r="C1771" s="71">
        <v>64</v>
      </c>
      <c r="D1771" s="2" t="s">
        <v>7727</v>
      </c>
      <c r="E1771" s="74">
        <v>0</v>
      </c>
      <c r="F1771" s="71">
        <v>5</v>
      </c>
      <c r="G1771" s="2" t="s">
        <v>6660</v>
      </c>
      <c r="H1771" s="73" t="s">
        <v>7538</v>
      </c>
      <c r="I1771" s="100" t="s">
        <v>8063</v>
      </c>
      <c r="J1771" s="2" t="s">
        <v>23</v>
      </c>
      <c r="K1771" s="2" t="s">
        <v>23</v>
      </c>
      <c r="M1771" s="2" t="s">
        <v>24</v>
      </c>
      <c r="N1771" s="2" t="s">
        <v>133</v>
      </c>
      <c r="P1771" s="51">
        <v>0</v>
      </c>
      <c r="Q1771" s="99" t="s">
        <v>7479</v>
      </c>
      <c r="R1771" s="2" t="s">
        <v>7480</v>
      </c>
    </row>
    <row r="1772" spans="1:18">
      <c r="A1772" s="71">
        <v>27</v>
      </c>
      <c r="B1772" s="2" t="s">
        <v>6012</v>
      </c>
      <c r="C1772" s="71">
        <v>64</v>
      </c>
      <c r="D1772" s="2" t="s">
        <v>7727</v>
      </c>
      <c r="E1772" s="74">
        <v>0</v>
      </c>
      <c r="F1772" s="71">
        <v>6</v>
      </c>
      <c r="G1772" s="2" t="s">
        <v>6860</v>
      </c>
      <c r="H1772" s="73" t="s">
        <v>7539</v>
      </c>
      <c r="I1772" s="100" t="s">
        <v>8064</v>
      </c>
      <c r="J1772" s="2" t="s">
        <v>23</v>
      </c>
      <c r="K1772" s="2" t="s">
        <v>23</v>
      </c>
      <c r="M1772" s="2" t="s">
        <v>24</v>
      </c>
      <c r="N1772" s="2" t="s">
        <v>263</v>
      </c>
      <c r="P1772" s="51">
        <v>0</v>
      </c>
      <c r="Q1772" s="99" t="s">
        <v>7481</v>
      </c>
      <c r="R1772" s="2" t="s">
        <v>7482</v>
      </c>
    </row>
    <row r="1773" spans="1:18">
      <c r="A1773" s="71">
        <v>27</v>
      </c>
      <c r="B1773" s="2" t="s">
        <v>6012</v>
      </c>
      <c r="C1773" s="71">
        <v>64</v>
      </c>
      <c r="D1773" s="2" t="s">
        <v>7727</v>
      </c>
      <c r="E1773" s="74">
        <v>0</v>
      </c>
      <c r="F1773" s="71">
        <v>7</v>
      </c>
      <c r="G1773" s="2" t="s">
        <v>273</v>
      </c>
      <c r="H1773" s="73" t="s">
        <v>7540</v>
      </c>
      <c r="I1773" s="100" t="s">
        <v>8065</v>
      </c>
      <c r="J1773" s="2" t="s">
        <v>23</v>
      </c>
      <c r="K1773" s="2" t="s">
        <v>23</v>
      </c>
      <c r="M1773" s="2" t="s">
        <v>24</v>
      </c>
      <c r="N1773" s="2" t="s">
        <v>139</v>
      </c>
      <c r="P1773" s="51">
        <v>0</v>
      </c>
      <c r="Q1773" s="99" t="s">
        <v>5990</v>
      </c>
    </row>
    <row r="1774" spans="1:18">
      <c r="A1774" s="71">
        <v>27</v>
      </c>
      <c r="B1774" s="2" t="s">
        <v>6012</v>
      </c>
      <c r="C1774" s="71">
        <v>65</v>
      </c>
      <c r="D1774" s="2" t="s">
        <v>7483</v>
      </c>
      <c r="E1774" s="74">
        <v>0</v>
      </c>
      <c r="F1774" s="71">
        <v>0</v>
      </c>
      <c r="G1774" s="2" t="s">
        <v>20</v>
      </c>
      <c r="H1774" s="73" t="s">
        <v>7541</v>
      </c>
      <c r="I1774" s="76" t="s">
        <v>7542</v>
      </c>
      <c r="J1774" s="2" t="s">
        <v>24</v>
      </c>
      <c r="K1774" s="2" t="s">
        <v>25</v>
      </c>
      <c r="L1774" s="2" t="s">
        <v>26</v>
      </c>
      <c r="M1774" s="2" t="s">
        <v>24</v>
      </c>
      <c r="N1774" s="2" t="s">
        <v>25</v>
      </c>
      <c r="O1774" s="2" t="s">
        <v>26</v>
      </c>
      <c r="P1774" s="51">
        <v>0</v>
      </c>
      <c r="Q1774" s="1" t="s">
        <v>7484</v>
      </c>
    </row>
    <row r="1775" spans="1:18">
      <c r="A1775" s="71">
        <v>27</v>
      </c>
      <c r="B1775" s="2" t="s">
        <v>6012</v>
      </c>
      <c r="C1775" s="71">
        <v>65</v>
      </c>
      <c r="D1775" s="2" t="s">
        <v>7483</v>
      </c>
      <c r="E1775" s="74">
        <v>0</v>
      </c>
      <c r="F1775" s="71">
        <v>1</v>
      </c>
      <c r="G1775" s="2" t="s">
        <v>6035</v>
      </c>
      <c r="H1775" s="73" t="s">
        <v>7543</v>
      </c>
      <c r="I1775" s="100" t="s">
        <v>7544</v>
      </c>
      <c r="J1775" s="2" t="s">
        <v>24</v>
      </c>
      <c r="K1775" s="2" t="s">
        <v>25</v>
      </c>
      <c r="L1775" s="2" t="s">
        <v>6037</v>
      </c>
      <c r="M1775" s="2" t="s">
        <v>24</v>
      </c>
      <c r="N1775" s="2" t="s">
        <v>25</v>
      </c>
      <c r="O1775" s="2" t="s">
        <v>6037</v>
      </c>
      <c r="P1775" s="51">
        <v>0</v>
      </c>
      <c r="Q1775" s="99" t="s">
        <v>6038</v>
      </c>
    </row>
    <row r="1776" spans="1:18">
      <c r="A1776" s="71">
        <v>27</v>
      </c>
      <c r="B1776" s="2" t="s">
        <v>6012</v>
      </c>
      <c r="C1776" s="71">
        <v>65</v>
      </c>
      <c r="D1776" s="2" t="s">
        <v>7483</v>
      </c>
      <c r="E1776" s="74">
        <v>0</v>
      </c>
      <c r="F1776" s="71">
        <v>2</v>
      </c>
      <c r="G1776" s="2" t="s">
        <v>6090</v>
      </c>
      <c r="H1776" s="73" t="s">
        <v>7545</v>
      </c>
      <c r="I1776" s="100" t="s">
        <v>7546</v>
      </c>
      <c r="J1776" s="2" t="s">
        <v>23</v>
      </c>
      <c r="K1776" s="2" t="s">
        <v>23</v>
      </c>
      <c r="M1776" s="2" t="s">
        <v>24</v>
      </c>
      <c r="N1776" s="2" t="s">
        <v>23</v>
      </c>
      <c r="P1776" s="51">
        <v>0</v>
      </c>
      <c r="Q1776" s="99" t="s">
        <v>7409</v>
      </c>
    </row>
    <row r="1777" spans="1:18">
      <c r="A1777" s="71">
        <v>27</v>
      </c>
      <c r="B1777" s="2" t="s">
        <v>6012</v>
      </c>
      <c r="C1777" s="71">
        <v>65</v>
      </c>
      <c r="D1777" s="2" t="s">
        <v>7483</v>
      </c>
      <c r="E1777" s="74">
        <v>0</v>
      </c>
      <c r="F1777" s="71">
        <v>3</v>
      </c>
      <c r="G1777" s="2" t="s">
        <v>6660</v>
      </c>
      <c r="H1777" s="73" t="s">
        <v>7547</v>
      </c>
      <c r="I1777" s="100" t="s">
        <v>7548</v>
      </c>
      <c r="J1777" s="2" t="s">
        <v>23</v>
      </c>
      <c r="K1777" s="2" t="s">
        <v>23</v>
      </c>
      <c r="M1777" s="2" t="s">
        <v>24</v>
      </c>
      <c r="N1777" s="2" t="s">
        <v>133</v>
      </c>
      <c r="P1777" s="51">
        <v>0</v>
      </c>
      <c r="Q1777" s="99" t="s">
        <v>7485</v>
      </c>
      <c r="R1777" s="2" t="s">
        <v>7486</v>
      </c>
    </row>
    <row r="1778" spans="1:18">
      <c r="A1778" s="71">
        <v>27</v>
      </c>
      <c r="B1778" s="2" t="s">
        <v>6012</v>
      </c>
      <c r="C1778" s="71">
        <v>65</v>
      </c>
      <c r="D1778" s="2" t="s">
        <v>7483</v>
      </c>
      <c r="E1778" s="74">
        <v>0</v>
      </c>
      <c r="F1778" s="71">
        <v>4</v>
      </c>
      <c r="G1778" s="2" t="s">
        <v>6860</v>
      </c>
      <c r="H1778" s="73" t="s">
        <v>7549</v>
      </c>
      <c r="I1778" s="100" t="s">
        <v>7550</v>
      </c>
      <c r="J1778" s="2" t="s">
        <v>23</v>
      </c>
      <c r="K1778" s="2" t="s">
        <v>23</v>
      </c>
      <c r="M1778" s="2" t="s">
        <v>24</v>
      </c>
      <c r="N1778" s="2" t="s">
        <v>263</v>
      </c>
      <c r="P1778" s="51">
        <v>0</v>
      </c>
      <c r="Q1778" s="99" t="s">
        <v>7487</v>
      </c>
      <c r="R1778" s="6" t="s">
        <v>7488</v>
      </c>
    </row>
    <row r="1779" spans="1:18">
      <c r="A1779" s="71">
        <v>27</v>
      </c>
      <c r="B1779" s="2" t="s">
        <v>6012</v>
      </c>
      <c r="C1779" s="71">
        <v>66</v>
      </c>
      <c r="D1779" s="2" t="s">
        <v>7489</v>
      </c>
      <c r="E1779" s="74">
        <v>0</v>
      </c>
      <c r="F1779" s="71">
        <v>0</v>
      </c>
      <c r="G1779" s="2" t="s">
        <v>20</v>
      </c>
      <c r="H1779" s="73" t="s">
        <v>7551</v>
      </c>
      <c r="I1779" s="76" t="s">
        <v>7552</v>
      </c>
      <c r="J1779" s="2" t="s">
        <v>24</v>
      </c>
      <c r="K1779" s="2" t="s">
        <v>25</v>
      </c>
      <c r="L1779" s="2" t="s">
        <v>26</v>
      </c>
      <c r="M1779" s="2" t="s">
        <v>24</v>
      </c>
      <c r="N1779" s="2" t="s">
        <v>25</v>
      </c>
      <c r="O1779" s="2" t="s">
        <v>26</v>
      </c>
      <c r="P1779" s="51">
        <v>0</v>
      </c>
      <c r="Q1779" s="1" t="s">
        <v>7494</v>
      </c>
    </row>
    <row r="1780" spans="1:18">
      <c r="A1780" s="71">
        <v>27</v>
      </c>
      <c r="B1780" s="2" t="s">
        <v>6012</v>
      </c>
      <c r="C1780" s="71">
        <v>66</v>
      </c>
      <c r="D1780" s="2" t="s">
        <v>7489</v>
      </c>
      <c r="E1780" s="74">
        <v>0</v>
      </c>
      <c r="F1780" s="71">
        <v>1</v>
      </c>
      <c r="G1780" s="2" t="s">
        <v>6035</v>
      </c>
      <c r="H1780" s="73" t="s">
        <v>7553</v>
      </c>
      <c r="I1780" s="100" t="s">
        <v>7554</v>
      </c>
      <c r="J1780" s="2" t="s">
        <v>24</v>
      </c>
      <c r="K1780" s="2" t="s">
        <v>25</v>
      </c>
      <c r="L1780" s="2" t="s">
        <v>6037</v>
      </c>
      <c r="M1780" s="2" t="s">
        <v>24</v>
      </c>
      <c r="N1780" s="2" t="s">
        <v>25</v>
      </c>
      <c r="O1780" s="2" t="s">
        <v>6037</v>
      </c>
      <c r="P1780" s="51">
        <v>0</v>
      </c>
      <c r="Q1780" s="99" t="s">
        <v>6038</v>
      </c>
    </row>
    <row r="1781" spans="1:18">
      <c r="A1781" s="71">
        <v>27</v>
      </c>
      <c r="B1781" s="2" t="s">
        <v>6012</v>
      </c>
      <c r="C1781" s="71">
        <v>66</v>
      </c>
      <c r="D1781" s="2" t="s">
        <v>7489</v>
      </c>
      <c r="E1781" s="74">
        <v>0</v>
      </c>
      <c r="F1781" s="71">
        <v>2</v>
      </c>
      <c r="G1781" s="2" t="s">
        <v>6090</v>
      </c>
      <c r="H1781" s="73" t="s">
        <v>7555</v>
      </c>
      <c r="I1781" s="100" t="s">
        <v>7556</v>
      </c>
      <c r="J1781" s="2" t="s">
        <v>23</v>
      </c>
      <c r="K1781" s="2" t="s">
        <v>23</v>
      </c>
      <c r="M1781" s="2" t="s">
        <v>24</v>
      </c>
      <c r="N1781" s="2" t="s">
        <v>23</v>
      </c>
      <c r="P1781" s="51">
        <v>0</v>
      </c>
      <c r="Q1781" s="99" t="s">
        <v>7409</v>
      </c>
    </row>
    <row r="1782" spans="1:18">
      <c r="A1782" s="71">
        <v>27</v>
      </c>
      <c r="B1782" s="2" t="s">
        <v>6012</v>
      </c>
      <c r="C1782" s="71">
        <v>66</v>
      </c>
      <c r="D1782" s="2" t="s">
        <v>7489</v>
      </c>
      <c r="E1782" s="74">
        <v>0</v>
      </c>
      <c r="F1782" s="71">
        <v>3</v>
      </c>
      <c r="G1782" s="2" t="s">
        <v>7490</v>
      </c>
      <c r="H1782" s="73" t="s">
        <v>7557</v>
      </c>
      <c r="I1782" s="100" t="s">
        <v>7495</v>
      </c>
      <c r="J1782" s="2" t="s">
        <v>24</v>
      </c>
      <c r="K1782" s="2" t="s">
        <v>116</v>
      </c>
      <c r="L1782" s="16" t="s">
        <v>7495</v>
      </c>
      <c r="M1782" s="2" t="s">
        <v>24</v>
      </c>
      <c r="N1782" s="2" t="s">
        <v>116</v>
      </c>
      <c r="O1782" s="16" t="s">
        <v>7495</v>
      </c>
      <c r="P1782" s="51">
        <v>0</v>
      </c>
      <c r="Q1782" s="99" t="s">
        <v>7496</v>
      </c>
    </row>
    <row r="1783" spans="1:18">
      <c r="A1783" s="71">
        <v>27</v>
      </c>
      <c r="B1783" s="2" t="s">
        <v>6012</v>
      </c>
      <c r="C1783" s="71">
        <v>66</v>
      </c>
      <c r="D1783" s="2" t="s">
        <v>7489</v>
      </c>
      <c r="E1783" s="74">
        <v>0</v>
      </c>
      <c r="F1783" s="71">
        <v>4</v>
      </c>
      <c r="G1783" s="2" t="s">
        <v>1490</v>
      </c>
      <c r="H1783" s="73" t="s">
        <v>7558</v>
      </c>
      <c r="I1783" s="100" t="s">
        <v>7497</v>
      </c>
      <c r="J1783" s="2" t="s">
        <v>24</v>
      </c>
      <c r="K1783" s="2" t="s">
        <v>116</v>
      </c>
      <c r="L1783" s="16" t="s">
        <v>7497</v>
      </c>
      <c r="M1783" s="2" t="s">
        <v>24</v>
      </c>
      <c r="N1783" s="2" t="s">
        <v>116</v>
      </c>
      <c r="O1783" s="16" t="s">
        <v>7497</v>
      </c>
      <c r="P1783" s="51">
        <v>0</v>
      </c>
      <c r="Q1783" s="99" t="s">
        <v>7498</v>
      </c>
    </row>
    <row r="1784" spans="1:18">
      <c r="A1784" s="71">
        <v>27</v>
      </c>
      <c r="B1784" s="2" t="s">
        <v>6012</v>
      </c>
      <c r="C1784" s="71">
        <v>66</v>
      </c>
      <c r="D1784" s="2" t="s">
        <v>7489</v>
      </c>
      <c r="E1784" s="74">
        <v>0</v>
      </c>
      <c r="F1784" s="71">
        <v>5</v>
      </c>
      <c r="G1784" s="2" t="s">
        <v>7491</v>
      </c>
      <c r="H1784" s="73" t="s">
        <v>7559</v>
      </c>
      <c r="I1784" s="100" t="s">
        <v>7560</v>
      </c>
      <c r="J1784" s="2" t="s">
        <v>24</v>
      </c>
      <c r="K1784" s="2" t="s">
        <v>25</v>
      </c>
      <c r="L1784" s="2" t="s">
        <v>7499</v>
      </c>
      <c r="M1784" s="2" t="s">
        <v>24</v>
      </c>
      <c r="N1784" s="2" t="s">
        <v>25</v>
      </c>
      <c r="O1784" s="2" t="s">
        <v>7499</v>
      </c>
      <c r="P1784" s="51">
        <v>0</v>
      </c>
      <c r="Q1784" s="99" t="s">
        <v>7500</v>
      </c>
    </row>
    <row r="1785" spans="1:18">
      <c r="A1785" s="71">
        <v>27</v>
      </c>
      <c r="B1785" s="2" t="s">
        <v>6012</v>
      </c>
      <c r="C1785" s="71">
        <v>66</v>
      </c>
      <c r="D1785" s="2" t="s">
        <v>7489</v>
      </c>
      <c r="E1785" s="74">
        <v>0</v>
      </c>
      <c r="F1785" s="71">
        <v>6</v>
      </c>
      <c r="G1785" s="2" t="s">
        <v>7492</v>
      </c>
      <c r="H1785" s="73" t="s">
        <v>7561</v>
      </c>
      <c r="I1785" s="100" t="s">
        <v>7562</v>
      </c>
      <c r="J1785" s="2" t="s">
        <v>24</v>
      </c>
      <c r="K1785" s="2" t="s">
        <v>25</v>
      </c>
      <c r="L1785" s="2" t="s">
        <v>7501</v>
      </c>
      <c r="M1785" s="2" t="s">
        <v>24</v>
      </c>
      <c r="N1785" s="2" t="s">
        <v>25</v>
      </c>
      <c r="O1785" s="2" t="s">
        <v>7501</v>
      </c>
      <c r="P1785" s="51">
        <v>0</v>
      </c>
      <c r="Q1785" s="99" t="s">
        <v>7502</v>
      </c>
      <c r="R1785" s="6" t="s">
        <v>7503</v>
      </c>
    </row>
    <row r="1786" spans="1:18">
      <c r="A1786" s="71">
        <v>27</v>
      </c>
      <c r="B1786" s="2" t="s">
        <v>6012</v>
      </c>
      <c r="C1786" s="71">
        <v>66</v>
      </c>
      <c r="D1786" s="2" t="s">
        <v>7489</v>
      </c>
      <c r="E1786" s="74">
        <v>0</v>
      </c>
      <c r="F1786" s="71">
        <v>7</v>
      </c>
      <c r="G1786" s="2" t="s">
        <v>2392</v>
      </c>
      <c r="H1786" s="73" t="s">
        <v>7563</v>
      </c>
      <c r="I1786" s="100" t="s">
        <v>7564</v>
      </c>
      <c r="J1786" s="2" t="s">
        <v>24</v>
      </c>
      <c r="K1786" s="2" t="s">
        <v>116</v>
      </c>
      <c r="L1786" s="16" t="s">
        <v>6910</v>
      </c>
      <c r="M1786" s="2" t="s">
        <v>24</v>
      </c>
      <c r="N1786" s="2" t="s">
        <v>116</v>
      </c>
      <c r="O1786" s="16" t="s">
        <v>6910</v>
      </c>
      <c r="P1786" s="51">
        <v>0</v>
      </c>
      <c r="Q1786" s="99" t="s">
        <v>290</v>
      </c>
    </row>
    <row r="1787" spans="1:18">
      <c r="A1787" s="71">
        <v>27</v>
      </c>
      <c r="B1787" s="2" t="s">
        <v>6012</v>
      </c>
      <c r="C1787" s="71">
        <v>66</v>
      </c>
      <c r="D1787" s="2" t="s">
        <v>7489</v>
      </c>
      <c r="E1787" s="74">
        <v>0</v>
      </c>
      <c r="F1787" s="71">
        <v>8</v>
      </c>
      <c r="G1787" s="2" t="s">
        <v>4162</v>
      </c>
      <c r="H1787" s="73" t="s">
        <v>7565</v>
      </c>
      <c r="I1787" s="100" t="s">
        <v>7566</v>
      </c>
      <c r="J1787" s="2" t="s">
        <v>24</v>
      </c>
      <c r="K1787" s="2" t="s">
        <v>298</v>
      </c>
      <c r="M1787" s="2" t="s">
        <v>24</v>
      </c>
      <c r="N1787" s="2" t="s">
        <v>298</v>
      </c>
      <c r="P1787" s="51">
        <v>0</v>
      </c>
      <c r="Q1787" s="99" t="s">
        <v>7504</v>
      </c>
    </row>
    <row r="1788" spans="1:18">
      <c r="A1788" s="71">
        <v>27</v>
      </c>
      <c r="B1788" s="2" t="s">
        <v>6012</v>
      </c>
      <c r="C1788" s="71">
        <v>66</v>
      </c>
      <c r="D1788" s="2" t="s">
        <v>7489</v>
      </c>
      <c r="E1788" s="74">
        <v>0</v>
      </c>
      <c r="F1788" s="71">
        <v>9</v>
      </c>
      <c r="G1788" s="2" t="s">
        <v>7493</v>
      </c>
      <c r="H1788" s="73" t="s">
        <v>7567</v>
      </c>
      <c r="I1788" s="100" t="s">
        <v>7568</v>
      </c>
      <c r="J1788" s="2" t="s">
        <v>24</v>
      </c>
      <c r="K1788" s="2" t="s">
        <v>263</v>
      </c>
      <c r="M1788" s="2" t="s">
        <v>24</v>
      </c>
      <c r="N1788" s="2" t="s">
        <v>263</v>
      </c>
      <c r="P1788" s="51">
        <v>0</v>
      </c>
      <c r="Q1788" s="99" t="s">
        <v>7505</v>
      </c>
    </row>
    <row r="1789" spans="1:18">
      <c r="A1789" s="71">
        <v>27</v>
      </c>
      <c r="B1789" s="2" t="s">
        <v>6012</v>
      </c>
      <c r="C1789" s="71">
        <v>67</v>
      </c>
      <c r="D1789" s="2" t="s">
        <v>7728</v>
      </c>
      <c r="E1789" s="74">
        <v>0</v>
      </c>
      <c r="F1789" s="71">
        <v>0</v>
      </c>
      <c r="G1789" s="2" t="s">
        <v>20</v>
      </c>
      <c r="H1789" s="73" t="s">
        <v>7633</v>
      </c>
      <c r="I1789" s="76" t="s">
        <v>8066</v>
      </c>
      <c r="J1789" s="2" t="s">
        <v>24</v>
      </c>
      <c r="K1789" s="2" t="s">
        <v>25</v>
      </c>
      <c r="L1789" s="2" t="s">
        <v>26</v>
      </c>
      <c r="M1789" s="2" t="s">
        <v>24</v>
      </c>
      <c r="N1789" s="2" t="s">
        <v>25</v>
      </c>
      <c r="O1789" s="2" t="s">
        <v>26</v>
      </c>
      <c r="P1789" s="51">
        <v>0</v>
      </c>
      <c r="Q1789" s="1" t="s">
        <v>7582</v>
      </c>
    </row>
    <row r="1790" spans="1:18">
      <c r="A1790" s="71">
        <v>27</v>
      </c>
      <c r="B1790" s="2" t="s">
        <v>6012</v>
      </c>
      <c r="C1790" s="71">
        <v>67</v>
      </c>
      <c r="D1790" s="2" t="s">
        <v>7728</v>
      </c>
      <c r="E1790" s="74">
        <v>0</v>
      </c>
      <c r="F1790" s="71">
        <v>1</v>
      </c>
      <c r="G1790" s="2" t="s">
        <v>6035</v>
      </c>
      <c r="H1790" s="73" t="s">
        <v>7634</v>
      </c>
      <c r="I1790" s="100" t="s">
        <v>8067</v>
      </c>
      <c r="J1790" s="2" t="s">
        <v>24</v>
      </c>
      <c r="K1790" s="2" t="s">
        <v>25</v>
      </c>
      <c r="L1790" s="2" t="s">
        <v>6037</v>
      </c>
      <c r="M1790" s="2" t="s">
        <v>24</v>
      </c>
      <c r="N1790" s="2" t="s">
        <v>25</v>
      </c>
      <c r="O1790" s="2" t="s">
        <v>6037</v>
      </c>
      <c r="P1790" s="51">
        <v>0</v>
      </c>
      <c r="Q1790" s="99" t="s">
        <v>6038</v>
      </c>
    </row>
    <row r="1791" spans="1:18">
      <c r="A1791" s="71">
        <v>27</v>
      </c>
      <c r="B1791" s="2" t="s">
        <v>6012</v>
      </c>
      <c r="C1791" s="71">
        <v>67</v>
      </c>
      <c r="D1791" s="2" t="s">
        <v>7728</v>
      </c>
      <c r="E1791" s="74">
        <v>0</v>
      </c>
      <c r="F1791" s="71">
        <v>2</v>
      </c>
      <c r="G1791" s="2" t="s">
        <v>6090</v>
      </c>
      <c r="H1791" s="73" t="s">
        <v>7635</v>
      </c>
      <c r="I1791" s="100" t="s">
        <v>8068</v>
      </c>
      <c r="J1791" s="2" t="s">
        <v>23</v>
      </c>
      <c r="K1791" s="2" t="s">
        <v>23</v>
      </c>
      <c r="M1791" s="2" t="s">
        <v>24</v>
      </c>
      <c r="N1791" s="2" t="s">
        <v>23</v>
      </c>
      <c r="P1791" s="51">
        <v>0</v>
      </c>
      <c r="Q1791" s="99" t="s">
        <v>7409</v>
      </c>
    </row>
    <row r="1792" spans="1:18">
      <c r="A1792" s="71">
        <v>27</v>
      </c>
      <c r="B1792" s="2" t="s">
        <v>6012</v>
      </c>
      <c r="C1792" s="71">
        <v>67</v>
      </c>
      <c r="D1792" s="2" t="s">
        <v>7728</v>
      </c>
      <c r="E1792" s="74">
        <v>0</v>
      </c>
      <c r="F1792" s="71">
        <v>3</v>
      </c>
      <c r="G1792" s="2" t="s">
        <v>7579</v>
      </c>
      <c r="H1792" s="73" t="s">
        <v>7636</v>
      </c>
      <c r="I1792" s="100" t="s">
        <v>8069</v>
      </c>
      <c r="J1792" s="2" t="s">
        <v>24</v>
      </c>
      <c r="K1792" s="2" t="s">
        <v>133</v>
      </c>
      <c r="M1792" s="2" t="s">
        <v>24</v>
      </c>
      <c r="N1792" s="2" t="s">
        <v>133</v>
      </c>
      <c r="P1792" s="51">
        <v>0</v>
      </c>
      <c r="Q1792" s="99" t="s">
        <v>7583</v>
      </c>
      <c r="R1792" s="6" t="s">
        <v>7584</v>
      </c>
    </row>
    <row r="1793" spans="1:18">
      <c r="A1793" s="71">
        <v>27</v>
      </c>
      <c r="B1793" s="2" t="s">
        <v>6012</v>
      </c>
      <c r="C1793" s="71">
        <v>67</v>
      </c>
      <c r="D1793" s="2" t="s">
        <v>7728</v>
      </c>
      <c r="E1793" s="74">
        <v>0</v>
      </c>
      <c r="F1793" s="71">
        <v>4</v>
      </c>
      <c r="G1793" s="2" t="s">
        <v>7580</v>
      </c>
      <c r="H1793" s="73" t="s">
        <v>7637</v>
      </c>
      <c r="I1793" s="100" t="s">
        <v>8070</v>
      </c>
      <c r="J1793" s="2" t="s">
        <v>24</v>
      </c>
      <c r="K1793" s="2" t="s">
        <v>133</v>
      </c>
      <c r="M1793" s="2" t="s">
        <v>24</v>
      </c>
      <c r="N1793" s="2" t="s">
        <v>133</v>
      </c>
      <c r="P1793" s="51">
        <v>0</v>
      </c>
      <c r="Q1793" s="107" t="s">
        <v>7585</v>
      </c>
      <c r="R1793" s="6" t="s">
        <v>7586</v>
      </c>
    </row>
    <row r="1794" spans="1:18">
      <c r="A1794" s="71">
        <v>27</v>
      </c>
      <c r="B1794" s="2" t="s">
        <v>6012</v>
      </c>
      <c r="C1794" s="71">
        <v>67</v>
      </c>
      <c r="D1794" s="2" t="s">
        <v>7728</v>
      </c>
      <c r="E1794" s="74">
        <v>0</v>
      </c>
      <c r="F1794" s="71">
        <v>5</v>
      </c>
      <c r="G1794" s="2" t="s">
        <v>7581</v>
      </c>
      <c r="H1794" s="73" t="s">
        <v>7638</v>
      </c>
      <c r="I1794" s="100" t="s">
        <v>8071</v>
      </c>
      <c r="J1794" s="2" t="s">
        <v>24</v>
      </c>
      <c r="K1794" s="2" t="s">
        <v>133</v>
      </c>
      <c r="M1794" s="2" t="s">
        <v>24</v>
      </c>
      <c r="N1794" s="2" t="s">
        <v>133</v>
      </c>
      <c r="P1794" s="51">
        <v>0</v>
      </c>
      <c r="Q1794" s="107" t="s">
        <v>7587</v>
      </c>
      <c r="R1794" s="2" t="s">
        <v>7588</v>
      </c>
    </row>
    <row r="1795" spans="1:18">
      <c r="A1795" s="71">
        <v>27</v>
      </c>
      <c r="B1795" s="2" t="s">
        <v>6012</v>
      </c>
      <c r="C1795" s="71">
        <v>68</v>
      </c>
      <c r="D1795" s="2" t="s">
        <v>7729</v>
      </c>
      <c r="E1795" s="74">
        <v>0</v>
      </c>
      <c r="F1795" s="71">
        <v>0</v>
      </c>
      <c r="G1795" s="2" t="s">
        <v>20</v>
      </c>
      <c r="H1795" s="73" t="s">
        <v>7639</v>
      </c>
      <c r="I1795" s="76" t="s">
        <v>8072</v>
      </c>
      <c r="J1795" s="2" t="s">
        <v>24</v>
      </c>
      <c r="K1795" s="2" t="s">
        <v>25</v>
      </c>
      <c r="L1795" s="2" t="s">
        <v>26</v>
      </c>
      <c r="M1795" s="2" t="s">
        <v>24</v>
      </c>
      <c r="N1795" s="2" t="s">
        <v>25</v>
      </c>
      <c r="O1795" s="2" t="s">
        <v>26</v>
      </c>
      <c r="P1795" s="51">
        <v>0</v>
      </c>
      <c r="Q1795" s="1" t="s">
        <v>7590</v>
      </c>
    </row>
    <row r="1796" spans="1:18">
      <c r="A1796" s="71">
        <v>27</v>
      </c>
      <c r="B1796" s="2" t="s">
        <v>6012</v>
      </c>
      <c r="C1796" s="71">
        <v>68</v>
      </c>
      <c r="D1796" s="2" t="s">
        <v>7729</v>
      </c>
      <c r="E1796" s="74">
        <v>0</v>
      </c>
      <c r="F1796" s="71">
        <v>1</v>
      </c>
      <c r="G1796" s="2" t="s">
        <v>6035</v>
      </c>
      <c r="H1796" s="73" t="s">
        <v>7640</v>
      </c>
      <c r="I1796" s="100" t="s">
        <v>8073</v>
      </c>
      <c r="J1796" s="2" t="s">
        <v>24</v>
      </c>
      <c r="K1796" s="2" t="s">
        <v>25</v>
      </c>
      <c r="L1796" s="2" t="s">
        <v>6037</v>
      </c>
      <c r="M1796" s="2" t="s">
        <v>24</v>
      </c>
      <c r="N1796" s="2" t="s">
        <v>25</v>
      </c>
      <c r="O1796" s="2" t="s">
        <v>6037</v>
      </c>
      <c r="P1796" s="51">
        <v>0</v>
      </c>
      <c r="Q1796" s="99" t="s">
        <v>6038</v>
      </c>
    </row>
    <row r="1797" spans="1:18">
      <c r="A1797" s="71">
        <v>27</v>
      </c>
      <c r="B1797" s="2" t="s">
        <v>6012</v>
      </c>
      <c r="C1797" s="71">
        <v>68</v>
      </c>
      <c r="D1797" s="2" t="s">
        <v>7729</v>
      </c>
      <c r="E1797" s="74">
        <v>0</v>
      </c>
      <c r="F1797" s="71">
        <v>2</v>
      </c>
      <c r="G1797" s="2" t="s">
        <v>6090</v>
      </c>
      <c r="H1797" s="73" t="s">
        <v>7641</v>
      </c>
      <c r="I1797" s="100" t="s">
        <v>8074</v>
      </c>
      <c r="J1797" s="2" t="s">
        <v>23</v>
      </c>
      <c r="K1797" s="2" t="s">
        <v>23</v>
      </c>
      <c r="M1797" s="2" t="s">
        <v>24</v>
      </c>
      <c r="N1797" s="2" t="s">
        <v>23</v>
      </c>
      <c r="P1797" s="51">
        <v>0</v>
      </c>
      <c r="Q1797" s="99" t="s">
        <v>7409</v>
      </c>
    </row>
    <row r="1798" spans="1:18">
      <c r="A1798" s="71">
        <v>27</v>
      </c>
      <c r="B1798" s="2" t="s">
        <v>6012</v>
      </c>
      <c r="C1798" s="71">
        <v>68</v>
      </c>
      <c r="D1798" s="2" t="s">
        <v>7729</v>
      </c>
      <c r="E1798" s="74">
        <v>0</v>
      </c>
      <c r="F1798" s="71">
        <v>3</v>
      </c>
      <c r="G1798" s="2" t="s">
        <v>7589</v>
      </c>
      <c r="H1798" s="73" t="s">
        <v>7642</v>
      </c>
      <c r="I1798" s="100" t="s">
        <v>8075</v>
      </c>
      <c r="J1798" s="2" t="s">
        <v>24</v>
      </c>
      <c r="K1798" s="2" t="s">
        <v>133</v>
      </c>
      <c r="M1798" s="2" t="s">
        <v>24</v>
      </c>
      <c r="N1798" s="2" t="s">
        <v>133</v>
      </c>
      <c r="P1798" s="51">
        <v>0</v>
      </c>
      <c r="Q1798" s="99" t="s">
        <v>7591</v>
      </c>
      <c r="R1798" s="6" t="s">
        <v>7592</v>
      </c>
    </row>
    <row r="1799" spans="1:18">
      <c r="A1799" s="71">
        <v>27</v>
      </c>
      <c r="B1799" s="2" t="s">
        <v>6012</v>
      </c>
      <c r="C1799" s="71">
        <v>68</v>
      </c>
      <c r="D1799" s="2" t="s">
        <v>7729</v>
      </c>
      <c r="E1799" s="74">
        <v>0</v>
      </c>
      <c r="F1799" s="71">
        <v>4</v>
      </c>
      <c r="G1799" s="2" t="s">
        <v>6933</v>
      </c>
      <c r="H1799" s="73" t="s">
        <v>7643</v>
      </c>
      <c r="I1799" s="100" t="s">
        <v>8076</v>
      </c>
      <c r="J1799" s="2" t="s">
        <v>24</v>
      </c>
      <c r="K1799" s="2" t="s">
        <v>133</v>
      </c>
      <c r="M1799" s="2" t="s">
        <v>24</v>
      </c>
      <c r="N1799" s="2" t="s">
        <v>133</v>
      </c>
      <c r="P1799" s="51">
        <v>0</v>
      </c>
      <c r="Q1799" s="107" t="s">
        <v>7593</v>
      </c>
      <c r="R1799" s="6" t="s">
        <v>7594</v>
      </c>
    </row>
    <row r="1800" spans="1:18">
      <c r="A1800" s="71">
        <v>27</v>
      </c>
      <c r="B1800" s="2" t="s">
        <v>6012</v>
      </c>
      <c r="C1800" s="71">
        <v>68</v>
      </c>
      <c r="D1800" s="2" t="s">
        <v>7729</v>
      </c>
      <c r="E1800" s="74">
        <v>0</v>
      </c>
      <c r="F1800" s="71">
        <v>5</v>
      </c>
      <c r="G1800" s="2" t="s">
        <v>6935</v>
      </c>
      <c r="H1800" s="73" t="s">
        <v>7644</v>
      </c>
      <c r="I1800" s="100" t="s">
        <v>8077</v>
      </c>
      <c r="J1800" s="2" t="s">
        <v>24</v>
      </c>
      <c r="K1800" s="2" t="s">
        <v>133</v>
      </c>
      <c r="M1800" s="2" t="s">
        <v>24</v>
      </c>
      <c r="N1800" s="2" t="s">
        <v>133</v>
      </c>
      <c r="P1800" s="51">
        <v>0</v>
      </c>
      <c r="Q1800" s="107" t="s">
        <v>7595</v>
      </c>
      <c r="R1800" s="2" t="s">
        <v>7596</v>
      </c>
    </row>
    <row r="1801" spans="1:18">
      <c r="A1801" s="71">
        <v>27</v>
      </c>
      <c r="B1801" s="2" t="s">
        <v>6012</v>
      </c>
      <c r="C1801" s="71">
        <v>69</v>
      </c>
      <c r="D1801" s="2" t="s">
        <v>7730</v>
      </c>
      <c r="E1801" s="74">
        <v>0</v>
      </c>
      <c r="F1801" s="71">
        <v>0</v>
      </c>
      <c r="G1801" s="2" t="s">
        <v>20</v>
      </c>
      <c r="H1801" s="73" t="s">
        <v>7645</v>
      </c>
      <c r="I1801" s="76" t="s">
        <v>8078</v>
      </c>
      <c r="J1801" s="2" t="s">
        <v>24</v>
      </c>
      <c r="K1801" s="2" t="s">
        <v>25</v>
      </c>
      <c r="L1801" s="2" t="s">
        <v>26</v>
      </c>
      <c r="M1801" s="2" t="s">
        <v>24</v>
      </c>
      <c r="N1801" s="2" t="s">
        <v>25</v>
      </c>
      <c r="O1801" s="2" t="s">
        <v>26</v>
      </c>
      <c r="P1801" s="51">
        <v>0</v>
      </c>
      <c r="Q1801" s="1" t="s">
        <v>7601</v>
      </c>
    </row>
    <row r="1802" spans="1:18">
      <c r="A1802" s="71">
        <v>27</v>
      </c>
      <c r="B1802" s="2" t="s">
        <v>6012</v>
      </c>
      <c r="C1802" s="71">
        <v>69</v>
      </c>
      <c r="D1802" s="2" t="s">
        <v>7730</v>
      </c>
      <c r="E1802" s="74">
        <v>0</v>
      </c>
      <c r="F1802" s="71">
        <v>1</v>
      </c>
      <c r="G1802" s="2" t="s">
        <v>6035</v>
      </c>
      <c r="H1802" s="73" t="s">
        <v>7646</v>
      </c>
      <c r="I1802" s="100" t="s">
        <v>8079</v>
      </c>
      <c r="J1802" s="2" t="s">
        <v>24</v>
      </c>
      <c r="K1802" s="2" t="s">
        <v>25</v>
      </c>
      <c r="L1802" s="2" t="s">
        <v>6037</v>
      </c>
      <c r="M1802" s="2" t="s">
        <v>24</v>
      </c>
      <c r="N1802" s="2" t="s">
        <v>25</v>
      </c>
      <c r="O1802" s="2" t="s">
        <v>6037</v>
      </c>
      <c r="P1802" s="51">
        <v>0</v>
      </c>
      <c r="Q1802" s="99" t="s">
        <v>6038</v>
      </c>
    </row>
    <row r="1803" spans="1:18">
      <c r="A1803" s="71">
        <v>27</v>
      </c>
      <c r="B1803" s="2" t="s">
        <v>6012</v>
      </c>
      <c r="C1803" s="71">
        <v>69</v>
      </c>
      <c r="D1803" s="2" t="s">
        <v>7730</v>
      </c>
      <c r="E1803" s="74">
        <v>0</v>
      </c>
      <c r="F1803" s="71">
        <v>2</v>
      </c>
      <c r="G1803" s="2" t="s">
        <v>6090</v>
      </c>
      <c r="H1803" s="73" t="s">
        <v>7647</v>
      </c>
      <c r="I1803" s="100" t="s">
        <v>8080</v>
      </c>
      <c r="J1803" s="2" t="s">
        <v>23</v>
      </c>
      <c r="K1803" s="2" t="s">
        <v>23</v>
      </c>
      <c r="M1803" s="2" t="s">
        <v>24</v>
      </c>
      <c r="N1803" s="2" t="s">
        <v>23</v>
      </c>
      <c r="P1803" s="51">
        <v>0</v>
      </c>
      <c r="Q1803" s="99" t="s">
        <v>7409</v>
      </c>
    </row>
    <row r="1804" spans="1:18">
      <c r="A1804" s="71">
        <v>27</v>
      </c>
      <c r="B1804" s="2" t="s">
        <v>6012</v>
      </c>
      <c r="C1804" s="71">
        <v>69</v>
      </c>
      <c r="D1804" s="2" t="s">
        <v>7730</v>
      </c>
      <c r="E1804" s="74">
        <v>0</v>
      </c>
      <c r="F1804" s="71">
        <v>3</v>
      </c>
      <c r="G1804" s="2" t="s">
        <v>7597</v>
      </c>
      <c r="H1804" s="73" t="s">
        <v>7648</v>
      </c>
      <c r="I1804" s="100" t="s">
        <v>8081</v>
      </c>
      <c r="J1804" s="2" t="s">
        <v>24</v>
      </c>
      <c r="K1804" s="2" t="s">
        <v>133</v>
      </c>
      <c r="M1804" s="2" t="s">
        <v>24</v>
      </c>
      <c r="N1804" s="2" t="s">
        <v>133</v>
      </c>
      <c r="P1804" s="51">
        <v>0</v>
      </c>
      <c r="Q1804" s="99" t="s">
        <v>7602</v>
      </c>
      <c r="R1804" s="6" t="s">
        <v>7603</v>
      </c>
    </row>
    <row r="1805" spans="1:18">
      <c r="A1805" s="71">
        <v>27</v>
      </c>
      <c r="B1805" s="2" t="s">
        <v>6012</v>
      </c>
      <c r="C1805" s="71">
        <v>69</v>
      </c>
      <c r="D1805" s="2" t="s">
        <v>7730</v>
      </c>
      <c r="E1805" s="74">
        <v>0</v>
      </c>
      <c r="F1805" s="71">
        <v>4</v>
      </c>
      <c r="G1805" s="2" t="s">
        <v>7598</v>
      </c>
      <c r="H1805" s="73" t="s">
        <v>7649</v>
      </c>
      <c r="I1805" s="100" t="s">
        <v>8082</v>
      </c>
      <c r="J1805" s="2" t="s">
        <v>24</v>
      </c>
      <c r="K1805" s="2" t="s">
        <v>133</v>
      </c>
      <c r="M1805" s="2" t="s">
        <v>24</v>
      </c>
      <c r="N1805" s="2" t="s">
        <v>133</v>
      </c>
      <c r="P1805" s="51">
        <v>0</v>
      </c>
      <c r="Q1805" s="99" t="s">
        <v>7604</v>
      </c>
      <c r="R1805" s="6" t="s">
        <v>7605</v>
      </c>
    </row>
    <row r="1806" spans="1:18" ht="30">
      <c r="A1806" s="71">
        <v>27</v>
      </c>
      <c r="B1806" s="2" t="s">
        <v>6012</v>
      </c>
      <c r="C1806" s="71">
        <v>69</v>
      </c>
      <c r="D1806" s="2" t="s">
        <v>7730</v>
      </c>
      <c r="E1806" s="74">
        <v>0</v>
      </c>
      <c r="F1806" s="71">
        <v>5</v>
      </c>
      <c r="G1806" s="2" t="s">
        <v>7599</v>
      </c>
      <c r="H1806" s="73" t="s">
        <v>7650</v>
      </c>
      <c r="I1806" s="100" t="s">
        <v>8083</v>
      </c>
      <c r="J1806" s="2" t="s">
        <v>24</v>
      </c>
      <c r="K1806" s="2" t="s">
        <v>121</v>
      </c>
      <c r="M1806" s="2" t="s">
        <v>24</v>
      </c>
      <c r="N1806" s="2" t="s">
        <v>121</v>
      </c>
      <c r="P1806" s="51">
        <v>0</v>
      </c>
      <c r="Q1806" s="99" t="s">
        <v>7606</v>
      </c>
      <c r="R1806" s="6" t="s">
        <v>7607</v>
      </c>
    </row>
    <row r="1807" spans="1:18">
      <c r="A1807" s="71">
        <v>27</v>
      </c>
      <c r="B1807" s="2" t="s">
        <v>6012</v>
      </c>
      <c r="C1807" s="71">
        <v>69</v>
      </c>
      <c r="D1807" s="2" t="s">
        <v>7730</v>
      </c>
      <c r="E1807" s="74">
        <v>0</v>
      </c>
      <c r="F1807" s="71">
        <v>6</v>
      </c>
      <c r="G1807" s="2" t="s">
        <v>7600</v>
      </c>
      <c r="H1807" s="73" t="s">
        <v>7651</v>
      </c>
      <c r="I1807" s="100" t="s">
        <v>8084</v>
      </c>
      <c r="J1807" s="2" t="s">
        <v>24</v>
      </c>
      <c r="K1807" s="2" t="s">
        <v>49</v>
      </c>
      <c r="M1807" s="2" t="s">
        <v>24</v>
      </c>
      <c r="N1807" s="2" t="s">
        <v>49</v>
      </c>
      <c r="P1807" s="51">
        <v>0</v>
      </c>
      <c r="Q1807" s="99" t="s">
        <v>7608</v>
      </c>
      <c r="R1807" s="6" t="s">
        <v>7609</v>
      </c>
    </row>
    <row r="1808" spans="1:18" ht="30">
      <c r="A1808" s="71">
        <v>27</v>
      </c>
      <c r="B1808" s="2" t="s">
        <v>6012</v>
      </c>
      <c r="C1808" s="71">
        <v>69</v>
      </c>
      <c r="D1808" s="2" t="s">
        <v>7730</v>
      </c>
      <c r="E1808" s="74">
        <v>0</v>
      </c>
      <c r="F1808" s="71">
        <v>7</v>
      </c>
      <c r="G1808" s="2" t="s">
        <v>4297</v>
      </c>
      <c r="H1808" s="73" t="s">
        <v>7652</v>
      </c>
      <c r="I1808" s="100" t="s">
        <v>8085</v>
      </c>
      <c r="J1808" s="2" t="s">
        <v>24</v>
      </c>
      <c r="K1808" s="2" t="s">
        <v>23</v>
      </c>
      <c r="M1808" s="2" t="s">
        <v>24</v>
      </c>
      <c r="N1808" s="2" t="s">
        <v>23</v>
      </c>
      <c r="P1808" s="51">
        <v>0</v>
      </c>
      <c r="Q1808" s="99" t="s">
        <v>7610</v>
      </c>
      <c r="R1808" s="6" t="s">
        <v>7611</v>
      </c>
    </row>
    <row r="1809" spans="1:18">
      <c r="A1809" s="71">
        <v>27</v>
      </c>
      <c r="B1809" s="2" t="s">
        <v>6012</v>
      </c>
      <c r="C1809" s="71">
        <v>70</v>
      </c>
      <c r="D1809" s="2" t="s">
        <v>7731</v>
      </c>
      <c r="E1809" s="74">
        <v>0</v>
      </c>
      <c r="F1809" s="71">
        <v>0</v>
      </c>
      <c r="G1809" s="2" t="s">
        <v>20</v>
      </c>
      <c r="H1809" s="73" t="s">
        <v>7653</v>
      </c>
      <c r="I1809" s="76" t="s">
        <v>8086</v>
      </c>
      <c r="J1809" s="2" t="s">
        <v>24</v>
      </c>
      <c r="K1809" s="2" t="s">
        <v>25</v>
      </c>
      <c r="L1809" s="2" t="s">
        <v>26</v>
      </c>
      <c r="M1809" s="2" t="s">
        <v>24</v>
      </c>
      <c r="N1809" s="2" t="s">
        <v>25</v>
      </c>
      <c r="O1809" s="2" t="s">
        <v>26</v>
      </c>
      <c r="P1809" s="51">
        <v>0</v>
      </c>
      <c r="Q1809" s="1" t="s">
        <v>7614</v>
      </c>
    </row>
    <row r="1810" spans="1:18">
      <c r="A1810" s="71">
        <v>27</v>
      </c>
      <c r="B1810" s="2" t="s">
        <v>6012</v>
      </c>
      <c r="C1810" s="71">
        <v>70</v>
      </c>
      <c r="D1810" s="2" t="s">
        <v>7731</v>
      </c>
      <c r="E1810" s="74">
        <v>0</v>
      </c>
      <c r="F1810" s="71">
        <v>1</v>
      </c>
      <c r="G1810" s="2" t="s">
        <v>6035</v>
      </c>
      <c r="H1810" s="73" t="s">
        <v>7654</v>
      </c>
      <c r="I1810" s="100" t="s">
        <v>8087</v>
      </c>
      <c r="J1810" s="2" t="s">
        <v>24</v>
      </c>
      <c r="K1810" s="2" t="s">
        <v>25</v>
      </c>
      <c r="L1810" s="2" t="s">
        <v>6037</v>
      </c>
      <c r="M1810" s="2" t="s">
        <v>24</v>
      </c>
      <c r="N1810" s="2" t="s">
        <v>25</v>
      </c>
      <c r="O1810" s="2" t="s">
        <v>6037</v>
      </c>
      <c r="P1810" s="51">
        <v>0</v>
      </c>
      <c r="Q1810" s="99" t="s">
        <v>6038</v>
      </c>
    </row>
    <row r="1811" spans="1:18">
      <c r="A1811" s="71">
        <v>27</v>
      </c>
      <c r="B1811" s="2" t="s">
        <v>6012</v>
      </c>
      <c r="C1811" s="71">
        <v>70</v>
      </c>
      <c r="D1811" s="2" t="s">
        <v>7731</v>
      </c>
      <c r="E1811" s="74">
        <v>0</v>
      </c>
      <c r="F1811" s="71">
        <v>2</v>
      </c>
      <c r="G1811" s="2" t="s">
        <v>6090</v>
      </c>
      <c r="H1811" s="73" t="s">
        <v>7655</v>
      </c>
      <c r="I1811" s="100" t="s">
        <v>8088</v>
      </c>
      <c r="J1811" s="2" t="s">
        <v>23</v>
      </c>
      <c r="K1811" s="2" t="s">
        <v>23</v>
      </c>
      <c r="M1811" s="2" t="s">
        <v>24</v>
      </c>
      <c r="N1811" s="2" t="s">
        <v>23</v>
      </c>
      <c r="P1811" s="51">
        <v>0</v>
      </c>
      <c r="Q1811" s="99" t="s">
        <v>7409</v>
      </c>
    </row>
    <row r="1812" spans="1:18">
      <c r="A1812" s="71">
        <v>27</v>
      </c>
      <c r="B1812" s="2" t="s">
        <v>6012</v>
      </c>
      <c r="C1812" s="71">
        <v>70</v>
      </c>
      <c r="D1812" s="2" t="s">
        <v>7731</v>
      </c>
      <c r="E1812" s="74">
        <v>0</v>
      </c>
      <c r="F1812" s="71">
        <v>3</v>
      </c>
      <c r="G1812" s="2" t="s">
        <v>2601</v>
      </c>
      <c r="H1812" s="73" t="s">
        <v>7656</v>
      </c>
      <c r="I1812" s="100" t="s">
        <v>8089</v>
      </c>
      <c r="J1812" s="2" t="s">
        <v>24</v>
      </c>
      <c r="K1812" s="2" t="s">
        <v>23</v>
      </c>
      <c r="M1812" s="2" t="s">
        <v>24</v>
      </c>
      <c r="N1812" s="2" t="s">
        <v>23</v>
      </c>
      <c r="P1812" s="51">
        <v>0</v>
      </c>
      <c r="Q1812" s="99" t="s">
        <v>7477</v>
      </c>
    </row>
    <row r="1813" spans="1:18">
      <c r="A1813" s="71">
        <v>27</v>
      </c>
      <c r="B1813" s="2" t="s">
        <v>6012</v>
      </c>
      <c r="C1813" s="71">
        <v>70</v>
      </c>
      <c r="D1813" s="2" t="s">
        <v>7731</v>
      </c>
      <c r="E1813" s="74">
        <v>0</v>
      </c>
      <c r="F1813" s="71">
        <v>4</v>
      </c>
      <c r="G1813" s="2" t="s">
        <v>7612</v>
      </c>
      <c r="H1813" s="73" t="s">
        <v>7657</v>
      </c>
      <c r="I1813" s="100" t="s">
        <v>8090</v>
      </c>
      <c r="J1813" s="2" t="s">
        <v>24</v>
      </c>
      <c r="K1813" s="2" t="s">
        <v>139</v>
      </c>
      <c r="M1813" s="2" t="s">
        <v>24</v>
      </c>
      <c r="N1813" s="2" t="s">
        <v>139</v>
      </c>
      <c r="P1813" s="51">
        <v>0</v>
      </c>
      <c r="Q1813" s="99" t="s">
        <v>7615</v>
      </c>
    </row>
    <row r="1814" spans="1:18">
      <c r="A1814" s="71">
        <v>27</v>
      </c>
      <c r="B1814" s="2" t="s">
        <v>6012</v>
      </c>
      <c r="C1814" s="71">
        <v>70</v>
      </c>
      <c r="D1814" s="2" t="s">
        <v>7731</v>
      </c>
      <c r="E1814" s="74">
        <v>0</v>
      </c>
      <c r="F1814" s="71">
        <v>5</v>
      </c>
      <c r="G1814" s="2" t="s">
        <v>7613</v>
      </c>
      <c r="H1814" s="73" t="s">
        <v>7658</v>
      </c>
      <c r="I1814" s="100" t="s">
        <v>8091</v>
      </c>
      <c r="J1814" s="2" t="s">
        <v>24</v>
      </c>
      <c r="K1814" s="2" t="s">
        <v>139</v>
      </c>
      <c r="M1814" s="2" t="s">
        <v>24</v>
      </c>
      <c r="N1814" s="2" t="s">
        <v>139</v>
      </c>
      <c r="P1814" s="51">
        <v>0</v>
      </c>
      <c r="Q1814" s="99" t="s">
        <v>7616</v>
      </c>
    </row>
    <row r="1815" spans="1:18">
      <c r="A1815" s="71">
        <v>27</v>
      </c>
      <c r="B1815" s="2" t="s">
        <v>6012</v>
      </c>
      <c r="C1815" s="71">
        <v>71</v>
      </c>
      <c r="D1815" s="2" t="s">
        <v>7617</v>
      </c>
      <c r="E1815" s="74">
        <v>0</v>
      </c>
      <c r="F1815" s="71">
        <v>0</v>
      </c>
      <c r="G1815" s="2" t="s">
        <v>20</v>
      </c>
      <c r="H1815" s="73" t="s">
        <v>7659</v>
      </c>
      <c r="I1815" s="76" t="s">
        <v>7660</v>
      </c>
      <c r="J1815" s="2" t="s">
        <v>24</v>
      </c>
      <c r="K1815" s="2" t="s">
        <v>25</v>
      </c>
      <c r="L1815" s="2" t="s">
        <v>26</v>
      </c>
      <c r="M1815" s="2" t="s">
        <v>24</v>
      </c>
      <c r="N1815" s="2" t="s">
        <v>25</v>
      </c>
      <c r="O1815" s="2" t="s">
        <v>26</v>
      </c>
      <c r="P1815" s="51">
        <v>0</v>
      </c>
      <c r="Q1815" s="1" t="s">
        <v>7621</v>
      </c>
    </row>
    <row r="1816" spans="1:18">
      <c r="A1816" s="71">
        <v>27</v>
      </c>
      <c r="B1816" s="2" t="s">
        <v>6012</v>
      </c>
      <c r="C1816" s="71">
        <v>71</v>
      </c>
      <c r="D1816" s="2" t="s">
        <v>7617</v>
      </c>
      <c r="E1816" s="74">
        <v>0</v>
      </c>
      <c r="F1816" s="71">
        <v>1</v>
      </c>
      <c r="G1816" s="2" t="s">
        <v>6035</v>
      </c>
      <c r="H1816" s="73" t="s">
        <v>7661</v>
      </c>
      <c r="I1816" s="100" t="s">
        <v>7662</v>
      </c>
      <c r="J1816" s="2" t="s">
        <v>24</v>
      </c>
      <c r="K1816" s="2" t="s">
        <v>25</v>
      </c>
      <c r="L1816" s="2" t="s">
        <v>6037</v>
      </c>
      <c r="M1816" s="2" t="s">
        <v>24</v>
      </c>
      <c r="N1816" s="2" t="s">
        <v>25</v>
      </c>
      <c r="O1816" s="2" t="s">
        <v>6037</v>
      </c>
      <c r="P1816" s="51">
        <v>0</v>
      </c>
      <c r="Q1816" s="99" t="s">
        <v>6038</v>
      </c>
    </row>
    <row r="1817" spans="1:18">
      <c r="A1817" s="71">
        <v>27</v>
      </c>
      <c r="B1817" s="2" t="s">
        <v>6012</v>
      </c>
      <c r="C1817" s="71">
        <v>71</v>
      </c>
      <c r="D1817" s="2" t="s">
        <v>7617</v>
      </c>
      <c r="E1817" s="74">
        <v>0</v>
      </c>
      <c r="F1817" s="71">
        <v>2</v>
      </c>
      <c r="G1817" s="2" t="s">
        <v>6090</v>
      </c>
      <c r="H1817" s="73" t="s">
        <v>7663</v>
      </c>
      <c r="I1817" s="100" t="s">
        <v>7664</v>
      </c>
      <c r="J1817" s="2" t="s">
        <v>23</v>
      </c>
      <c r="K1817" s="2" t="s">
        <v>23</v>
      </c>
      <c r="M1817" s="2" t="s">
        <v>24</v>
      </c>
      <c r="N1817" s="2" t="s">
        <v>23</v>
      </c>
      <c r="P1817" s="51">
        <v>0</v>
      </c>
      <c r="Q1817" s="99" t="s">
        <v>7409</v>
      </c>
    </row>
    <row r="1818" spans="1:18">
      <c r="A1818" s="71">
        <v>27</v>
      </c>
      <c r="B1818" s="2" t="s">
        <v>6012</v>
      </c>
      <c r="C1818" s="71">
        <v>71</v>
      </c>
      <c r="D1818" s="2" t="s">
        <v>7617</v>
      </c>
      <c r="E1818" s="74">
        <v>0</v>
      </c>
      <c r="F1818" s="71">
        <v>3</v>
      </c>
      <c r="G1818" s="2" t="s">
        <v>7618</v>
      </c>
      <c r="H1818" s="73" t="s">
        <v>7665</v>
      </c>
      <c r="I1818" s="100" t="s">
        <v>7666</v>
      </c>
      <c r="J1818" s="2" t="s">
        <v>23</v>
      </c>
      <c r="K1818" s="2" t="s">
        <v>23</v>
      </c>
      <c r="M1818" s="2" t="s">
        <v>24</v>
      </c>
      <c r="N1818" s="2" t="s">
        <v>49</v>
      </c>
      <c r="P1818" s="51">
        <v>0</v>
      </c>
      <c r="Q1818" s="99" t="s">
        <v>2298</v>
      </c>
    </row>
    <row r="1819" spans="1:18">
      <c r="A1819" s="71">
        <v>27</v>
      </c>
      <c r="B1819" s="2" t="s">
        <v>6012</v>
      </c>
      <c r="C1819" s="71">
        <v>71</v>
      </c>
      <c r="D1819" s="2" t="s">
        <v>7617</v>
      </c>
      <c r="E1819" s="74">
        <v>0</v>
      </c>
      <c r="F1819" s="71">
        <v>4</v>
      </c>
      <c r="G1819" s="2" t="s">
        <v>7619</v>
      </c>
      <c r="H1819" s="73" t="s">
        <v>7667</v>
      </c>
      <c r="I1819" s="100" t="s">
        <v>7668</v>
      </c>
      <c r="J1819" s="2" t="s">
        <v>23</v>
      </c>
      <c r="K1819" s="2" t="s">
        <v>23</v>
      </c>
      <c r="M1819" s="2" t="s">
        <v>24</v>
      </c>
      <c r="N1819" s="2" t="s">
        <v>25</v>
      </c>
      <c r="O1819" s="2" t="s">
        <v>7622</v>
      </c>
      <c r="P1819" s="51">
        <v>0</v>
      </c>
      <c r="Q1819" s="99" t="s">
        <v>7623</v>
      </c>
      <c r="R1819" s="6" t="s">
        <v>8289</v>
      </c>
    </row>
    <row r="1820" spans="1:18">
      <c r="A1820" s="71">
        <v>27</v>
      </c>
      <c r="B1820" s="2" t="s">
        <v>6012</v>
      </c>
      <c r="C1820" s="71">
        <v>71</v>
      </c>
      <c r="D1820" s="2" t="s">
        <v>7617</v>
      </c>
      <c r="E1820" s="74">
        <v>0</v>
      </c>
      <c r="F1820" s="71">
        <v>5</v>
      </c>
      <c r="G1820" s="2" t="s">
        <v>7620</v>
      </c>
      <c r="H1820" s="73" t="s">
        <v>7669</v>
      </c>
      <c r="I1820" s="100" t="s">
        <v>7670</v>
      </c>
      <c r="J1820" s="2" t="s">
        <v>23</v>
      </c>
      <c r="K1820" s="2" t="s">
        <v>23</v>
      </c>
      <c r="M1820" s="2" t="s">
        <v>24</v>
      </c>
      <c r="N1820" s="2" t="s">
        <v>23</v>
      </c>
      <c r="P1820" s="51">
        <v>0</v>
      </c>
      <c r="Q1820" s="99" t="s">
        <v>7624</v>
      </c>
      <c r="R1820" s="2" t="s">
        <v>7625</v>
      </c>
    </row>
    <row r="1821" spans="1:18">
      <c r="A1821" s="71">
        <v>27</v>
      </c>
      <c r="B1821" s="2" t="s">
        <v>6012</v>
      </c>
      <c r="C1821" s="71">
        <v>72</v>
      </c>
      <c r="D1821" s="2" t="s">
        <v>7626</v>
      </c>
      <c r="E1821" s="74">
        <v>0</v>
      </c>
      <c r="F1821" s="71">
        <v>0</v>
      </c>
      <c r="G1821" s="2" t="s">
        <v>20</v>
      </c>
      <c r="H1821" s="73" t="s">
        <v>7671</v>
      </c>
      <c r="I1821" s="76" t="s">
        <v>7672</v>
      </c>
      <c r="J1821" s="2" t="s">
        <v>24</v>
      </c>
      <c r="K1821" s="2" t="s">
        <v>25</v>
      </c>
      <c r="L1821" s="2" t="s">
        <v>26</v>
      </c>
      <c r="M1821" s="2" t="s">
        <v>24</v>
      </c>
      <c r="N1821" s="2" t="s">
        <v>25</v>
      </c>
      <c r="O1821" s="2" t="s">
        <v>26</v>
      </c>
      <c r="P1821" s="51">
        <v>0</v>
      </c>
      <c r="Q1821" s="1" t="s">
        <v>7627</v>
      </c>
    </row>
    <row r="1822" spans="1:18">
      <c r="A1822" s="71">
        <v>27</v>
      </c>
      <c r="B1822" s="2" t="s">
        <v>6012</v>
      </c>
      <c r="C1822" s="71">
        <v>72</v>
      </c>
      <c r="D1822" s="2" t="s">
        <v>7626</v>
      </c>
      <c r="E1822" s="74">
        <v>0</v>
      </c>
      <c r="F1822" s="71">
        <v>1</v>
      </c>
      <c r="G1822" s="2" t="s">
        <v>6035</v>
      </c>
      <c r="H1822" s="73" t="s">
        <v>7673</v>
      </c>
      <c r="I1822" s="100" t="s">
        <v>7674</v>
      </c>
      <c r="J1822" s="2" t="s">
        <v>24</v>
      </c>
      <c r="K1822" s="2" t="s">
        <v>25</v>
      </c>
      <c r="L1822" s="2" t="s">
        <v>6037</v>
      </c>
      <c r="M1822" s="2" t="s">
        <v>24</v>
      </c>
      <c r="N1822" s="2" t="s">
        <v>25</v>
      </c>
      <c r="O1822" s="2" t="s">
        <v>6037</v>
      </c>
      <c r="P1822" s="51">
        <v>0</v>
      </c>
      <c r="Q1822" s="99" t="s">
        <v>6038</v>
      </c>
    </row>
    <row r="1823" spans="1:18">
      <c r="A1823" s="71">
        <v>27</v>
      </c>
      <c r="B1823" s="2" t="s">
        <v>6012</v>
      </c>
      <c r="C1823" s="71">
        <v>72</v>
      </c>
      <c r="D1823" s="2" t="s">
        <v>7626</v>
      </c>
      <c r="E1823" s="74">
        <v>0</v>
      </c>
      <c r="F1823" s="71">
        <v>2</v>
      </c>
      <c r="G1823" s="2" t="s">
        <v>6090</v>
      </c>
      <c r="H1823" s="73" t="s">
        <v>7675</v>
      </c>
      <c r="I1823" s="100" t="s">
        <v>7676</v>
      </c>
      <c r="J1823" s="2" t="s">
        <v>23</v>
      </c>
      <c r="K1823" s="2" t="s">
        <v>23</v>
      </c>
      <c r="M1823" s="2" t="s">
        <v>24</v>
      </c>
      <c r="N1823" s="2" t="s">
        <v>23</v>
      </c>
      <c r="P1823" s="51">
        <v>0</v>
      </c>
      <c r="Q1823" s="99" t="s">
        <v>7409</v>
      </c>
    </row>
    <row r="1824" spans="1:18">
      <c r="A1824" s="71">
        <v>27</v>
      </c>
      <c r="B1824" s="2" t="s">
        <v>6012</v>
      </c>
      <c r="C1824" s="71">
        <v>72</v>
      </c>
      <c r="D1824" s="2" t="s">
        <v>7626</v>
      </c>
      <c r="E1824" s="74">
        <v>0</v>
      </c>
      <c r="F1824" s="71">
        <v>3</v>
      </c>
      <c r="G1824" s="2" t="s">
        <v>6660</v>
      </c>
      <c r="H1824" s="73" t="s">
        <v>7677</v>
      </c>
      <c r="I1824" s="100" t="s">
        <v>7678</v>
      </c>
      <c r="J1824" s="2" t="s">
        <v>24</v>
      </c>
      <c r="K1824" s="2" t="s">
        <v>133</v>
      </c>
      <c r="M1824" s="2" t="s">
        <v>24</v>
      </c>
      <c r="N1824" s="2" t="s">
        <v>133</v>
      </c>
      <c r="P1824" s="51">
        <v>0</v>
      </c>
      <c r="Q1824" s="99" t="s">
        <v>2308</v>
      </c>
      <c r="R1824" s="6" t="s">
        <v>7628</v>
      </c>
    </row>
    <row r="1825" spans="1:18">
      <c r="A1825" s="71">
        <v>27</v>
      </c>
      <c r="B1825" s="2" t="s">
        <v>6012</v>
      </c>
      <c r="C1825" s="71">
        <v>72</v>
      </c>
      <c r="D1825" s="2" t="s">
        <v>7626</v>
      </c>
      <c r="E1825" s="74">
        <v>0</v>
      </c>
      <c r="F1825" s="71">
        <v>4</v>
      </c>
      <c r="G1825" s="2" t="s">
        <v>485</v>
      </c>
      <c r="H1825" s="73" t="s">
        <v>7679</v>
      </c>
      <c r="I1825" s="100" t="s">
        <v>7680</v>
      </c>
      <c r="J1825" s="2" t="s">
        <v>24</v>
      </c>
      <c r="K1825" s="2" t="s">
        <v>49</v>
      </c>
      <c r="M1825" s="2" t="s">
        <v>24</v>
      </c>
      <c r="N1825" s="2" t="s">
        <v>49</v>
      </c>
      <c r="P1825" s="51">
        <v>0</v>
      </c>
      <c r="Q1825" s="99" t="s">
        <v>7629</v>
      </c>
      <c r="R1825" s="2" t="s">
        <v>7630</v>
      </c>
    </row>
    <row r="1826" spans="1:18">
      <c r="A1826" s="71">
        <v>27</v>
      </c>
      <c r="B1826" s="2" t="s">
        <v>6012</v>
      </c>
      <c r="C1826" s="71">
        <v>72</v>
      </c>
      <c r="D1826" s="2" t="s">
        <v>7626</v>
      </c>
      <c r="E1826" s="74">
        <v>0</v>
      </c>
      <c r="F1826" s="71">
        <v>5</v>
      </c>
      <c r="G1826" s="2" t="s">
        <v>4284</v>
      </c>
      <c r="H1826" s="73" t="s">
        <v>7681</v>
      </c>
      <c r="I1826" s="100" t="s">
        <v>7682</v>
      </c>
      <c r="J1826" s="2" t="s">
        <v>24</v>
      </c>
      <c r="K1826" s="2" t="s">
        <v>23</v>
      </c>
      <c r="M1826" s="2" t="s">
        <v>24</v>
      </c>
      <c r="N1826" s="2" t="s">
        <v>23</v>
      </c>
      <c r="P1826" s="51">
        <v>0</v>
      </c>
      <c r="Q1826" s="99" t="s">
        <v>7631</v>
      </c>
      <c r="R1826" s="2" t="s">
        <v>7632</v>
      </c>
    </row>
    <row r="1827" spans="1:18">
      <c r="A1827" s="71">
        <v>27</v>
      </c>
      <c r="B1827" s="2" t="s">
        <v>6012</v>
      </c>
      <c r="C1827" s="71">
        <v>73</v>
      </c>
      <c r="D1827" s="2" t="s">
        <v>8998</v>
      </c>
      <c r="E1827" s="74">
        <v>0</v>
      </c>
      <c r="F1827" s="71">
        <v>0</v>
      </c>
      <c r="G1827" s="2" t="s">
        <v>20</v>
      </c>
      <c r="H1827" s="73" t="s">
        <v>8999</v>
      </c>
      <c r="I1827" s="76" t="s">
        <v>9000</v>
      </c>
      <c r="J1827" s="2" t="s">
        <v>24</v>
      </c>
      <c r="K1827" s="2" t="s">
        <v>25</v>
      </c>
      <c r="L1827" s="2" t="s">
        <v>26</v>
      </c>
      <c r="M1827" s="2" t="s">
        <v>24</v>
      </c>
      <c r="N1827" s="2" t="s">
        <v>25</v>
      </c>
      <c r="O1827" s="2" t="s">
        <v>26</v>
      </c>
      <c r="P1827" s="51">
        <v>0</v>
      </c>
      <c r="Q1827" s="1" t="s">
        <v>9036</v>
      </c>
    </row>
    <row r="1828" spans="1:18">
      <c r="A1828" s="71">
        <v>27</v>
      </c>
      <c r="B1828" s="2" t="s">
        <v>6012</v>
      </c>
      <c r="C1828" s="71">
        <v>73</v>
      </c>
      <c r="D1828" s="2" t="s">
        <v>8998</v>
      </c>
      <c r="E1828" s="74">
        <v>0</v>
      </c>
      <c r="F1828" s="71">
        <v>1</v>
      </c>
      <c r="G1828" s="2" t="s">
        <v>6035</v>
      </c>
      <c r="H1828" s="73" t="s">
        <v>9001</v>
      </c>
      <c r="I1828" s="100" t="s">
        <v>9002</v>
      </c>
      <c r="J1828" s="2" t="s">
        <v>24</v>
      </c>
      <c r="K1828" s="2" t="s">
        <v>25</v>
      </c>
      <c r="L1828" s="2" t="s">
        <v>6037</v>
      </c>
      <c r="M1828" s="2" t="s">
        <v>24</v>
      </c>
      <c r="N1828" s="2" t="s">
        <v>25</v>
      </c>
      <c r="O1828" s="2" t="s">
        <v>6037</v>
      </c>
      <c r="P1828" s="51">
        <v>0</v>
      </c>
      <c r="Q1828" s="99" t="s">
        <v>6038</v>
      </c>
    </row>
    <row r="1829" spans="1:18">
      <c r="A1829" s="71">
        <v>27</v>
      </c>
      <c r="B1829" s="2" t="s">
        <v>6012</v>
      </c>
      <c r="C1829" s="71">
        <v>73</v>
      </c>
      <c r="D1829" s="2" t="s">
        <v>8998</v>
      </c>
      <c r="E1829" s="74">
        <v>0</v>
      </c>
      <c r="F1829" s="71">
        <v>2</v>
      </c>
      <c r="G1829" s="2" t="s">
        <v>6090</v>
      </c>
      <c r="H1829" s="73" t="s">
        <v>9003</v>
      </c>
      <c r="I1829" s="100" t="s">
        <v>9004</v>
      </c>
      <c r="J1829" s="2" t="s">
        <v>23</v>
      </c>
      <c r="K1829" s="2" t="s">
        <v>23</v>
      </c>
      <c r="M1829" s="2" t="s">
        <v>24</v>
      </c>
      <c r="N1829" s="2" t="s">
        <v>23</v>
      </c>
      <c r="P1829" s="51">
        <v>0</v>
      </c>
      <c r="Q1829" s="99" t="s">
        <v>9037</v>
      </c>
    </row>
    <row r="1830" spans="1:18">
      <c r="A1830" s="71">
        <v>27</v>
      </c>
      <c r="B1830" s="2" t="s">
        <v>6012</v>
      </c>
      <c r="C1830" s="71">
        <v>73</v>
      </c>
      <c r="D1830" s="2" t="s">
        <v>8998</v>
      </c>
      <c r="E1830" s="74">
        <v>0</v>
      </c>
      <c r="F1830" s="71">
        <v>3</v>
      </c>
      <c r="G1830" s="2" t="s">
        <v>9005</v>
      </c>
      <c r="H1830" s="73" t="s">
        <v>9008</v>
      </c>
      <c r="I1830" s="100" t="s">
        <v>9009</v>
      </c>
      <c r="J1830" s="2" t="s">
        <v>24</v>
      </c>
      <c r="K1830" s="2" t="s">
        <v>116</v>
      </c>
      <c r="L1830" s="16" t="s">
        <v>9009</v>
      </c>
      <c r="M1830" s="2" t="s">
        <v>24</v>
      </c>
      <c r="N1830" s="2" t="s">
        <v>116</v>
      </c>
      <c r="O1830" s="16" t="s">
        <v>9009</v>
      </c>
      <c r="P1830" s="51">
        <v>0</v>
      </c>
      <c r="Q1830" s="99" t="s">
        <v>9006</v>
      </c>
    </row>
    <row r="1831" spans="1:18">
      <c r="A1831" s="71">
        <v>27</v>
      </c>
      <c r="B1831" s="2" t="s">
        <v>6012</v>
      </c>
      <c r="C1831" s="71">
        <v>73</v>
      </c>
      <c r="D1831" s="2" t="s">
        <v>8998</v>
      </c>
      <c r="E1831" s="74">
        <v>0</v>
      </c>
      <c r="F1831" s="71">
        <v>4</v>
      </c>
      <c r="G1831" s="2" t="s">
        <v>323</v>
      </c>
      <c r="H1831" s="73" t="s">
        <v>9010</v>
      </c>
      <c r="I1831" s="100" t="s">
        <v>9011</v>
      </c>
      <c r="J1831" s="2" t="s">
        <v>24</v>
      </c>
      <c r="K1831" s="2" t="s">
        <v>116</v>
      </c>
      <c r="L1831" s="16" t="s">
        <v>9011</v>
      </c>
      <c r="M1831" s="2" t="s">
        <v>24</v>
      </c>
      <c r="N1831" s="2" t="s">
        <v>116</v>
      </c>
      <c r="O1831" s="16" t="s">
        <v>9011</v>
      </c>
      <c r="P1831" s="51">
        <v>0</v>
      </c>
      <c r="Q1831" s="99" t="s">
        <v>326</v>
      </c>
    </row>
    <row r="1832" spans="1:18">
      <c r="A1832" s="71">
        <v>27</v>
      </c>
      <c r="B1832" s="2" t="s">
        <v>6012</v>
      </c>
      <c r="C1832" s="71">
        <v>73</v>
      </c>
      <c r="D1832" s="2" t="s">
        <v>8998</v>
      </c>
      <c r="E1832" s="74">
        <v>0</v>
      </c>
      <c r="F1832" s="71">
        <v>5</v>
      </c>
      <c r="G1832" s="2" t="s">
        <v>4208</v>
      </c>
      <c r="H1832" s="73" t="s">
        <v>9012</v>
      </c>
      <c r="I1832" s="100" t="s">
        <v>9013</v>
      </c>
      <c r="J1832" s="2" t="s">
        <v>24</v>
      </c>
      <c r="K1832" s="2" t="s">
        <v>116</v>
      </c>
      <c r="L1832" s="16" t="s">
        <v>9013</v>
      </c>
      <c r="M1832" s="2" t="s">
        <v>24</v>
      </c>
      <c r="N1832" s="2" t="s">
        <v>116</v>
      </c>
      <c r="O1832" s="16" t="s">
        <v>9013</v>
      </c>
      <c r="P1832" s="51">
        <v>0</v>
      </c>
      <c r="Q1832" s="99" t="s">
        <v>9007</v>
      </c>
    </row>
    <row r="1833" spans="1:18">
      <c r="A1833" s="71">
        <v>27</v>
      </c>
      <c r="B1833" s="2" t="s">
        <v>6012</v>
      </c>
      <c r="C1833" s="71">
        <v>73</v>
      </c>
      <c r="D1833" s="2" t="s">
        <v>8998</v>
      </c>
      <c r="E1833" s="74">
        <v>0</v>
      </c>
      <c r="F1833" s="71">
        <v>6</v>
      </c>
      <c r="G1833" s="2" t="s">
        <v>8168</v>
      </c>
      <c r="H1833" s="73" t="s">
        <v>9014</v>
      </c>
      <c r="I1833" s="100" t="s">
        <v>9015</v>
      </c>
      <c r="J1833" s="2" t="s">
        <v>24</v>
      </c>
      <c r="K1833" s="2" t="s">
        <v>139</v>
      </c>
      <c r="M1833" s="2" t="s">
        <v>24</v>
      </c>
      <c r="N1833" s="2" t="s">
        <v>139</v>
      </c>
      <c r="P1833" s="51">
        <v>0</v>
      </c>
      <c r="Q1833" s="99" t="s">
        <v>1887</v>
      </c>
    </row>
    <row r="1834" spans="1:18">
      <c r="A1834" s="71">
        <v>27</v>
      </c>
      <c r="B1834" s="2" t="s">
        <v>6012</v>
      </c>
      <c r="C1834" s="71">
        <v>73</v>
      </c>
      <c r="D1834" s="2" t="s">
        <v>8998</v>
      </c>
      <c r="E1834" s="74">
        <v>0</v>
      </c>
      <c r="F1834" s="71">
        <v>7</v>
      </c>
      <c r="G1834" s="2" t="s">
        <v>889</v>
      </c>
      <c r="H1834" s="73" t="s">
        <v>9018</v>
      </c>
      <c r="I1834" s="100" t="s">
        <v>9019</v>
      </c>
      <c r="J1834" s="2" t="s">
        <v>24</v>
      </c>
      <c r="K1834" s="2" t="s">
        <v>139</v>
      </c>
      <c r="M1834" s="2" t="s">
        <v>24</v>
      </c>
      <c r="N1834" s="2" t="s">
        <v>139</v>
      </c>
      <c r="P1834" s="51">
        <v>0</v>
      </c>
      <c r="Q1834" s="99" t="s">
        <v>3539</v>
      </c>
    </row>
    <row r="1835" spans="1:18">
      <c r="A1835" s="71">
        <v>27</v>
      </c>
      <c r="B1835" s="2" t="s">
        <v>6012</v>
      </c>
      <c r="C1835" s="71">
        <v>73</v>
      </c>
      <c r="D1835" s="2" t="s">
        <v>8998</v>
      </c>
      <c r="E1835" s="74">
        <v>0</v>
      </c>
      <c r="F1835" s="71">
        <v>8</v>
      </c>
      <c r="G1835" s="2" t="s">
        <v>9016</v>
      </c>
      <c r="H1835" s="73" t="s">
        <v>9020</v>
      </c>
      <c r="I1835" s="100" t="s">
        <v>9021</v>
      </c>
      <c r="J1835" s="2" t="s">
        <v>24</v>
      </c>
      <c r="K1835" s="2" t="s">
        <v>116</v>
      </c>
      <c r="L1835" s="16" t="s">
        <v>9021</v>
      </c>
      <c r="M1835" s="2" t="s">
        <v>24</v>
      </c>
      <c r="N1835" s="2" t="s">
        <v>116</v>
      </c>
      <c r="O1835" s="16" t="s">
        <v>9021</v>
      </c>
      <c r="P1835" s="51">
        <v>0</v>
      </c>
      <c r="Q1835" s="99" t="s">
        <v>9017</v>
      </c>
    </row>
    <row r="1836" spans="1:18">
      <c r="A1836" s="71">
        <v>27</v>
      </c>
      <c r="B1836" s="2" t="s">
        <v>6012</v>
      </c>
      <c r="C1836" s="71">
        <v>73</v>
      </c>
      <c r="D1836" s="2" t="s">
        <v>8998</v>
      </c>
      <c r="E1836" s="74">
        <v>0</v>
      </c>
      <c r="F1836" s="71">
        <v>9</v>
      </c>
      <c r="G1836" s="2" t="s">
        <v>1490</v>
      </c>
      <c r="H1836" s="73" t="s">
        <v>9022</v>
      </c>
      <c r="I1836" s="100" t="s">
        <v>9023</v>
      </c>
      <c r="J1836" s="2" t="s">
        <v>24</v>
      </c>
      <c r="K1836" s="2" t="s">
        <v>116</v>
      </c>
      <c r="L1836" s="16" t="s">
        <v>9023</v>
      </c>
      <c r="M1836" s="2" t="s">
        <v>24</v>
      </c>
      <c r="N1836" s="2" t="s">
        <v>116</v>
      </c>
      <c r="O1836" s="16" t="s">
        <v>9023</v>
      </c>
      <c r="P1836" s="51">
        <v>0</v>
      </c>
      <c r="Q1836" s="99" t="s">
        <v>9038</v>
      </c>
    </row>
    <row r="1837" spans="1:18">
      <c r="A1837" s="71">
        <v>27</v>
      </c>
      <c r="B1837" s="2" t="s">
        <v>6012</v>
      </c>
      <c r="C1837" s="71">
        <v>73</v>
      </c>
      <c r="D1837" s="2" t="s">
        <v>8998</v>
      </c>
      <c r="E1837" s="74">
        <v>0</v>
      </c>
      <c r="F1837" s="71">
        <v>10</v>
      </c>
      <c r="G1837" s="2" t="s">
        <v>9024</v>
      </c>
      <c r="H1837" s="73" t="s">
        <v>9026</v>
      </c>
      <c r="I1837" s="100" t="s">
        <v>9027</v>
      </c>
      <c r="J1837" s="2" t="s">
        <v>24</v>
      </c>
      <c r="K1837" s="2" t="s">
        <v>206</v>
      </c>
      <c r="M1837" s="2" t="s">
        <v>24</v>
      </c>
      <c r="N1837" s="2" t="s">
        <v>206</v>
      </c>
      <c r="P1837" s="51">
        <v>0</v>
      </c>
      <c r="Q1837" s="99" t="s">
        <v>9025</v>
      </c>
    </row>
    <row r="1838" spans="1:18">
      <c r="A1838" s="71">
        <v>27</v>
      </c>
      <c r="B1838" s="2" t="s">
        <v>6012</v>
      </c>
      <c r="C1838" s="71">
        <v>74</v>
      </c>
      <c r="D1838" s="2" t="s">
        <v>9510</v>
      </c>
      <c r="E1838" s="74">
        <v>0</v>
      </c>
      <c r="F1838" s="71">
        <v>0</v>
      </c>
      <c r="G1838" s="2" t="s">
        <v>20</v>
      </c>
      <c r="H1838" s="73" t="s">
        <v>9511</v>
      </c>
      <c r="I1838" s="76" t="s">
        <v>9512</v>
      </c>
      <c r="J1838" s="2" t="s">
        <v>24</v>
      </c>
      <c r="K1838" s="2" t="s">
        <v>25</v>
      </c>
      <c r="L1838" s="2" t="s">
        <v>26</v>
      </c>
      <c r="M1838" s="2" t="s">
        <v>24</v>
      </c>
      <c r="N1838" s="2" t="s">
        <v>25</v>
      </c>
      <c r="O1838" s="2" t="s">
        <v>26</v>
      </c>
      <c r="P1838" s="51">
        <v>0</v>
      </c>
      <c r="Q1838" s="1" t="s">
        <v>9871</v>
      </c>
    </row>
    <row r="1839" spans="1:18">
      <c r="A1839" s="71">
        <v>27</v>
      </c>
      <c r="B1839" s="2" t="s">
        <v>6012</v>
      </c>
      <c r="C1839" s="71">
        <v>74</v>
      </c>
      <c r="D1839" s="2" t="s">
        <v>9510</v>
      </c>
      <c r="E1839" s="74">
        <v>0</v>
      </c>
      <c r="F1839" s="71">
        <v>1</v>
      </c>
      <c r="G1839" s="2" t="s">
        <v>6035</v>
      </c>
      <c r="H1839" s="73" t="s">
        <v>9514</v>
      </c>
      <c r="I1839" s="100" t="s">
        <v>9551</v>
      </c>
      <c r="J1839" s="2" t="s">
        <v>24</v>
      </c>
      <c r="K1839" s="2" t="s">
        <v>25</v>
      </c>
      <c r="L1839" s="2" t="s">
        <v>6037</v>
      </c>
      <c r="M1839" s="2" t="s">
        <v>24</v>
      </c>
      <c r="N1839" s="2" t="s">
        <v>25</v>
      </c>
      <c r="O1839" s="2" t="s">
        <v>6037</v>
      </c>
      <c r="P1839" s="51">
        <v>0</v>
      </c>
      <c r="Q1839" s="99" t="s">
        <v>6038</v>
      </c>
    </row>
    <row r="1840" spans="1:18">
      <c r="A1840" s="71">
        <v>27</v>
      </c>
      <c r="B1840" s="2" t="s">
        <v>6012</v>
      </c>
      <c r="C1840" s="71">
        <v>74</v>
      </c>
      <c r="D1840" s="2" t="s">
        <v>9510</v>
      </c>
      <c r="E1840" s="74">
        <v>0</v>
      </c>
      <c r="F1840" s="71">
        <v>2</v>
      </c>
      <c r="G1840" s="2" t="s">
        <v>2247</v>
      </c>
      <c r="H1840" s="73" t="s">
        <v>9526</v>
      </c>
      <c r="I1840" s="100" t="s">
        <v>9515</v>
      </c>
      <c r="J1840" s="2" t="s">
        <v>24</v>
      </c>
      <c r="K1840" s="2" t="s">
        <v>116</v>
      </c>
      <c r="L1840" s="16" t="s">
        <v>9515</v>
      </c>
      <c r="M1840" s="2" t="s">
        <v>24</v>
      </c>
      <c r="N1840" s="2" t="s">
        <v>116</v>
      </c>
      <c r="O1840" s="16" t="s">
        <v>9515</v>
      </c>
      <c r="P1840" s="51">
        <v>0</v>
      </c>
      <c r="Q1840" s="99" t="s">
        <v>9513</v>
      </c>
    </row>
    <row r="1841" spans="1:18">
      <c r="A1841" s="71">
        <v>27</v>
      </c>
      <c r="B1841" s="2" t="s">
        <v>6012</v>
      </c>
      <c r="C1841" s="71">
        <v>74</v>
      </c>
      <c r="D1841" s="2" t="s">
        <v>9510</v>
      </c>
      <c r="E1841" s="74">
        <v>0</v>
      </c>
      <c r="F1841" s="71">
        <v>3</v>
      </c>
      <c r="G1841" s="2" t="s">
        <v>9520</v>
      </c>
      <c r="H1841" s="73" t="s">
        <v>9528</v>
      </c>
      <c r="I1841" s="100" t="s">
        <v>9527</v>
      </c>
      <c r="J1841" s="2" t="s">
        <v>24</v>
      </c>
      <c r="K1841" s="2" t="s">
        <v>23</v>
      </c>
      <c r="M1841" s="2" t="s">
        <v>24</v>
      </c>
      <c r="N1841" s="2" t="s">
        <v>23</v>
      </c>
      <c r="O1841" s="16"/>
      <c r="P1841" s="51">
        <v>0</v>
      </c>
      <c r="Q1841" s="99" t="s">
        <v>9543</v>
      </c>
    </row>
    <row r="1842" spans="1:18">
      <c r="A1842" s="71">
        <v>27</v>
      </c>
      <c r="B1842" s="2" t="s">
        <v>6012</v>
      </c>
      <c r="C1842" s="71">
        <v>74</v>
      </c>
      <c r="D1842" s="2" t="s">
        <v>9510</v>
      </c>
      <c r="E1842" s="74">
        <v>0</v>
      </c>
      <c r="F1842" s="71">
        <v>4</v>
      </c>
      <c r="G1842" s="2" t="s">
        <v>9521</v>
      </c>
      <c r="H1842" s="73" t="s">
        <v>9530</v>
      </c>
      <c r="I1842" s="100" t="s">
        <v>9529</v>
      </c>
      <c r="J1842" s="2" t="s">
        <v>24</v>
      </c>
      <c r="K1842" s="2" t="s">
        <v>23</v>
      </c>
      <c r="M1842" s="2" t="s">
        <v>24</v>
      </c>
      <c r="N1842" s="2" t="s">
        <v>23</v>
      </c>
      <c r="P1842" s="51">
        <v>0</v>
      </c>
      <c r="Q1842" s="99" t="s">
        <v>9544</v>
      </c>
    </row>
    <row r="1843" spans="1:18">
      <c r="A1843" s="71">
        <v>27</v>
      </c>
      <c r="B1843" s="2" t="s">
        <v>6012</v>
      </c>
      <c r="C1843" s="71">
        <v>74</v>
      </c>
      <c r="D1843" s="2" t="s">
        <v>9510</v>
      </c>
      <c r="E1843" s="74">
        <v>0</v>
      </c>
      <c r="F1843" s="71">
        <v>5</v>
      </c>
      <c r="G1843" s="2" t="s">
        <v>7036</v>
      </c>
      <c r="H1843" s="73" t="s">
        <v>9532</v>
      </c>
      <c r="I1843" s="100" t="s">
        <v>9531</v>
      </c>
      <c r="J1843" s="2" t="s">
        <v>24</v>
      </c>
      <c r="K1843" s="2" t="s">
        <v>23</v>
      </c>
      <c r="M1843" s="2" t="s">
        <v>24</v>
      </c>
      <c r="N1843" s="2" t="s">
        <v>23</v>
      </c>
      <c r="P1843" s="51">
        <v>0</v>
      </c>
      <c r="Q1843" s="99" t="s">
        <v>9542</v>
      </c>
    </row>
    <row r="1844" spans="1:18">
      <c r="A1844" s="71">
        <v>27</v>
      </c>
      <c r="B1844" s="2" t="s">
        <v>6012</v>
      </c>
      <c r="C1844" s="71">
        <v>74</v>
      </c>
      <c r="D1844" s="2" t="s">
        <v>9510</v>
      </c>
      <c r="E1844" s="74">
        <v>0</v>
      </c>
      <c r="F1844" s="71">
        <v>6</v>
      </c>
      <c r="G1844" s="2" t="s">
        <v>9522</v>
      </c>
      <c r="H1844" s="73" t="s">
        <v>9534</v>
      </c>
      <c r="I1844" s="100" t="s">
        <v>9533</v>
      </c>
      <c r="J1844" s="2" t="s">
        <v>24</v>
      </c>
      <c r="K1844" s="2" t="s">
        <v>23</v>
      </c>
      <c r="M1844" s="2" t="s">
        <v>24</v>
      </c>
      <c r="N1844" s="2" t="s">
        <v>23</v>
      </c>
      <c r="P1844" s="51">
        <v>0</v>
      </c>
      <c r="Q1844" s="99" t="s">
        <v>9545</v>
      </c>
    </row>
    <row r="1845" spans="1:18">
      <c r="A1845" s="71">
        <v>27</v>
      </c>
      <c r="B1845" s="2" t="s">
        <v>6012</v>
      </c>
      <c r="C1845" s="71">
        <v>74</v>
      </c>
      <c r="D1845" s="2" t="s">
        <v>9510</v>
      </c>
      <c r="E1845" s="74">
        <v>0</v>
      </c>
      <c r="F1845" s="71">
        <v>7</v>
      </c>
      <c r="G1845" s="2" t="s">
        <v>9523</v>
      </c>
      <c r="H1845" s="73" t="s">
        <v>9536</v>
      </c>
      <c r="I1845" s="100" t="s">
        <v>9535</v>
      </c>
      <c r="J1845" s="2" t="s">
        <v>24</v>
      </c>
      <c r="K1845" s="2" t="s">
        <v>23</v>
      </c>
      <c r="M1845" s="2" t="s">
        <v>24</v>
      </c>
      <c r="N1845" s="2" t="s">
        <v>23</v>
      </c>
      <c r="P1845" s="51">
        <v>0</v>
      </c>
      <c r="Q1845" s="99" t="s">
        <v>9546</v>
      </c>
    </row>
    <row r="1846" spans="1:18">
      <c r="A1846" s="71">
        <v>27</v>
      </c>
      <c r="B1846" s="2" t="s">
        <v>6012</v>
      </c>
      <c r="C1846" s="71">
        <v>74</v>
      </c>
      <c r="D1846" s="2" t="s">
        <v>9510</v>
      </c>
      <c r="E1846" s="74">
        <v>0</v>
      </c>
      <c r="F1846" s="71">
        <v>8</v>
      </c>
      <c r="G1846" s="2" t="s">
        <v>167</v>
      </c>
      <c r="H1846" s="73" t="s">
        <v>9538</v>
      </c>
      <c r="I1846" s="100" t="s">
        <v>9537</v>
      </c>
      <c r="J1846" s="2" t="s">
        <v>24</v>
      </c>
      <c r="K1846" s="2" t="s">
        <v>23</v>
      </c>
      <c r="M1846" s="2" t="s">
        <v>24</v>
      </c>
      <c r="N1846" s="2" t="s">
        <v>23</v>
      </c>
      <c r="P1846" s="51">
        <v>0</v>
      </c>
      <c r="Q1846" s="99" t="s">
        <v>9547</v>
      </c>
    </row>
    <row r="1847" spans="1:18">
      <c r="A1847" s="71">
        <v>27</v>
      </c>
      <c r="B1847" s="2" t="s">
        <v>6012</v>
      </c>
      <c r="C1847" s="71">
        <v>74</v>
      </c>
      <c r="D1847" s="2" t="s">
        <v>9510</v>
      </c>
      <c r="E1847" s="74">
        <v>0</v>
      </c>
      <c r="F1847" s="71">
        <v>9</v>
      </c>
      <c r="G1847" s="2" t="s">
        <v>9524</v>
      </c>
      <c r="H1847" s="73" t="s">
        <v>9540</v>
      </c>
      <c r="I1847" s="100" t="s">
        <v>9539</v>
      </c>
      <c r="J1847" s="2" t="s">
        <v>24</v>
      </c>
      <c r="K1847" s="2" t="s">
        <v>23</v>
      </c>
      <c r="M1847" s="2" t="s">
        <v>24</v>
      </c>
      <c r="N1847" s="2" t="s">
        <v>23</v>
      </c>
      <c r="P1847" s="51">
        <v>0</v>
      </c>
      <c r="Q1847" s="99" t="s">
        <v>9548</v>
      </c>
    </row>
    <row r="1848" spans="1:18">
      <c r="A1848" s="71">
        <v>27</v>
      </c>
      <c r="B1848" s="2" t="s">
        <v>6012</v>
      </c>
      <c r="C1848" s="71">
        <v>74</v>
      </c>
      <c r="D1848" s="2" t="s">
        <v>9510</v>
      </c>
      <c r="E1848" s="74">
        <v>0</v>
      </c>
      <c r="F1848" s="71">
        <v>10</v>
      </c>
      <c r="G1848" s="2" t="s">
        <v>9525</v>
      </c>
      <c r="H1848" s="73" t="s">
        <v>9552</v>
      </c>
      <c r="I1848" s="100" t="s">
        <v>9541</v>
      </c>
      <c r="J1848" s="2" t="s">
        <v>24</v>
      </c>
      <c r="K1848" s="2" t="s">
        <v>23</v>
      </c>
      <c r="M1848" s="2" t="s">
        <v>24</v>
      </c>
      <c r="N1848" s="2" t="s">
        <v>23</v>
      </c>
      <c r="P1848" s="51">
        <v>0</v>
      </c>
      <c r="Q1848" s="99" t="s">
        <v>9549</v>
      </c>
      <c r="R1848" s="2" t="s">
        <v>9550</v>
      </c>
    </row>
    <row r="1849" spans="1:18">
      <c r="A1849" s="71">
        <v>27</v>
      </c>
      <c r="B1849" s="2" t="s">
        <v>6012</v>
      </c>
      <c r="C1849" s="71">
        <v>75</v>
      </c>
      <c r="D1849" s="2" t="s">
        <v>9612</v>
      </c>
      <c r="E1849" s="74">
        <v>0</v>
      </c>
      <c r="F1849" s="71">
        <v>0</v>
      </c>
      <c r="G1849" s="2" t="s">
        <v>20</v>
      </c>
      <c r="H1849" s="73" t="s">
        <v>9603</v>
      </c>
      <c r="I1849" s="76" t="s">
        <v>9614</v>
      </c>
      <c r="J1849" s="2" t="s">
        <v>24</v>
      </c>
      <c r="K1849" s="2" t="s">
        <v>25</v>
      </c>
      <c r="L1849" s="2" t="s">
        <v>26</v>
      </c>
      <c r="M1849" s="2" t="s">
        <v>24</v>
      </c>
      <c r="N1849" s="2" t="s">
        <v>25</v>
      </c>
      <c r="O1849" s="2" t="s">
        <v>26</v>
      </c>
      <c r="P1849" s="51">
        <v>0</v>
      </c>
      <c r="Q1849" s="1" t="s">
        <v>9870</v>
      </c>
    </row>
    <row r="1850" spans="1:18">
      <c r="A1850" s="71">
        <v>27</v>
      </c>
      <c r="B1850" s="2" t="s">
        <v>6012</v>
      </c>
      <c r="C1850" s="71">
        <v>75</v>
      </c>
      <c r="D1850" s="2" t="s">
        <v>9612</v>
      </c>
      <c r="E1850" s="74">
        <v>0</v>
      </c>
      <c r="F1850" s="71">
        <v>1</v>
      </c>
      <c r="G1850" s="2" t="s">
        <v>6035</v>
      </c>
      <c r="H1850" s="73" t="s">
        <v>9604</v>
      </c>
      <c r="I1850" s="100" t="s">
        <v>9615</v>
      </c>
      <c r="J1850" s="2" t="s">
        <v>23</v>
      </c>
      <c r="K1850" s="2" t="s">
        <v>23</v>
      </c>
      <c r="M1850" s="2" t="s">
        <v>24</v>
      </c>
      <c r="N1850" s="2" t="s">
        <v>25</v>
      </c>
      <c r="O1850" s="2" t="s">
        <v>6037</v>
      </c>
      <c r="P1850" s="51">
        <v>0</v>
      </c>
      <c r="Q1850" s="99" t="s">
        <v>6038</v>
      </c>
    </row>
    <row r="1851" spans="1:18">
      <c r="A1851" s="71">
        <v>27</v>
      </c>
      <c r="B1851" s="2" t="s">
        <v>6012</v>
      </c>
      <c r="C1851" s="71">
        <v>75</v>
      </c>
      <c r="D1851" s="2" t="s">
        <v>9612</v>
      </c>
      <c r="E1851" s="74">
        <v>0</v>
      </c>
      <c r="F1851" s="71">
        <v>2</v>
      </c>
      <c r="G1851" s="2" t="s">
        <v>3478</v>
      </c>
      <c r="H1851" s="73" t="s">
        <v>9605</v>
      </c>
      <c r="I1851" s="100" t="s">
        <v>9616</v>
      </c>
      <c r="J1851" s="2" t="s">
        <v>23</v>
      </c>
      <c r="K1851" s="2" t="s">
        <v>23</v>
      </c>
      <c r="M1851" s="2" t="s">
        <v>24</v>
      </c>
      <c r="N1851" s="2" t="s">
        <v>23</v>
      </c>
      <c r="P1851" s="51">
        <v>0</v>
      </c>
      <c r="Q1851" s="99" t="s">
        <v>9590</v>
      </c>
      <c r="R1851" s="2" t="s">
        <v>9593</v>
      </c>
    </row>
    <row r="1852" spans="1:18">
      <c r="A1852" s="71">
        <v>27</v>
      </c>
      <c r="B1852" s="2" t="s">
        <v>6012</v>
      </c>
      <c r="C1852" s="71">
        <v>75</v>
      </c>
      <c r="D1852" s="2" t="s">
        <v>9612</v>
      </c>
      <c r="E1852" s="74">
        <v>0</v>
      </c>
      <c r="F1852" s="71">
        <v>3</v>
      </c>
      <c r="G1852" s="2" t="s">
        <v>9591</v>
      </c>
      <c r="H1852" s="73" t="s">
        <v>9606</v>
      </c>
      <c r="I1852" s="100" t="s">
        <v>9617</v>
      </c>
      <c r="J1852" s="2" t="s">
        <v>23</v>
      </c>
      <c r="K1852" s="2" t="s">
        <v>23</v>
      </c>
      <c r="M1852" s="2" t="s">
        <v>24</v>
      </c>
      <c r="N1852" s="2" t="s">
        <v>23</v>
      </c>
      <c r="P1852" s="51">
        <v>0</v>
      </c>
      <c r="Q1852" s="99" t="s">
        <v>9592</v>
      </c>
      <c r="R1852" s="2" t="s">
        <v>9593</v>
      </c>
    </row>
    <row r="1853" spans="1:18">
      <c r="A1853" s="71">
        <v>27</v>
      </c>
      <c r="B1853" s="2" t="s">
        <v>6012</v>
      </c>
      <c r="C1853" s="71">
        <v>75</v>
      </c>
      <c r="D1853" s="2" t="s">
        <v>9612</v>
      </c>
      <c r="E1853" s="74">
        <v>0</v>
      </c>
      <c r="F1853" s="71">
        <v>4</v>
      </c>
      <c r="G1853" s="2" t="s">
        <v>2935</v>
      </c>
      <c r="H1853" s="73" t="s">
        <v>9607</v>
      </c>
      <c r="I1853" s="100" t="s">
        <v>9618</v>
      </c>
      <c r="J1853" s="2" t="s">
        <v>23</v>
      </c>
      <c r="K1853" s="2" t="s">
        <v>23</v>
      </c>
      <c r="M1853" s="2" t="s">
        <v>24</v>
      </c>
      <c r="N1853" s="2" t="s">
        <v>23</v>
      </c>
      <c r="P1853" s="51">
        <v>0</v>
      </c>
      <c r="Q1853" s="99" t="s">
        <v>2938</v>
      </c>
      <c r="R1853" s="2" t="s">
        <v>9593</v>
      </c>
    </row>
    <row r="1854" spans="1:18">
      <c r="A1854" s="71">
        <v>27</v>
      </c>
      <c r="B1854" s="2" t="s">
        <v>6012</v>
      </c>
      <c r="C1854" s="71">
        <v>75</v>
      </c>
      <c r="D1854" s="2" t="s">
        <v>9612</v>
      </c>
      <c r="E1854" s="74">
        <v>0</v>
      </c>
      <c r="F1854" s="71">
        <v>5</v>
      </c>
      <c r="G1854" s="2" t="s">
        <v>9596</v>
      </c>
      <c r="H1854" s="73" t="s">
        <v>9608</v>
      </c>
      <c r="I1854" s="100" t="s">
        <v>9619</v>
      </c>
      <c r="J1854" s="2" t="s">
        <v>23</v>
      </c>
      <c r="K1854" s="2" t="s">
        <v>23</v>
      </c>
      <c r="M1854" s="2" t="s">
        <v>24</v>
      </c>
      <c r="N1854" s="2" t="s">
        <v>23</v>
      </c>
      <c r="P1854" s="51">
        <v>0</v>
      </c>
      <c r="Q1854" s="99" t="s">
        <v>9594</v>
      </c>
      <c r="R1854" s="2" t="s">
        <v>9595</v>
      </c>
    </row>
    <row r="1855" spans="1:18">
      <c r="A1855" s="71">
        <v>27</v>
      </c>
      <c r="B1855" s="2" t="s">
        <v>6012</v>
      </c>
      <c r="C1855" s="71">
        <v>75</v>
      </c>
      <c r="D1855" s="2" t="s">
        <v>9612</v>
      </c>
      <c r="E1855" s="74">
        <v>0</v>
      </c>
      <c r="F1855" s="71">
        <v>6</v>
      </c>
      <c r="G1855" s="2" t="s">
        <v>9597</v>
      </c>
      <c r="H1855" s="73" t="s">
        <v>9609</v>
      </c>
      <c r="I1855" s="100" t="s">
        <v>9620</v>
      </c>
      <c r="J1855" s="2" t="s">
        <v>23</v>
      </c>
      <c r="K1855" s="2" t="s">
        <v>23</v>
      </c>
      <c r="M1855" s="2" t="s">
        <v>24</v>
      </c>
      <c r="N1855" s="2" t="s">
        <v>23</v>
      </c>
      <c r="P1855" s="51">
        <v>0</v>
      </c>
      <c r="Q1855" s="99" t="s">
        <v>9598</v>
      </c>
      <c r="R1855" s="2" t="s">
        <v>9599</v>
      </c>
    </row>
    <row r="1856" spans="1:18">
      <c r="A1856" s="71">
        <v>27</v>
      </c>
      <c r="B1856" s="2" t="s">
        <v>6012</v>
      </c>
      <c r="C1856" s="71">
        <v>75</v>
      </c>
      <c r="D1856" s="2" t="s">
        <v>9612</v>
      </c>
      <c r="E1856" s="74">
        <v>0</v>
      </c>
      <c r="F1856" s="71">
        <v>7</v>
      </c>
      <c r="G1856" s="2" t="s">
        <v>9600</v>
      </c>
      <c r="H1856" s="73" t="s">
        <v>9610</v>
      </c>
      <c r="I1856" s="100" t="s">
        <v>9621</v>
      </c>
      <c r="J1856" s="2" t="s">
        <v>23</v>
      </c>
      <c r="K1856" s="2" t="s">
        <v>23</v>
      </c>
      <c r="M1856" s="2" t="s">
        <v>24</v>
      </c>
      <c r="N1856" s="2" t="s">
        <v>23</v>
      </c>
      <c r="P1856" s="51">
        <v>0</v>
      </c>
      <c r="Q1856" s="99" t="s">
        <v>9601</v>
      </c>
      <c r="R1856" s="2" t="s">
        <v>9602</v>
      </c>
    </row>
    <row r="1857" spans="1:18">
      <c r="A1857" s="71">
        <v>27</v>
      </c>
      <c r="B1857" s="2" t="s">
        <v>6012</v>
      </c>
      <c r="C1857" s="71">
        <v>75</v>
      </c>
      <c r="D1857" s="2" t="s">
        <v>9612</v>
      </c>
      <c r="E1857" s="74">
        <v>0</v>
      </c>
      <c r="F1857" s="71">
        <v>8</v>
      </c>
      <c r="G1857" s="2" t="s">
        <v>1111</v>
      </c>
      <c r="H1857" s="73" t="s">
        <v>10757</v>
      </c>
      <c r="I1857" s="100" t="s">
        <v>10758</v>
      </c>
      <c r="J1857" s="2" t="s">
        <v>23</v>
      </c>
      <c r="K1857" s="2" t="s">
        <v>23</v>
      </c>
      <c r="M1857" s="2" t="s">
        <v>24</v>
      </c>
      <c r="N1857" s="2" t="s">
        <v>23</v>
      </c>
      <c r="P1857" s="51">
        <v>0</v>
      </c>
      <c r="Q1857" s="99" t="s">
        <v>10756</v>
      </c>
    </row>
    <row r="1858" spans="1:18">
      <c r="A1858" s="71">
        <v>27</v>
      </c>
      <c r="B1858" s="2" t="s">
        <v>6012</v>
      </c>
      <c r="C1858" s="71">
        <v>76</v>
      </c>
      <c r="D1858" s="2" t="s">
        <v>9613</v>
      </c>
      <c r="E1858" s="74">
        <v>0</v>
      </c>
      <c r="F1858" s="71">
        <v>0</v>
      </c>
      <c r="G1858" s="2" t="s">
        <v>20</v>
      </c>
      <c r="H1858" s="73" t="s">
        <v>9622</v>
      </c>
      <c r="I1858" s="76" t="s">
        <v>9623</v>
      </c>
      <c r="J1858" s="2" t="s">
        <v>24</v>
      </c>
      <c r="K1858" s="2" t="s">
        <v>25</v>
      </c>
      <c r="L1858" s="2" t="s">
        <v>26</v>
      </c>
      <c r="M1858" s="2" t="s">
        <v>24</v>
      </c>
      <c r="N1858" s="2" t="s">
        <v>25</v>
      </c>
      <c r="O1858" s="2" t="s">
        <v>26</v>
      </c>
      <c r="P1858" s="51">
        <v>0</v>
      </c>
      <c r="Q1858" s="1" t="s">
        <v>9869</v>
      </c>
      <c r="R1858" s="2" t="s">
        <v>9611</v>
      </c>
    </row>
    <row r="1859" spans="1:18">
      <c r="A1859" s="71">
        <v>27</v>
      </c>
      <c r="B1859" s="2" t="s">
        <v>6012</v>
      </c>
      <c r="C1859" s="71">
        <v>76</v>
      </c>
      <c r="D1859" s="2" t="s">
        <v>9613</v>
      </c>
      <c r="E1859" s="74">
        <v>0</v>
      </c>
      <c r="F1859" s="71">
        <v>1</v>
      </c>
      <c r="G1859" s="2" t="s">
        <v>6035</v>
      </c>
      <c r="H1859" s="73" t="s">
        <v>9624</v>
      </c>
      <c r="I1859" s="100" t="s">
        <v>9625</v>
      </c>
      <c r="J1859" s="2" t="s">
        <v>24</v>
      </c>
      <c r="K1859" s="2" t="s">
        <v>25</v>
      </c>
      <c r="L1859" s="2" t="s">
        <v>6037</v>
      </c>
      <c r="M1859" s="2" t="s">
        <v>24</v>
      </c>
      <c r="N1859" s="2" t="s">
        <v>25</v>
      </c>
      <c r="O1859" s="2" t="s">
        <v>6037</v>
      </c>
      <c r="P1859" s="51">
        <v>0</v>
      </c>
      <c r="Q1859" s="99" t="s">
        <v>6038</v>
      </c>
    </row>
    <row r="1860" spans="1:18">
      <c r="A1860" s="71">
        <v>27</v>
      </c>
      <c r="B1860" s="2" t="s">
        <v>6012</v>
      </c>
      <c r="C1860" s="71">
        <v>76</v>
      </c>
      <c r="D1860" s="2" t="s">
        <v>9613</v>
      </c>
      <c r="E1860" s="74">
        <v>0</v>
      </c>
      <c r="F1860" s="71">
        <v>2</v>
      </c>
      <c r="G1860" s="2" t="s">
        <v>9626</v>
      </c>
      <c r="H1860" s="73" t="s">
        <v>9641</v>
      </c>
      <c r="I1860" s="100" t="s">
        <v>9642</v>
      </c>
      <c r="J1860" s="2" t="s">
        <v>24</v>
      </c>
      <c r="K1860" s="2" t="s">
        <v>25</v>
      </c>
      <c r="L1860" s="2" t="s">
        <v>9627</v>
      </c>
      <c r="M1860" s="2" t="s">
        <v>24</v>
      </c>
      <c r="N1860" s="2" t="s">
        <v>25</v>
      </c>
      <c r="O1860" s="2" t="s">
        <v>9627</v>
      </c>
      <c r="P1860" s="51">
        <v>0</v>
      </c>
      <c r="Q1860" s="99" t="s">
        <v>9628</v>
      </c>
    </row>
    <row r="1861" spans="1:18">
      <c r="A1861" s="71">
        <v>27</v>
      </c>
      <c r="B1861" s="2" t="s">
        <v>6012</v>
      </c>
      <c r="C1861" s="71">
        <v>76</v>
      </c>
      <c r="D1861" s="2" t="s">
        <v>9613</v>
      </c>
      <c r="E1861" s="74">
        <v>0</v>
      </c>
      <c r="F1861" s="71">
        <v>3</v>
      </c>
      <c r="G1861" s="2" t="s">
        <v>9629</v>
      </c>
      <c r="H1861" s="73" t="s">
        <v>9643</v>
      </c>
      <c r="I1861" s="100" t="s">
        <v>9644</v>
      </c>
      <c r="J1861" s="2" t="s">
        <v>24</v>
      </c>
      <c r="K1861" s="2" t="s">
        <v>25</v>
      </c>
      <c r="L1861" s="2" t="s">
        <v>9631</v>
      </c>
      <c r="M1861" s="2" t="s">
        <v>24</v>
      </c>
      <c r="N1861" s="2" t="s">
        <v>25</v>
      </c>
      <c r="O1861" s="2" t="s">
        <v>9631</v>
      </c>
      <c r="P1861" s="51">
        <v>0</v>
      </c>
      <c r="Q1861" s="99" t="s">
        <v>9630</v>
      </c>
    </row>
    <row r="1862" spans="1:18">
      <c r="A1862" s="71">
        <v>27</v>
      </c>
      <c r="B1862" s="2" t="s">
        <v>6012</v>
      </c>
      <c r="C1862" s="71">
        <v>76</v>
      </c>
      <c r="D1862" s="2" t="s">
        <v>9613</v>
      </c>
      <c r="E1862" s="74">
        <v>0</v>
      </c>
      <c r="F1862" s="71">
        <v>4</v>
      </c>
      <c r="G1862" s="2" t="s">
        <v>9632</v>
      </c>
      <c r="H1862" s="73" t="s">
        <v>9645</v>
      </c>
      <c r="I1862" s="100" t="s">
        <v>9646</v>
      </c>
      <c r="J1862" s="2" t="s">
        <v>24</v>
      </c>
      <c r="K1862" s="2" t="s">
        <v>25</v>
      </c>
      <c r="L1862" s="2" t="s">
        <v>9634</v>
      </c>
      <c r="M1862" s="2" t="s">
        <v>24</v>
      </c>
      <c r="N1862" s="2" t="s">
        <v>25</v>
      </c>
      <c r="O1862" s="2" t="s">
        <v>9634</v>
      </c>
      <c r="P1862" s="51">
        <v>0</v>
      </c>
      <c r="Q1862" s="99" t="s">
        <v>9633</v>
      </c>
    </row>
    <row r="1863" spans="1:18">
      <c r="A1863" s="71">
        <v>27</v>
      </c>
      <c r="B1863" s="2" t="s">
        <v>6012</v>
      </c>
      <c r="C1863" s="71">
        <v>76</v>
      </c>
      <c r="D1863" s="2" t="s">
        <v>9613</v>
      </c>
      <c r="E1863" s="74">
        <v>0</v>
      </c>
      <c r="F1863" s="71">
        <v>5</v>
      </c>
      <c r="G1863" s="2" t="s">
        <v>9635</v>
      </c>
      <c r="H1863" s="73" t="s">
        <v>9647</v>
      </c>
      <c r="I1863" s="100" t="s">
        <v>9648</v>
      </c>
      <c r="J1863" s="2" t="s">
        <v>24</v>
      </c>
      <c r="K1863" s="2" t="s">
        <v>25</v>
      </c>
      <c r="L1863" s="2" t="s">
        <v>9637</v>
      </c>
      <c r="M1863" s="2" t="s">
        <v>24</v>
      </c>
      <c r="N1863" s="2" t="s">
        <v>25</v>
      </c>
      <c r="O1863" s="2" t="s">
        <v>9637</v>
      </c>
      <c r="P1863" s="51">
        <v>0</v>
      </c>
      <c r="Q1863" s="99" t="s">
        <v>9636</v>
      </c>
    </row>
    <row r="1864" spans="1:18">
      <c r="A1864" s="71">
        <v>27</v>
      </c>
      <c r="B1864" s="2" t="s">
        <v>6012</v>
      </c>
      <c r="C1864" s="71">
        <v>76</v>
      </c>
      <c r="D1864" s="2" t="s">
        <v>9613</v>
      </c>
      <c r="E1864" s="74">
        <v>0</v>
      </c>
      <c r="F1864" s="71">
        <v>6</v>
      </c>
      <c r="G1864" s="2" t="s">
        <v>9638</v>
      </c>
      <c r="H1864" s="73" t="s">
        <v>9649</v>
      </c>
      <c r="I1864" s="100" t="s">
        <v>9650</v>
      </c>
      <c r="J1864" s="2" t="s">
        <v>24</v>
      </c>
      <c r="K1864" s="2" t="s">
        <v>25</v>
      </c>
      <c r="L1864" s="2" t="s">
        <v>9640</v>
      </c>
      <c r="M1864" s="2" t="s">
        <v>24</v>
      </c>
      <c r="N1864" s="2" t="s">
        <v>25</v>
      </c>
      <c r="O1864" s="2" t="s">
        <v>9640</v>
      </c>
      <c r="P1864" s="51">
        <v>0</v>
      </c>
      <c r="Q1864" s="99" t="s">
        <v>9639</v>
      </c>
    </row>
    <row r="1865" spans="1:18">
      <c r="A1865" s="71">
        <v>27</v>
      </c>
      <c r="B1865" s="2" t="s">
        <v>6012</v>
      </c>
      <c r="C1865" s="71">
        <v>76</v>
      </c>
      <c r="D1865" s="2" t="s">
        <v>9613</v>
      </c>
      <c r="E1865" s="74">
        <v>0</v>
      </c>
      <c r="F1865" s="71">
        <v>7</v>
      </c>
      <c r="G1865" s="2" t="s">
        <v>9651</v>
      </c>
      <c r="H1865" s="73" t="s">
        <v>9656</v>
      </c>
      <c r="I1865" s="100" t="s">
        <v>9657</v>
      </c>
      <c r="J1865" s="2" t="s">
        <v>24</v>
      </c>
      <c r="K1865" s="2" t="s">
        <v>25</v>
      </c>
      <c r="L1865" s="2" t="s">
        <v>9653</v>
      </c>
      <c r="M1865" s="2" t="s">
        <v>24</v>
      </c>
      <c r="N1865" s="2" t="s">
        <v>25</v>
      </c>
      <c r="O1865" s="2" t="s">
        <v>9653</v>
      </c>
      <c r="P1865" s="51">
        <v>0</v>
      </c>
      <c r="Q1865" s="99" t="s">
        <v>9652</v>
      </c>
    </row>
    <row r="1866" spans="1:18">
      <c r="A1866" s="71">
        <v>27</v>
      </c>
      <c r="B1866" s="2" t="s">
        <v>6012</v>
      </c>
      <c r="C1866" s="71">
        <v>76</v>
      </c>
      <c r="D1866" s="2" t="s">
        <v>9613</v>
      </c>
      <c r="E1866" s="74">
        <v>0</v>
      </c>
      <c r="F1866" s="71">
        <v>8</v>
      </c>
      <c r="G1866" s="2" t="s">
        <v>9654</v>
      </c>
      <c r="H1866" s="73" t="s">
        <v>9658</v>
      </c>
      <c r="I1866" s="100" t="s">
        <v>9659</v>
      </c>
      <c r="J1866" s="2" t="s">
        <v>24</v>
      </c>
      <c r="K1866" s="2" t="s">
        <v>25</v>
      </c>
      <c r="L1866" s="2" t="s">
        <v>9627</v>
      </c>
      <c r="M1866" s="2" t="s">
        <v>24</v>
      </c>
      <c r="N1866" s="2" t="s">
        <v>25</v>
      </c>
      <c r="O1866" s="2" t="s">
        <v>9627</v>
      </c>
      <c r="P1866" s="51">
        <v>0</v>
      </c>
      <c r="Q1866" s="99" t="s">
        <v>9655</v>
      </c>
    </row>
    <row r="1867" spans="1:18">
      <c r="A1867" s="71">
        <v>27</v>
      </c>
      <c r="B1867" s="2" t="s">
        <v>6012</v>
      </c>
      <c r="C1867" s="71">
        <v>77</v>
      </c>
      <c r="D1867" s="2" t="s">
        <v>9660</v>
      </c>
      <c r="E1867" s="74">
        <v>0</v>
      </c>
      <c r="F1867" s="71">
        <v>0</v>
      </c>
      <c r="G1867" s="2" t="s">
        <v>20</v>
      </c>
      <c r="H1867" s="73" t="s">
        <v>9661</v>
      </c>
      <c r="I1867" s="76" t="s">
        <v>9662</v>
      </c>
      <c r="J1867" s="2" t="s">
        <v>24</v>
      </c>
      <c r="K1867" s="2" t="s">
        <v>25</v>
      </c>
      <c r="L1867" s="2" t="s">
        <v>26</v>
      </c>
      <c r="M1867" s="2" t="s">
        <v>24</v>
      </c>
      <c r="N1867" s="2" t="s">
        <v>25</v>
      </c>
      <c r="O1867" s="2" t="s">
        <v>26</v>
      </c>
      <c r="P1867" s="51">
        <v>0</v>
      </c>
      <c r="Q1867" s="1" t="s">
        <v>9868</v>
      </c>
      <c r="R1867" s="2" t="s">
        <v>9665</v>
      </c>
    </row>
    <row r="1868" spans="1:18">
      <c r="A1868" s="71">
        <v>27</v>
      </c>
      <c r="B1868" s="2" t="s">
        <v>6012</v>
      </c>
      <c r="C1868" s="71">
        <v>77</v>
      </c>
      <c r="D1868" s="2" t="s">
        <v>9660</v>
      </c>
      <c r="E1868" s="74">
        <v>0</v>
      </c>
      <c r="F1868" s="71">
        <v>1</v>
      </c>
      <c r="G1868" s="2" t="s">
        <v>6035</v>
      </c>
      <c r="H1868" s="73" t="s">
        <v>9663</v>
      </c>
      <c r="I1868" s="100" t="s">
        <v>9664</v>
      </c>
      <c r="J1868" s="2" t="s">
        <v>24</v>
      </c>
      <c r="K1868" s="2" t="s">
        <v>25</v>
      </c>
      <c r="L1868" s="2" t="s">
        <v>6037</v>
      </c>
      <c r="M1868" s="2" t="s">
        <v>24</v>
      </c>
      <c r="N1868" s="2" t="s">
        <v>25</v>
      </c>
      <c r="O1868" s="2" t="s">
        <v>6037</v>
      </c>
      <c r="P1868" s="51">
        <v>0</v>
      </c>
      <c r="Q1868" s="99" t="s">
        <v>6038</v>
      </c>
    </row>
    <row r="1869" spans="1:18">
      <c r="A1869" s="71">
        <v>27</v>
      </c>
      <c r="B1869" s="2" t="s">
        <v>6012</v>
      </c>
      <c r="C1869" s="71">
        <v>77</v>
      </c>
      <c r="D1869" s="2" t="s">
        <v>9660</v>
      </c>
      <c r="E1869" s="74">
        <v>0</v>
      </c>
      <c r="F1869" s="71">
        <v>2</v>
      </c>
      <c r="G1869" s="2" t="s">
        <v>6090</v>
      </c>
      <c r="H1869" s="73" t="s">
        <v>9671</v>
      </c>
      <c r="I1869" s="100" t="s">
        <v>9672</v>
      </c>
      <c r="J1869" s="2" t="s">
        <v>24</v>
      </c>
      <c r="K1869" s="2" t="s">
        <v>23</v>
      </c>
      <c r="M1869" s="2" t="s">
        <v>24</v>
      </c>
      <c r="N1869" s="2" t="s">
        <v>23</v>
      </c>
      <c r="P1869" s="51">
        <v>0</v>
      </c>
      <c r="Q1869" s="99" t="s">
        <v>8317</v>
      </c>
    </row>
    <row r="1870" spans="1:18" ht="45">
      <c r="A1870" s="71">
        <v>27</v>
      </c>
      <c r="B1870" s="2" t="s">
        <v>6012</v>
      </c>
      <c r="C1870" s="71">
        <v>77</v>
      </c>
      <c r="D1870" s="2" t="s">
        <v>9660</v>
      </c>
      <c r="E1870" s="74">
        <v>0</v>
      </c>
      <c r="F1870" s="71">
        <v>3</v>
      </c>
      <c r="G1870" s="2" t="s">
        <v>6660</v>
      </c>
      <c r="H1870" s="73" t="s">
        <v>9673</v>
      </c>
      <c r="I1870" s="100" t="s">
        <v>9674</v>
      </c>
      <c r="J1870" s="2" t="s">
        <v>24</v>
      </c>
      <c r="K1870" s="2" t="s">
        <v>133</v>
      </c>
      <c r="M1870" s="2" t="s">
        <v>24</v>
      </c>
      <c r="N1870" s="2" t="s">
        <v>133</v>
      </c>
      <c r="P1870" s="51">
        <v>0</v>
      </c>
      <c r="Q1870" s="99" t="s">
        <v>9666</v>
      </c>
      <c r="R1870" s="6" t="s">
        <v>9759</v>
      </c>
    </row>
    <row r="1871" spans="1:18" ht="45">
      <c r="A1871" s="71">
        <v>27</v>
      </c>
      <c r="B1871" s="2" t="s">
        <v>6012</v>
      </c>
      <c r="C1871" s="71">
        <v>77</v>
      </c>
      <c r="D1871" s="2" t="s">
        <v>9660</v>
      </c>
      <c r="E1871" s="74">
        <v>0</v>
      </c>
      <c r="F1871" s="71">
        <v>4</v>
      </c>
      <c r="G1871" s="2" t="s">
        <v>6860</v>
      </c>
      <c r="H1871" s="73" t="s">
        <v>9675</v>
      </c>
      <c r="I1871" s="100" t="s">
        <v>9676</v>
      </c>
      <c r="J1871" s="2" t="s">
        <v>24</v>
      </c>
      <c r="K1871" s="2" t="s">
        <v>263</v>
      </c>
      <c r="M1871" s="2" t="s">
        <v>24</v>
      </c>
      <c r="N1871" s="2" t="s">
        <v>263</v>
      </c>
      <c r="P1871" s="51">
        <v>0</v>
      </c>
      <c r="Q1871" s="99" t="s">
        <v>9667</v>
      </c>
      <c r="R1871" s="6" t="s">
        <v>9760</v>
      </c>
    </row>
    <row r="1872" spans="1:18">
      <c r="A1872" s="71">
        <v>27</v>
      </c>
      <c r="B1872" s="2" t="s">
        <v>6012</v>
      </c>
      <c r="C1872" s="71">
        <v>77</v>
      </c>
      <c r="D1872" s="2" t="s">
        <v>9660</v>
      </c>
      <c r="E1872" s="74">
        <v>0</v>
      </c>
      <c r="F1872" s="71">
        <v>5</v>
      </c>
      <c r="G1872" s="2" t="s">
        <v>9668</v>
      </c>
      <c r="H1872" s="73" t="s">
        <v>9677</v>
      </c>
      <c r="I1872" s="100" t="s">
        <v>9678</v>
      </c>
      <c r="J1872" s="2" t="s">
        <v>24</v>
      </c>
      <c r="K1872" s="2" t="s">
        <v>206</v>
      </c>
      <c r="M1872" s="2" t="s">
        <v>24</v>
      </c>
      <c r="N1872" s="2" t="s">
        <v>206</v>
      </c>
      <c r="P1872" s="51">
        <v>0</v>
      </c>
      <c r="Q1872" s="99" t="s">
        <v>2514</v>
      </c>
      <c r="R1872" s="2" t="s">
        <v>9669</v>
      </c>
    </row>
    <row r="1873" spans="1:18">
      <c r="A1873" s="71">
        <v>27</v>
      </c>
      <c r="B1873" s="2" t="s">
        <v>6012</v>
      </c>
      <c r="C1873" s="71">
        <v>77</v>
      </c>
      <c r="D1873" s="2" t="s">
        <v>9660</v>
      </c>
      <c r="E1873" s="74">
        <v>0</v>
      </c>
      <c r="F1873" s="71">
        <v>6</v>
      </c>
      <c r="G1873" s="2" t="s">
        <v>8926</v>
      </c>
      <c r="H1873" s="73" t="s">
        <v>9679</v>
      </c>
      <c r="I1873" s="100" t="s">
        <v>9680</v>
      </c>
      <c r="J1873" s="2" t="s">
        <v>24</v>
      </c>
      <c r="K1873" s="2" t="s">
        <v>116</v>
      </c>
      <c r="L1873" s="16" t="s">
        <v>9680</v>
      </c>
      <c r="M1873" s="2" t="s">
        <v>24</v>
      </c>
      <c r="N1873" s="2" t="s">
        <v>116</v>
      </c>
      <c r="O1873" s="16" t="s">
        <v>6906</v>
      </c>
      <c r="P1873" s="51">
        <v>0</v>
      </c>
      <c r="Q1873" s="99" t="s">
        <v>2518</v>
      </c>
      <c r="R1873" s="6" t="s">
        <v>9670</v>
      </c>
    </row>
    <row r="1874" spans="1:18">
      <c r="A1874" s="71">
        <v>27</v>
      </c>
      <c r="B1874" s="2" t="s">
        <v>6012</v>
      </c>
      <c r="C1874" s="71">
        <v>77</v>
      </c>
      <c r="D1874" s="2" t="s">
        <v>9660</v>
      </c>
      <c r="E1874" s="74">
        <v>0</v>
      </c>
      <c r="F1874" s="71">
        <v>7</v>
      </c>
      <c r="G1874" s="2" t="s">
        <v>9681</v>
      </c>
      <c r="H1874" s="73" t="s">
        <v>9688</v>
      </c>
      <c r="I1874" s="100" t="s">
        <v>9689</v>
      </c>
      <c r="J1874" s="2" t="s">
        <v>24</v>
      </c>
      <c r="K1874" s="2" t="s">
        <v>25</v>
      </c>
      <c r="L1874" s="2" t="s">
        <v>9685</v>
      </c>
      <c r="M1874" s="2" t="s">
        <v>24</v>
      </c>
      <c r="N1874" s="2" t="s">
        <v>25</v>
      </c>
      <c r="O1874" s="2" t="s">
        <v>9682</v>
      </c>
      <c r="P1874" s="51">
        <v>0</v>
      </c>
      <c r="Q1874" s="99" t="s">
        <v>2292</v>
      </c>
      <c r="R1874" s="6"/>
    </row>
    <row r="1875" spans="1:18">
      <c r="A1875" s="71">
        <v>27</v>
      </c>
      <c r="B1875" s="2" t="s">
        <v>6012</v>
      </c>
      <c r="C1875" s="71">
        <v>77</v>
      </c>
      <c r="D1875" s="2" t="s">
        <v>9660</v>
      </c>
      <c r="E1875" s="74">
        <v>0</v>
      </c>
      <c r="F1875" s="71">
        <v>8</v>
      </c>
      <c r="G1875" s="2" t="s">
        <v>9683</v>
      </c>
      <c r="H1875" s="73" t="s">
        <v>9690</v>
      </c>
      <c r="I1875" s="100" t="s">
        <v>9691</v>
      </c>
      <c r="J1875" s="2" t="s">
        <v>24</v>
      </c>
      <c r="K1875" s="2" t="s">
        <v>25</v>
      </c>
      <c r="L1875" s="2" t="s">
        <v>9687</v>
      </c>
      <c r="M1875" s="2" t="s">
        <v>24</v>
      </c>
      <c r="N1875" s="2" t="s">
        <v>25</v>
      </c>
      <c r="O1875" s="2" t="s">
        <v>9686</v>
      </c>
      <c r="P1875" s="51">
        <v>0</v>
      </c>
      <c r="Q1875" s="99" t="s">
        <v>2529</v>
      </c>
      <c r="R1875" s="6" t="s">
        <v>9684</v>
      </c>
    </row>
    <row r="1876" spans="1:18">
      <c r="A1876" s="71">
        <v>27</v>
      </c>
      <c r="B1876" s="2" t="s">
        <v>6012</v>
      </c>
      <c r="C1876" s="71">
        <v>77</v>
      </c>
      <c r="D1876" s="2" t="s">
        <v>9660</v>
      </c>
      <c r="E1876" s="74">
        <v>0</v>
      </c>
      <c r="F1876" s="71">
        <v>9</v>
      </c>
      <c r="G1876" s="2" t="s">
        <v>7407</v>
      </c>
      <c r="H1876" s="73" t="s">
        <v>9692</v>
      </c>
      <c r="I1876" s="100" t="s">
        <v>9693</v>
      </c>
      <c r="J1876" s="2" t="s">
        <v>24</v>
      </c>
      <c r="K1876" s="2" t="s">
        <v>116</v>
      </c>
      <c r="L1876" s="16" t="s">
        <v>9693</v>
      </c>
      <c r="M1876" s="2" t="s">
        <v>24</v>
      </c>
      <c r="N1876" s="2" t="s">
        <v>116</v>
      </c>
      <c r="O1876" s="16" t="s">
        <v>9693</v>
      </c>
      <c r="P1876" s="51">
        <v>0</v>
      </c>
      <c r="Q1876" s="99" t="s">
        <v>2535</v>
      </c>
      <c r="R1876" s="6"/>
    </row>
    <row r="1877" spans="1:18" ht="60">
      <c r="A1877" s="71">
        <v>27</v>
      </c>
      <c r="B1877" s="2" t="s">
        <v>6012</v>
      </c>
      <c r="C1877" s="71">
        <v>78</v>
      </c>
      <c r="D1877" s="2" t="s">
        <v>9696</v>
      </c>
      <c r="E1877" s="74">
        <v>0</v>
      </c>
      <c r="F1877" s="71">
        <v>0</v>
      </c>
      <c r="G1877" s="2" t="s">
        <v>20</v>
      </c>
      <c r="H1877" s="73" t="s">
        <v>9697</v>
      </c>
      <c r="I1877" s="76" t="s">
        <v>9694</v>
      </c>
      <c r="J1877" s="2" t="s">
        <v>24</v>
      </c>
      <c r="K1877" s="2" t="s">
        <v>25</v>
      </c>
      <c r="L1877" s="2" t="s">
        <v>26</v>
      </c>
      <c r="M1877" s="2" t="s">
        <v>24</v>
      </c>
      <c r="N1877" s="2" t="s">
        <v>25</v>
      </c>
      <c r="O1877" s="2" t="s">
        <v>26</v>
      </c>
      <c r="P1877" s="51">
        <v>0</v>
      </c>
      <c r="Q1877" s="1" t="s">
        <v>9872</v>
      </c>
      <c r="R1877" s="6" t="s">
        <v>9695</v>
      </c>
    </row>
    <row r="1878" spans="1:18">
      <c r="A1878" s="71">
        <v>27</v>
      </c>
      <c r="B1878" s="2" t="s">
        <v>6012</v>
      </c>
      <c r="C1878" s="71">
        <v>78</v>
      </c>
      <c r="D1878" s="2" t="s">
        <v>9696</v>
      </c>
      <c r="E1878" s="74">
        <v>0</v>
      </c>
      <c r="F1878" s="71">
        <v>1</v>
      </c>
      <c r="G1878" s="2" t="s">
        <v>6035</v>
      </c>
      <c r="H1878" s="73" t="s">
        <v>9700</v>
      </c>
      <c r="I1878" s="100" t="s">
        <v>9701</v>
      </c>
      <c r="J1878" s="2" t="s">
        <v>24</v>
      </c>
      <c r="K1878" s="2" t="s">
        <v>25</v>
      </c>
      <c r="L1878" s="2" t="s">
        <v>6037</v>
      </c>
      <c r="M1878" s="2" t="s">
        <v>24</v>
      </c>
      <c r="N1878" s="2" t="s">
        <v>25</v>
      </c>
      <c r="O1878" s="2" t="s">
        <v>6037</v>
      </c>
      <c r="P1878" s="51">
        <v>0</v>
      </c>
      <c r="Q1878" s="99" t="s">
        <v>6038</v>
      </c>
      <c r="R1878" s="6"/>
    </row>
    <row r="1879" spans="1:18">
      <c r="A1879" s="71">
        <v>27</v>
      </c>
      <c r="B1879" s="2" t="s">
        <v>6012</v>
      </c>
      <c r="C1879" s="71">
        <v>78</v>
      </c>
      <c r="D1879" s="2" t="s">
        <v>9696</v>
      </c>
      <c r="E1879" s="74">
        <v>0</v>
      </c>
      <c r="F1879" s="71">
        <v>2</v>
      </c>
      <c r="G1879" s="2" t="s">
        <v>6090</v>
      </c>
      <c r="H1879" s="73" t="s">
        <v>9702</v>
      </c>
      <c r="I1879" s="100" t="s">
        <v>9703</v>
      </c>
      <c r="J1879" s="2" t="s">
        <v>24</v>
      </c>
      <c r="K1879" s="2" t="s">
        <v>23</v>
      </c>
      <c r="M1879" s="2" t="s">
        <v>24</v>
      </c>
      <c r="N1879" s="2" t="s">
        <v>23</v>
      </c>
      <c r="P1879" s="51">
        <v>0</v>
      </c>
      <c r="Q1879" s="99" t="s">
        <v>8317</v>
      </c>
    </row>
    <row r="1880" spans="1:18" ht="45">
      <c r="A1880" s="71">
        <v>27</v>
      </c>
      <c r="B1880" s="2" t="s">
        <v>6012</v>
      </c>
      <c r="C1880" s="71">
        <v>78</v>
      </c>
      <c r="D1880" s="2" t="s">
        <v>9696</v>
      </c>
      <c r="E1880" s="74">
        <v>0</v>
      </c>
      <c r="F1880" s="71">
        <v>3</v>
      </c>
      <c r="G1880" s="2" t="s">
        <v>2601</v>
      </c>
      <c r="H1880" s="73" t="s">
        <v>9706</v>
      </c>
      <c r="I1880" s="100" t="s">
        <v>9707</v>
      </c>
      <c r="J1880" s="2" t="s">
        <v>24</v>
      </c>
      <c r="K1880" s="2" t="s">
        <v>23</v>
      </c>
      <c r="M1880" s="2" t="s">
        <v>24</v>
      </c>
      <c r="N1880" s="2" t="s">
        <v>23</v>
      </c>
      <c r="P1880" s="51">
        <v>0</v>
      </c>
      <c r="Q1880" s="99" t="s">
        <v>8338</v>
      </c>
      <c r="R1880" s="6" t="s">
        <v>9704</v>
      </c>
    </row>
    <row r="1881" spans="1:18">
      <c r="A1881" s="71">
        <v>27</v>
      </c>
      <c r="B1881" s="2" t="s">
        <v>6012</v>
      </c>
      <c r="C1881" s="71">
        <v>78</v>
      </c>
      <c r="D1881" s="2" t="s">
        <v>9696</v>
      </c>
      <c r="E1881" s="74">
        <v>0</v>
      </c>
      <c r="F1881" s="71">
        <v>4</v>
      </c>
      <c r="G1881" s="2" t="s">
        <v>6660</v>
      </c>
      <c r="H1881" s="73" t="s">
        <v>9708</v>
      </c>
      <c r="I1881" s="100" t="s">
        <v>9709</v>
      </c>
      <c r="J1881" s="2" t="s">
        <v>24</v>
      </c>
      <c r="K1881" s="2" t="s">
        <v>133</v>
      </c>
      <c r="M1881" s="2" t="s">
        <v>24</v>
      </c>
      <c r="N1881" s="2" t="s">
        <v>133</v>
      </c>
      <c r="P1881" s="51">
        <v>0</v>
      </c>
      <c r="Q1881" s="99" t="s">
        <v>9666</v>
      </c>
      <c r="R1881" s="6" t="s">
        <v>8324</v>
      </c>
    </row>
    <row r="1882" spans="1:18">
      <c r="A1882" s="71">
        <v>27</v>
      </c>
      <c r="B1882" s="2" t="s">
        <v>6012</v>
      </c>
      <c r="C1882" s="71">
        <v>78</v>
      </c>
      <c r="D1882" s="2" t="s">
        <v>9696</v>
      </c>
      <c r="E1882" s="74">
        <v>0</v>
      </c>
      <c r="F1882" s="71">
        <v>5</v>
      </c>
      <c r="G1882" s="2" t="s">
        <v>6860</v>
      </c>
      <c r="H1882" s="73" t="s">
        <v>9710</v>
      </c>
      <c r="I1882" s="100" t="s">
        <v>9711</v>
      </c>
      <c r="J1882" s="2" t="s">
        <v>24</v>
      </c>
      <c r="K1882" s="2" t="s">
        <v>263</v>
      </c>
      <c r="M1882" s="2" t="s">
        <v>24</v>
      </c>
      <c r="N1882" s="2" t="s">
        <v>263</v>
      </c>
      <c r="P1882" s="51">
        <v>0</v>
      </c>
      <c r="Q1882" s="99" t="s">
        <v>9667</v>
      </c>
      <c r="R1882" s="6" t="s">
        <v>8325</v>
      </c>
    </row>
    <row r="1883" spans="1:18">
      <c r="A1883" s="71">
        <v>27</v>
      </c>
      <c r="B1883" s="2" t="s">
        <v>6012</v>
      </c>
      <c r="C1883" s="71">
        <v>78</v>
      </c>
      <c r="D1883" s="2" t="s">
        <v>9696</v>
      </c>
      <c r="E1883" s="74">
        <v>0</v>
      </c>
      <c r="F1883" s="71">
        <v>6</v>
      </c>
      <c r="G1883" s="2" t="s">
        <v>273</v>
      </c>
      <c r="H1883" s="73" t="s">
        <v>9712</v>
      </c>
      <c r="I1883" s="100" t="s">
        <v>9713</v>
      </c>
      <c r="J1883" s="2" t="s">
        <v>24</v>
      </c>
      <c r="K1883" s="2" t="s">
        <v>139</v>
      </c>
      <c r="M1883" s="2" t="s">
        <v>24</v>
      </c>
      <c r="N1883" s="2" t="s">
        <v>139</v>
      </c>
      <c r="P1883" s="51">
        <v>0</v>
      </c>
      <c r="Q1883" s="99" t="s">
        <v>9705</v>
      </c>
      <c r="R1883" s="6" t="s">
        <v>8326</v>
      </c>
    </row>
    <row r="1884" spans="1:18">
      <c r="A1884" s="71">
        <v>27</v>
      </c>
      <c r="B1884" s="2" t="s">
        <v>6012</v>
      </c>
      <c r="C1884" s="71">
        <v>79</v>
      </c>
      <c r="D1884" s="2" t="s">
        <v>9714</v>
      </c>
      <c r="E1884" s="74">
        <v>0</v>
      </c>
      <c r="F1884" s="71">
        <v>0</v>
      </c>
      <c r="G1884" s="2" t="s">
        <v>20</v>
      </c>
      <c r="H1884" s="73" t="s">
        <v>9698</v>
      </c>
      <c r="I1884" s="76" t="s">
        <v>9718</v>
      </c>
      <c r="J1884" s="2" t="s">
        <v>24</v>
      </c>
      <c r="K1884" s="2" t="s">
        <v>25</v>
      </c>
      <c r="L1884" s="2" t="s">
        <v>26</v>
      </c>
      <c r="M1884" s="2" t="s">
        <v>24</v>
      </c>
      <c r="N1884" s="2" t="s">
        <v>25</v>
      </c>
      <c r="O1884" s="2" t="s">
        <v>26</v>
      </c>
      <c r="P1884" s="51">
        <v>0</v>
      </c>
      <c r="Q1884" s="1" t="s">
        <v>9715</v>
      </c>
      <c r="R1884" s="6"/>
    </row>
    <row r="1885" spans="1:18">
      <c r="A1885" s="71">
        <v>27</v>
      </c>
      <c r="B1885" s="2" t="s">
        <v>6012</v>
      </c>
      <c r="C1885" s="71">
        <v>79</v>
      </c>
      <c r="D1885" s="2" t="s">
        <v>9714</v>
      </c>
      <c r="E1885" s="74">
        <v>0</v>
      </c>
      <c r="F1885" s="71">
        <v>1</v>
      </c>
      <c r="G1885" s="2" t="s">
        <v>6035</v>
      </c>
      <c r="H1885" s="73" t="s">
        <v>9699</v>
      </c>
      <c r="I1885" s="100" t="s">
        <v>9719</v>
      </c>
      <c r="J1885" s="2" t="s">
        <v>23</v>
      </c>
      <c r="K1885" s="2" t="s">
        <v>23</v>
      </c>
      <c r="M1885" s="2" t="s">
        <v>24</v>
      </c>
      <c r="N1885" s="2" t="s">
        <v>25</v>
      </c>
      <c r="O1885" s="2" t="s">
        <v>6037</v>
      </c>
      <c r="P1885" s="51">
        <v>0</v>
      </c>
      <c r="Q1885" s="99" t="s">
        <v>6038</v>
      </c>
      <c r="R1885" s="6"/>
    </row>
    <row r="1886" spans="1:18">
      <c r="A1886" s="71">
        <v>27</v>
      </c>
      <c r="B1886" s="2" t="s">
        <v>6012</v>
      </c>
      <c r="C1886" s="71">
        <v>79</v>
      </c>
      <c r="D1886" s="2" t="s">
        <v>9714</v>
      </c>
      <c r="E1886" s="74">
        <v>0</v>
      </c>
      <c r="F1886" s="71">
        <v>2</v>
      </c>
      <c r="G1886" s="2" t="s">
        <v>6090</v>
      </c>
      <c r="H1886" s="73" t="s">
        <v>9720</v>
      </c>
      <c r="I1886" s="100" t="s">
        <v>9721</v>
      </c>
      <c r="J1886" s="2" t="s">
        <v>23</v>
      </c>
      <c r="K1886" s="2" t="s">
        <v>23</v>
      </c>
      <c r="M1886" s="2" t="s">
        <v>24</v>
      </c>
      <c r="N1886" s="2" t="s">
        <v>23</v>
      </c>
      <c r="P1886" s="51">
        <v>0</v>
      </c>
      <c r="Q1886" s="99" t="s">
        <v>8317</v>
      </c>
      <c r="R1886" s="6"/>
    </row>
    <row r="1887" spans="1:18">
      <c r="A1887" s="71">
        <v>27</v>
      </c>
      <c r="B1887" s="2" t="s">
        <v>6012</v>
      </c>
      <c r="C1887" s="71">
        <v>79</v>
      </c>
      <c r="D1887" s="2" t="s">
        <v>9714</v>
      </c>
      <c r="E1887" s="74">
        <v>0</v>
      </c>
      <c r="F1887" s="71">
        <v>3</v>
      </c>
      <c r="G1887" s="2" t="s">
        <v>8314</v>
      </c>
      <c r="H1887" s="73" t="s">
        <v>9722</v>
      </c>
      <c r="I1887" s="100" t="s">
        <v>9723</v>
      </c>
      <c r="J1887" s="2" t="s">
        <v>23</v>
      </c>
      <c r="K1887" s="2" t="s">
        <v>23</v>
      </c>
      <c r="M1887" s="2" t="s">
        <v>24</v>
      </c>
      <c r="N1887" s="2" t="s">
        <v>25</v>
      </c>
      <c r="O1887" s="2" t="s">
        <v>9716</v>
      </c>
      <c r="P1887" s="51">
        <v>0</v>
      </c>
      <c r="Q1887" s="99" t="s">
        <v>8340</v>
      </c>
      <c r="R1887" s="6"/>
    </row>
    <row r="1888" spans="1:18" ht="90">
      <c r="A1888" s="71">
        <v>27</v>
      </c>
      <c r="B1888" s="2" t="s">
        <v>6012</v>
      </c>
      <c r="C1888" s="71">
        <v>79</v>
      </c>
      <c r="D1888" s="2" t="s">
        <v>9714</v>
      </c>
      <c r="E1888" s="74">
        <v>0</v>
      </c>
      <c r="F1888" s="71">
        <v>4</v>
      </c>
      <c r="G1888" s="2" t="s">
        <v>8315</v>
      </c>
      <c r="H1888" s="73" t="s">
        <v>9724</v>
      </c>
      <c r="I1888" s="100" t="s">
        <v>9725</v>
      </c>
      <c r="J1888" s="2" t="s">
        <v>23</v>
      </c>
      <c r="K1888" s="2" t="s">
        <v>23</v>
      </c>
      <c r="M1888" s="2" t="s">
        <v>24</v>
      </c>
      <c r="N1888" s="2" t="s">
        <v>116</v>
      </c>
      <c r="O1888" s="16" t="s">
        <v>9725</v>
      </c>
      <c r="P1888" s="51">
        <v>0</v>
      </c>
      <c r="Q1888" s="99" t="s">
        <v>8341</v>
      </c>
      <c r="R1888" s="6" t="s">
        <v>9717</v>
      </c>
    </row>
    <row r="1889" spans="1:18">
      <c r="A1889" s="71">
        <v>27</v>
      </c>
      <c r="B1889" s="2" t="s">
        <v>6012</v>
      </c>
      <c r="C1889" s="71">
        <v>80</v>
      </c>
      <c r="D1889" s="2" t="s">
        <v>9732</v>
      </c>
      <c r="E1889" s="74">
        <v>0</v>
      </c>
      <c r="F1889" s="71">
        <v>0</v>
      </c>
      <c r="G1889" s="2" t="s">
        <v>20</v>
      </c>
      <c r="H1889" s="73" t="s">
        <v>9733</v>
      </c>
      <c r="I1889" s="76" t="s">
        <v>9734</v>
      </c>
      <c r="J1889" s="2" t="s">
        <v>24</v>
      </c>
      <c r="K1889" s="2" t="s">
        <v>25</v>
      </c>
      <c r="L1889" s="2" t="s">
        <v>26</v>
      </c>
      <c r="M1889" s="2" t="s">
        <v>24</v>
      </c>
      <c r="N1889" s="2" t="s">
        <v>25</v>
      </c>
      <c r="O1889" s="2" t="s">
        <v>26</v>
      </c>
      <c r="P1889" s="51">
        <v>0</v>
      </c>
      <c r="Q1889" s="1" t="s">
        <v>9873</v>
      </c>
      <c r="R1889" s="6" t="s">
        <v>9735</v>
      </c>
    </row>
    <row r="1890" spans="1:18">
      <c r="A1890" s="71">
        <v>27</v>
      </c>
      <c r="B1890" s="2" t="s">
        <v>6012</v>
      </c>
      <c r="C1890" s="71">
        <v>80</v>
      </c>
      <c r="D1890" s="2" t="s">
        <v>9732</v>
      </c>
      <c r="E1890" s="74">
        <v>0</v>
      </c>
      <c r="F1890" s="71">
        <v>1</v>
      </c>
      <c r="G1890" s="2" t="s">
        <v>6035</v>
      </c>
      <c r="H1890" s="73" t="s">
        <v>9736</v>
      </c>
      <c r="I1890" s="100" t="s">
        <v>9737</v>
      </c>
      <c r="J1890" s="2" t="s">
        <v>24</v>
      </c>
      <c r="K1890" s="2" t="s">
        <v>25</v>
      </c>
      <c r="L1890" s="2" t="s">
        <v>6037</v>
      </c>
      <c r="M1890" s="2" t="s">
        <v>24</v>
      </c>
      <c r="N1890" s="2" t="s">
        <v>25</v>
      </c>
      <c r="O1890" s="2" t="s">
        <v>6037</v>
      </c>
      <c r="P1890" s="51">
        <v>0</v>
      </c>
      <c r="Q1890" s="99" t="s">
        <v>6038</v>
      </c>
      <c r="R1890" s="6"/>
    </row>
    <row r="1891" spans="1:18">
      <c r="A1891" s="71">
        <v>27</v>
      </c>
      <c r="B1891" s="2" t="s">
        <v>6012</v>
      </c>
      <c r="C1891" s="71">
        <v>80</v>
      </c>
      <c r="D1891" s="2" t="s">
        <v>9732</v>
      </c>
      <c r="E1891" s="74">
        <v>0</v>
      </c>
      <c r="F1891" s="71">
        <v>2</v>
      </c>
      <c r="G1891" s="2" t="s">
        <v>6090</v>
      </c>
      <c r="H1891" s="73" t="s">
        <v>9738</v>
      </c>
      <c r="I1891" s="100" t="s">
        <v>9739</v>
      </c>
      <c r="J1891" s="2" t="s">
        <v>24</v>
      </c>
      <c r="K1891" s="2" t="s">
        <v>23</v>
      </c>
      <c r="M1891" s="2" t="s">
        <v>24</v>
      </c>
      <c r="N1891" s="2" t="s">
        <v>23</v>
      </c>
      <c r="P1891" s="51">
        <v>0</v>
      </c>
      <c r="Q1891" s="99" t="s">
        <v>8317</v>
      </c>
      <c r="R1891" s="6"/>
    </row>
    <row r="1892" spans="1:18">
      <c r="A1892" s="71">
        <v>27</v>
      </c>
      <c r="B1892" s="2" t="s">
        <v>6012</v>
      </c>
      <c r="C1892" s="71">
        <v>80</v>
      </c>
      <c r="D1892" s="2" t="s">
        <v>9732</v>
      </c>
      <c r="E1892" s="74">
        <v>0</v>
      </c>
      <c r="F1892" s="71">
        <v>3</v>
      </c>
      <c r="G1892" s="2" t="s">
        <v>7490</v>
      </c>
      <c r="H1892" s="73" t="s">
        <v>9740</v>
      </c>
      <c r="I1892" s="100" t="s">
        <v>9741</v>
      </c>
      <c r="J1892" s="2" t="s">
        <v>24</v>
      </c>
      <c r="K1892" s="2" t="s">
        <v>116</v>
      </c>
      <c r="L1892" s="16" t="s">
        <v>7495</v>
      </c>
      <c r="M1892" s="2" t="s">
        <v>24</v>
      </c>
      <c r="N1892" s="2" t="s">
        <v>116</v>
      </c>
      <c r="O1892" s="16" t="s">
        <v>7495</v>
      </c>
      <c r="P1892" s="51">
        <v>0</v>
      </c>
      <c r="Q1892" s="99" t="s">
        <v>7496</v>
      </c>
      <c r="R1892" s="6"/>
    </row>
    <row r="1893" spans="1:18">
      <c r="A1893" s="71">
        <v>27</v>
      </c>
      <c r="B1893" s="2" t="s">
        <v>6012</v>
      </c>
      <c r="C1893" s="71">
        <v>80</v>
      </c>
      <c r="D1893" s="2" t="s">
        <v>9732</v>
      </c>
      <c r="E1893" s="74">
        <v>0</v>
      </c>
      <c r="F1893" s="71">
        <v>4</v>
      </c>
      <c r="G1893" s="2" t="s">
        <v>1490</v>
      </c>
      <c r="H1893" s="73" t="s">
        <v>9743</v>
      </c>
      <c r="I1893" s="100" t="s">
        <v>9744</v>
      </c>
      <c r="J1893" s="2" t="s">
        <v>24</v>
      </c>
      <c r="K1893" s="2" t="s">
        <v>116</v>
      </c>
      <c r="L1893" s="16" t="s">
        <v>7497</v>
      </c>
      <c r="M1893" s="2" t="s">
        <v>24</v>
      </c>
      <c r="N1893" s="2" t="s">
        <v>116</v>
      </c>
      <c r="O1893" s="16" t="s">
        <v>7497</v>
      </c>
      <c r="P1893" s="51">
        <v>0</v>
      </c>
      <c r="Q1893" s="99" t="s">
        <v>9742</v>
      </c>
      <c r="R1893" s="6"/>
    </row>
    <row r="1894" spans="1:18">
      <c r="A1894" s="71">
        <v>27</v>
      </c>
      <c r="B1894" s="2" t="s">
        <v>6012</v>
      </c>
      <c r="C1894" s="71">
        <v>80</v>
      </c>
      <c r="D1894" s="2" t="s">
        <v>9732</v>
      </c>
      <c r="E1894" s="74">
        <v>0</v>
      </c>
      <c r="F1894" s="71">
        <v>5</v>
      </c>
      <c r="G1894" s="2" t="s">
        <v>9745</v>
      </c>
      <c r="H1894" s="73" t="s">
        <v>9748</v>
      </c>
      <c r="I1894" s="100" t="s">
        <v>9749</v>
      </c>
      <c r="J1894" s="2" t="s">
        <v>24</v>
      </c>
      <c r="K1894" s="2" t="s">
        <v>25</v>
      </c>
      <c r="L1894" s="2" t="s">
        <v>7499</v>
      </c>
      <c r="M1894" s="2" t="s">
        <v>24</v>
      </c>
      <c r="N1894" s="2" t="s">
        <v>25</v>
      </c>
      <c r="O1894" s="2" t="s">
        <v>7499</v>
      </c>
      <c r="P1894" s="51">
        <v>0</v>
      </c>
      <c r="Q1894" s="99" t="s">
        <v>7500</v>
      </c>
      <c r="R1894" s="6"/>
    </row>
    <row r="1895" spans="1:18">
      <c r="A1895" s="71">
        <v>27</v>
      </c>
      <c r="B1895" s="2" t="s">
        <v>6012</v>
      </c>
      <c r="C1895" s="71">
        <v>80</v>
      </c>
      <c r="D1895" s="2" t="s">
        <v>9732</v>
      </c>
      <c r="E1895" s="74">
        <v>0</v>
      </c>
      <c r="F1895" s="71">
        <v>6</v>
      </c>
      <c r="G1895" s="2" t="s">
        <v>451</v>
      </c>
      <c r="H1895" s="73" t="s">
        <v>9750</v>
      </c>
      <c r="I1895" s="100" t="s">
        <v>9751</v>
      </c>
      <c r="J1895" s="2" t="s">
        <v>24</v>
      </c>
      <c r="K1895" s="2" t="s">
        <v>25</v>
      </c>
      <c r="L1895" s="2" t="s">
        <v>9747</v>
      </c>
      <c r="M1895" s="2" t="s">
        <v>24</v>
      </c>
      <c r="N1895" s="2" t="s">
        <v>25</v>
      </c>
      <c r="O1895" s="2" t="s">
        <v>9747</v>
      </c>
      <c r="P1895" s="51">
        <v>0</v>
      </c>
      <c r="Q1895" s="99" t="s">
        <v>9746</v>
      </c>
      <c r="R1895" s="6"/>
    </row>
    <row r="1896" spans="1:18">
      <c r="A1896" s="71">
        <v>27</v>
      </c>
      <c r="B1896" s="2" t="s">
        <v>6012</v>
      </c>
      <c r="C1896" s="71">
        <v>80</v>
      </c>
      <c r="D1896" s="2" t="s">
        <v>9732</v>
      </c>
      <c r="E1896" s="74">
        <v>0</v>
      </c>
      <c r="F1896" s="71">
        <v>7</v>
      </c>
      <c r="G1896" s="2" t="s">
        <v>2392</v>
      </c>
      <c r="H1896" s="73" t="s">
        <v>9752</v>
      </c>
      <c r="I1896" s="100" t="s">
        <v>9753</v>
      </c>
      <c r="J1896" s="2" t="s">
        <v>24</v>
      </c>
      <c r="K1896" s="2" t="s">
        <v>116</v>
      </c>
      <c r="L1896" s="16" t="s">
        <v>6910</v>
      </c>
      <c r="M1896" s="2" t="s">
        <v>24</v>
      </c>
      <c r="N1896" s="2" t="s">
        <v>116</v>
      </c>
      <c r="O1896" s="16" t="s">
        <v>6910</v>
      </c>
      <c r="P1896" s="51">
        <v>0</v>
      </c>
      <c r="Q1896" s="99" t="s">
        <v>290</v>
      </c>
      <c r="R1896" s="6"/>
    </row>
    <row r="1897" spans="1:18">
      <c r="A1897" s="71">
        <v>27</v>
      </c>
      <c r="B1897" s="2" t="s">
        <v>6012</v>
      </c>
      <c r="C1897" s="71">
        <v>80</v>
      </c>
      <c r="D1897" s="2" t="s">
        <v>9732</v>
      </c>
      <c r="E1897" s="74">
        <v>0</v>
      </c>
      <c r="F1897" s="71">
        <v>8</v>
      </c>
      <c r="G1897" s="2" t="s">
        <v>8415</v>
      </c>
      <c r="H1897" s="73" t="s">
        <v>9754</v>
      </c>
      <c r="I1897" s="100" t="s">
        <v>9755</v>
      </c>
      <c r="J1897" s="2" t="s">
        <v>24</v>
      </c>
      <c r="K1897" s="2" t="s">
        <v>298</v>
      </c>
      <c r="M1897" s="2" t="s">
        <v>24</v>
      </c>
      <c r="N1897" s="2" t="s">
        <v>298</v>
      </c>
      <c r="P1897" s="51">
        <v>0</v>
      </c>
      <c r="Q1897" s="99" t="s">
        <v>7504</v>
      </c>
      <c r="R1897" s="6"/>
    </row>
    <row r="1898" spans="1:18">
      <c r="A1898" s="71">
        <v>27</v>
      </c>
      <c r="B1898" s="2" t="s">
        <v>6012</v>
      </c>
      <c r="C1898" s="71">
        <v>80</v>
      </c>
      <c r="D1898" s="2" t="s">
        <v>9732</v>
      </c>
      <c r="E1898" s="74">
        <v>0</v>
      </c>
      <c r="F1898" s="71">
        <v>9</v>
      </c>
      <c r="G1898" s="2" t="s">
        <v>7493</v>
      </c>
      <c r="H1898" s="73" t="s">
        <v>9756</v>
      </c>
      <c r="I1898" s="100" t="s">
        <v>9757</v>
      </c>
      <c r="J1898" s="2" t="s">
        <v>24</v>
      </c>
      <c r="K1898" s="2" t="s">
        <v>263</v>
      </c>
      <c r="M1898" s="2" t="s">
        <v>24</v>
      </c>
      <c r="N1898" s="2" t="s">
        <v>263</v>
      </c>
      <c r="P1898" s="51">
        <v>0</v>
      </c>
      <c r="Q1898" s="99" t="s">
        <v>7505</v>
      </c>
      <c r="R1898" s="6"/>
    </row>
    <row r="1899" spans="1:18">
      <c r="A1899" s="71">
        <v>27</v>
      </c>
      <c r="B1899" s="2" t="s">
        <v>6012</v>
      </c>
      <c r="C1899" s="71">
        <v>81</v>
      </c>
      <c r="D1899" s="2" t="s">
        <v>9770</v>
      </c>
      <c r="E1899" s="74">
        <v>0</v>
      </c>
      <c r="F1899" s="71">
        <v>0</v>
      </c>
      <c r="G1899" s="2" t="s">
        <v>20</v>
      </c>
      <c r="H1899" s="73" t="s">
        <v>9772</v>
      </c>
      <c r="I1899" s="76" t="s">
        <v>9773</v>
      </c>
      <c r="J1899" s="2" t="s">
        <v>24</v>
      </c>
      <c r="K1899" s="2" t="s">
        <v>25</v>
      </c>
      <c r="L1899" s="2" t="s">
        <v>26</v>
      </c>
      <c r="M1899" s="2" t="s">
        <v>24</v>
      </c>
      <c r="N1899" s="2" t="s">
        <v>25</v>
      </c>
      <c r="O1899" s="2" t="s">
        <v>26</v>
      </c>
      <c r="P1899" s="51">
        <v>0</v>
      </c>
      <c r="Q1899" s="1" t="s">
        <v>9771</v>
      </c>
      <c r="R1899" s="6"/>
    </row>
    <row r="1900" spans="1:18">
      <c r="A1900" s="71">
        <v>27</v>
      </c>
      <c r="B1900" s="2" t="s">
        <v>6012</v>
      </c>
      <c r="C1900" s="71">
        <v>81</v>
      </c>
      <c r="D1900" s="2" t="s">
        <v>9770</v>
      </c>
      <c r="E1900" s="74">
        <v>0</v>
      </c>
      <c r="F1900" s="71">
        <v>1</v>
      </c>
      <c r="G1900" s="2" t="s">
        <v>6035</v>
      </c>
      <c r="H1900" s="73" t="s">
        <v>9774</v>
      </c>
      <c r="I1900" s="100" t="s">
        <v>9775</v>
      </c>
      <c r="J1900" s="2" t="s">
        <v>24</v>
      </c>
      <c r="K1900" s="2" t="s">
        <v>25</v>
      </c>
      <c r="L1900" s="2" t="s">
        <v>6037</v>
      </c>
      <c r="M1900" s="2" t="s">
        <v>24</v>
      </c>
      <c r="N1900" s="2" t="s">
        <v>25</v>
      </c>
      <c r="O1900" s="2" t="s">
        <v>6037</v>
      </c>
      <c r="P1900" s="51">
        <v>0</v>
      </c>
      <c r="Q1900" s="99" t="s">
        <v>6038</v>
      </c>
      <c r="R1900" s="6"/>
    </row>
    <row r="1901" spans="1:18">
      <c r="A1901" s="71">
        <v>27</v>
      </c>
      <c r="B1901" s="2" t="s">
        <v>6012</v>
      </c>
      <c r="C1901" s="71">
        <v>81</v>
      </c>
      <c r="D1901" s="2" t="s">
        <v>9770</v>
      </c>
      <c r="E1901" s="74">
        <v>0</v>
      </c>
      <c r="F1901" s="71">
        <v>2</v>
      </c>
      <c r="G1901" s="2" t="s">
        <v>6090</v>
      </c>
      <c r="H1901" s="73" t="s">
        <v>9776</v>
      </c>
      <c r="I1901" s="100" t="s">
        <v>9777</v>
      </c>
      <c r="J1901" s="2" t="s">
        <v>24</v>
      </c>
      <c r="K1901" s="2" t="s">
        <v>23</v>
      </c>
      <c r="M1901" s="2" t="s">
        <v>24</v>
      </c>
      <c r="N1901" s="2" t="s">
        <v>23</v>
      </c>
      <c r="P1901" s="51">
        <v>0</v>
      </c>
      <c r="Q1901" s="99" t="s">
        <v>8317</v>
      </c>
      <c r="R1901" s="6"/>
    </row>
    <row r="1902" spans="1:18">
      <c r="A1902" s="71">
        <v>27</v>
      </c>
      <c r="B1902" s="2" t="s">
        <v>6012</v>
      </c>
      <c r="C1902" s="71">
        <v>81</v>
      </c>
      <c r="D1902" s="2" t="s">
        <v>9770</v>
      </c>
      <c r="E1902" s="74">
        <v>0</v>
      </c>
      <c r="F1902" s="71">
        <v>3</v>
      </c>
      <c r="G1902" s="2" t="s">
        <v>7493</v>
      </c>
      <c r="H1902" s="73" t="s">
        <v>9781</v>
      </c>
      <c r="I1902" s="100" t="s">
        <v>9782</v>
      </c>
      <c r="J1902" s="2" t="s">
        <v>24</v>
      </c>
      <c r="K1902" s="2" t="s">
        <v>10871</v>
      </c>
      <c r="M1902" s="2" t="s">
        <v>24</v>
      </c>
      <c r="N1902" s="2" t="s">
        <v>10871</v>
      </c>
      <c r="P1902" s="51">
        <v>0</v>
      </c>
      <c r="Q1902" s="99" t="s">
        <v>9778</v>
      </c>
      <c r="R1902" s="6"/>
    </row>
    <row r="1903" spans="1:18">
      <c r="A1903" s="71">
        <v>27</v>
      </c>
      <c r="B1903" s="2" t="s">
        <v>6012</v>
      </c>
      <c r="C1903" s="71">
        <v>81</v>
      </c>
      <c r="D1903" s="2" t="s">
        <v>9770</v>
      </c>
      <c r="E1903" s="74">
        <v>0</v>
      </c>
      <c r="F1903" s="71">
        <v>4</v>
      </c>
      <c r="G1903" s="2" t="s">
        <v>9779</v>
      </c>
      <c r="H1903" s="73" t="s">
        <v>9783</v>
      </c>
      <c r="I1903" s="100" t="s">
        <v>9784</v>
      </c>
      <c r="J1903" s="2" t="s">
        <v>24</v>
      </c>
      <c r="K1903" s="2" t="s">
        <v>10871</v>
      </c>
      <c r="M1903" s="2" t="s">
        <v>24</v>
      </c>
      <c r="N1903" s="2" t="s">
        <v>10871</v>
      </c>
      <c r="P1903" s="51">
        <v>0</v>
      </c>
      <c r="Q1903" s="99" t="s">
        <v>9780</v>
      </c>
      <c r="R1903" s="6"/>
    </row>
    <row r="1904" spans="1:18">
      <c r="A1904" s="71">
        <v>27</v>
      </c>
      <c r="B1904" s="2" t="s">
        <v>6012</v>
      </c>
      <c r="C1904" s="71">
        <v>81</v>
      </c>
      <c r="D1904" s="2" t="s">
        <v>9770</v>
      </c>
      <c r="E1904" s="74">
        <v>0</v>
      </c>
      <c r="F1904" s="71">
        <v>5</v>
      </c>
      <c r="G1904" s="2" t="s">
        <v>9785</v>
      </c>
      <c r="H1904" s="73" t="s">
        <v>9790</v>
      </c>
      <c r="I1904" s="100" t="s">
        <v>9791</v>
      </c>
      <c r="J1904" s="2" t="s">
        <v>24</v>
      </c>
      <c r="K1904" s="2" t="s">
        <v>263</v>
      </c>
      <c r="M1904" s="2" t="s">
        <v>24</v>
      </c>
      <c r="N1904" s="2" t="s">
        <v>263</v>
      </c>
      <c r="P1904" s="51">
        <v>0</v>
      </c>
      <c r="Q1904" s="99" t="s">
        <v>9786</v>
      </c>
      <c r="R1904" s="6"/>
    </row>
    <row r="1905" spans="1:18">
      <c r="A1905" s="71">
        <v>27</v>
      </c>
      <c r="B1905" s="2" t="s">
        <v>6012</v>
      </c>
      <c r="C1905" s="71">
        <v>81</v>
      </c>
      <c r="D1905" s="2" t="s">
        <v>9770</v>
      </c>
      <c r="E1905" s="74">
        <v>0</v>
      </c>
      <c r="F1905" s="71">
        <v>6</v>
      </c>
      <c r="G1905" s="2" t="s">
        <v>9787</v>
      </c>
      <c r="H1905" s="73" t="s">
        <v>9792</v>
      </c>
      <c r="I1905" s="100" t="s">
        <v>9793</v>
      </c>
      <c r="J1905" s="2" t="s">
        <v>24</v>
      </c>
      <c r="K1905" s="2" t="s">
        <v>139</v>
      </c>
      <c r="M1905" s="2" t="s">
        <v>24</v>
      </c>
      <c r="N1905" s="2" t="s">
        <v>139</v>
      </c>
      <c r="P1905" s="51">
        <v>0</v>
      </c>
      <c r="Q1905" s="107" t="s">
        <v>9788</v>
      </c>
      <c r="R1905" s="6" t="s">
        <v>9789</v>
      </c>
    </row>
    <row r="1906" spans="1:18">
      <c r="A1906" s="71">
        <v>27</v>
      </c>
      <c r="B1906" s="2" t="s">
        <v>6012</v>
      </c>
      <c r="C1906" s="71">
        <v>81</v>
      </c>
      <c r="D1906" s="2" t="s">
        <v>9770</v>
      </c>
      <c r="E1906" s="74">
        <v>0</v>
      </c>
      <c r="F1906" s="71">
        <v>7</v>
      </c>
      <c r="G1906" s="2" t="s">
        <v>9794</v>
      </c>
      <c r="H1906" s="73" t="s">
        <v>9797</v>
      </c>
      <c r="I1906" s="100" t="s">
        <v>9798</v>
      </c>
      <c r="J1906" s="2" t="s">
        <v>24</v>
      </c>
      <c r="K1906" s="2" t="s">
        <v>133</v>
      </c>
      <c r="M1906" s="2" t="s">
        <v>24</v>
      </c>
      <c r="N1906" s="2" t="s">
        <v>133</v>
      </c>
      <c r="P1906" s="51">
        <v>0</v>
      </c>
      <c r="Q1906" s="99" t="s">
        <v>9795</v>
      </c>
      <c r="R1906" s="6" t="s">
        <v>9796</v>
      </c>
    </row>
    <row r="1907" spans="1:18">
      <c r="A1907" s="71">
        <v>27</v>
      </c>
      <c r="B1907" s="2" t="s">
        <v>6012</v>
      </c>
      <c r="C1907" s="71">
        <v>82</v>
      </c>
      <c r="D1907" s="2" t="s">
        <v>9799</v>
      </c>
      <c r="E1907" s="74">
        <v>0</v>
      </c>
      <c r="F1907" s="71">
        <v>0</v>
      </c>
      <c r="G1907" s="2" t="s">
        <v>20</v>
      </c>
      <c r="H1907" s="73" t="s">
        <v>9800</v>
      </c>
      <c r="I1907" s="76" t="s">
        <v>9801</v>
      </c>
      <c r="J1907" s="2" t="s">
        <v>24</v>
      </c>
      <c r="K1907" s="2" t="s">
        <v>25</v>
      </c>
      <c r="L1907" s="2" t="s">
        <v>26</v>
      </c>
      <c r="M1907" s="2" t="s">
        <v>24</v>
      </c>
      <c r="N1907" s="2" t="s">
        <v>25</v>
      </c>
      <c r="O1907" s="2" t="s">
        <v>26</v>
      </c>
      <c r="P1907" s="51">
        <v>0</v>
      </c>
      <c r="Q1907" s="1" t="s">
        <v>9874</v>
      </c>
      <c r="R1907" s="6"/>
    </row>
    <row r="1908" spans="1:18">
      <c r="A1908" s="71">
        <v>27</v>
      </c>
      <c r="B1908" s="2" t="s">
        <v>6012</v>
      </c>
      <c r="C1908" s="71">
        <v>82</v>
      </c>
      <c r="D1908" s="2" t="s">
        <v>9799</v>
      </c>
      <c r="E1908" s="74">
        <v>0</v>
      </c>
      <c r="F1908" s="71">
        <v>1</v>
      </c>
      <c r="G1908" s="2" t="s">
        <v>6035</v>
      </c>
      <c r="H1908" s="73" t="s">
        <v>9802</v>
      </c>
      <c r="I1908" s="100" t="s">
        <v>9803</v>
      </c>
      <c r="J1908" s="2" t="s">
        <v>24</v>
      </c>
      <c r="K1908" s="2" t="s">
        <v>25</v>
      </c>
      <c r="L1908" s="2" t="s">
        <v>6037</v>
      </c>
      <c r="M1908" s="2" t="s">
        <v>24</v>
      </c>
      <c r="N1908" s="2" t="s">
        <v>25</v>
      </c>
      <c r="O1908" s="2" t="s">
        <v>6037</v>
      </c>
      <c r="P1908" s="51">
        <v>0</v>
      </c>
      <c r="Q1908" s="99" t="s">
        <v>6038</v>
      </c>
      <c r="R1908" s="6"/>
    </row>
    <row r="1909" spans="1:18">
      <c r="A1909" s="71">
        <v>27</v>
      </c>
      <c r="B1909" s="2" t="s">
        <v>6012</v>
      </c>
      <c r="C1909" s="71">
        <v>82</v>
      </c>
      <c r="D1909" s="2" t="s">
        <v>9799</v>
      </c>
      <c r="E1909" s="74">
        <v>0</v>
      </c>
      <c r="F1909" s="71">
        <v>2</v>
      </c>
      <c r="G1909" s="2" t="s">
        <v>6090</v>
      </c>
      <c r="H1909" s="73" t="s">
        <v>9804</v>
      </c>
      <c r="I1909" s="100" t="s">
        <v>9805</v>
      </c>
      <c r="J1909" s="2" t="s">
        <v>24</v>
      </c>
      <c r="K1909" s="2" t="s">
        <v>23</v>
      </c>
      <c r="M1909" s="2" t="s">
        <v>24</v>
      </c>
      <c r="N1909" s="2" t="s">
        <v>23</v>
      </c>
      <c r="P1909" s="51">
        <v>0</v>
      </c>
      <c r="Q1909" s="99" t="s">
        <v>8317</v>
      </c>
      <c r="R1909" s="6"/>
    </row>
    <row r="1910" spans="1:18">
      <c r="A1910" s="71">
        <v>27</v>
      </c>
      <c r="B1910" s="2" t="s">
        <v>6012</v>
      </c>
      <c r="C1910" s="71">
        <v>82</v>
      </c>
      <c r="D1910" s="2" t="s">
        <v>9799</v>
      </c>
      <c r="E1910" s="74">
        <v>0</v>
      </c>
      <c r="F1910" s="71">
        <v>3</v>
      </c>
      <c r="G1910" s="2" t="s">
        <v>7579</v>
      </c>
      <c r="H1910" s="73" t="s">
        <v>9809</v>
      </c>
      <c r="I1910" s="100" t="s">
        <v>9810</v>
      </c>
      <c r="J1910" s="2" t="s">
        <v>24</v>
      </c>
      <c r="K1910" s="2" t="s">
        <v>133</v>
      </c>
      <c r="M1910" s="2" t="s">
        <v>24</v>
      </c>
      <c r="N1910" s="2" t="s">
        <v>133</v>
      </c>
      <c r="P1910" s="51">
        <v>0</v>
      </c>
      <c r="Q1910" s="99" t="s">
        <v>9806</v>
      </c>
      <c r="R1910" s="6"/>
    </row>
    <row r="1911" spans="1:18">
      <c r="A1911" s="71">
        <v>27</v>
      </c>
      <c r="B1911" s="2" t="s">
        <v>6012</v>
      </c>
      <c r="C1911" s="71">
        <v>82</v>
      </c>
      <c r="D1911" s="2" t="s">
        <v>9799</v>
      </c>
      <c r="E1911" s="74">
        <v>0</v>
      </c>
      <c r="F1911" s="71">
        <v>4</v>
      </c>
      <c r="G1911" s="2" t="s">
        <v>9808</v>
      </c>
      <c r="H1911" s="73" t="s">
        <v>9811</v>
      </c>
      <c r="I1911" s="100" t="s">
        <v>9812</v>
      </c>
      <c r="J1911" s="2" t="s">
        <v>24</v>
      </c>
      <c r="K1911" s="2" t="s">
        <v>133</v>
      </c>
      <c r="M1911" s="2" t="s">
        <v>24</v>
      </c>
      <c r="N1911" s="2" t="s">
        <v>133</v>
      </c>
      <c r="P1911" s="51">
        <v>0</v>
      </c>
      <c r="Q1911" s="99" t="s">
        <v>9807</v>
      </c>
      <c r="R1911" s="6"/>
    </row>
    <row r="1912" spans="1:18">
      <c r="A1912" s="71">
        <v>27</v>
      </c>
      <c r="B1912" s="2" t="s">
        <v>6012</v>
      </c>
      <c r="C1912" s="71">
        <v>82</v>
      </c>
      <c r="D1912" s="2" t="s">
        <v>9799</v>
      </c>
      <c r="E1912" s="74">
        <v>0</v>
      </c>
      <c r="F1912" s="71">
        <v>5</v>
      </c>
      <c r="G1912" s="2" t="s">
        <v>7580</v>
      </c>
      <c r="H1912" s="73" t="s">
        <v>9813</v>
      </c>
      <c r="I1912" s="100" t="s">
        <v>9814</v>
      </c>
      <c r="J1912" s="2" t="s">
        <v>24</v>
      </c>
      <c r="K1912" s="2" t="s">
        <v>133</v>
      </c>
      <c r="M1912" s="2" t="s">
        <v>24</v>
      </c>
      <c r="N1912" s="2" t="s">
        <v>133</v>
      </c>
      <c r="P1912" s="51">
        <v>0</v>
      </c>
      <c r="Q1912" s="99" t="s">
        <v>7585</v>
      </c>
      <c r="R1912" s="6"/>
    </row>
    <row r="1913" spans="1:18">
      <c r="A1913" s="71">
        <v>27</v>
      </c>
      <c r="B1913" s="2" t="s">
        <v>6012</v>
      </c>
      <c r="C1913" s="71">
        <v>82</v>
      </c>
      <c r="D1913" s="2" t="s">
        <v>9799</v>
      </c>
      <c r="E1913" s="74">
        <v>0</v>
      </c>
      <c r="F1913" s="71">
        <v>6</v>
      </c>
      <c r="G1913" s="2" t="s">
        <v>9815</v>
      </c>
      <c r="H1913" s="73" t="s">
        <v>9817</v>
      </c>
      <c r="I1913" s="100" t="s">
        <v>9818</v>
      </c>
      <c r="J1913" s="2" t="s">
        <v>24</v>
      </c>
      <c r="K1913" s="2" t="s">
        <v>23</v>
      </c>
      <c r="L1913" s="2" t="s">
        <v>9819</v>
      </c>
      <c r="M1913" s="2" t="s">
        <v>24</v>
      </c>
      <c r="N1913" s="2" t="s">
        <v>23</v>
      </c>
      <c r="O1913" s="2" t="s">
        <v>9819</v>
      </c>
      <c r="P1913" s="51">
        <v>0</v>
      </c>
      <c r="Q1913" s="107" t="s">
        <v>9816</v>
      </c>
      <c r="R1913" s="6"/>
    </row>
    <row r="1914" spans="1:18">
      <c r="A1914" s="71">
        <v>27</v>
      </c>
      <c r="B1914" s="2" t="s">
        <v>6012</v>
      </c>
      <c r="C1914" s="71">
        <v>83</v>
      </c>
      <c r="D1914" s="2" t="s">
        <v>9820</v>
      </c>
      <c r="E1914" s="74">
        <v>0</v>
      </c>
      <c r="F1914" s="71">
        <v>0</v>
      </c>
      <c r="G1914" s="2" t="s">
        <v>20</v>
      </c>
      <c r="H1914" s="73" t="s">
        <v>9821</v>
      </c>
      <c r="I1914" s="76" t="s">
        <v>9822</v>
      </c>
      <c r="J1914" s="2" t="s">
        <v>24</v>
      </c>
      <c r="K1914" s="2" t="s">
        <v>25</v>
      </c>
      <c r="L1914" s="2" t="s">
        <v>26</v>
      </c>
      <c r="M1914" s="2" t="s">
        <v>24</v>
      </c>
      <c r="N1914" s="2" t="s">
        <v>25</v>
      </c>
      <c r="O1914" s="2" t="s">
        <v>26</v>
      </c>
      <c r="P1914" s="51">
        <v>0</v>
      </c>
      <c r="Q1914" s="1" t="s">
        <v>9876</v>
      </c>
      <c r="R1914" s="6"/>
    </row>
    <row r="1915" spans="1:18">
      <c r="A1915" s="71">
        <v>27</v>
      </c>
      <c r="B1915" s="2" t="s">
        <v>6012</v>
      </c>
      <c r="C1915" s="71">
        <v>83</v>
      </c>
      <c r="D1915" s="2" t="s">
        <v>9820</v>
      </c>
      <c r="E1915" s="74">
        <v>0</v>
      </c>
      <c r="F1915" s="71">
        <v>1</v>
      </c>
      <c r="G1915" s="2" t="s">
        <v>6035</v>
      </c>
      <c r="H1915" s="73" t="s">
        <v>9823</v>
      </c>
      <c r="I1915" s="100" t="s">
        <v>9824</v>
      </c>
      <c r="J1915" s="2" t="s">
        <v>24</v>
      </c>
      <c r="K1915" s="2" t="s">
        <v>25</v>
      </c>
      <c r="L1915" s="2" t="s">
        <v>6037</v>
      </c>
      <c r="M1915" s="2" t="s">
        <v>24</v>
      </c>
      <c r="N1915" s="2" t="s">
        <v>25</v>
      </c>
      <c r="O1915" s="2" t="s">
        <v>6037</v>
      </c>
      <c r="P1915" s="51">
        <v>0</v>
      </c>
      <c r="Q1915" s="99" t="s">
        <v>6038</v>
      </c>
      <c r="R1915" s="6"/>
    </row>
    <row r="1916" spans="1:18">
      <c r="A1916" s="71">
        <v>27</v>
      </c>
      <c r="B1916" s="2" t="s">
        <v>6012</v>
      </c>
      <c r="C1916" s="71">
        <v>83</v>
      </c>
      <c r="D1916" s="2" t="s">
        <v>9820</v>
      </c>
      <c r="E1916" s="74">
        <v>0</v>
      </c>
      <c r="F1916" s="71">
        <v>2</v>
      </c>
      <c r="G1916" s="2" t="s">
        <v>6090</v>
      </c>
      <c r="H1916" s="73" t="s">
        <v>9825</v>
      </c>
      <c r="I1916" s="100" t="s">
        <v>9826</v>
      </c>
      <c r="J1916" s="2" t="s">
        <v>24</v>
      </c>
      <c r="K1916" s="2" t="s">
        <v>23</v>
      </c>
      <c r="M1916" s="2" t="s">
        <v>24</v>
      </c>
      <c r="N1916" s="2" t="s">
        <v>23</v>
      </c>
      <c r="P1916" s="51">
        <v>0</v>
      </c>
      <c r="Q1916" s="99" t="s">
        <v>8317</v>
      </c>
      <c r="R1916" s="6"/>
    </row>
    <row r="1917" spans="1:18">
      <c r="A1917" s="71">
        <v>27</v>
      </c>
      <c r="B1917" s="2" t="s">
        <v>6012</v>
      </c>
      <c r="C1917" s="71">
        <v>83</v>
      </c>
      <c r="D1917" s="2" t="s">
        <v>9820</v>
      </c>
      <c r="E1917" s="74">
        <v>0</v>
      </c>
      <c r="F1917" s="71">
        <v>3</v>
      </c>
      <c r="G1917" s="2" t="s">
        <v>9827</v>
      </c>
      <c r="H1917" s="73" t="s">
        <v>9833</v>
      </c>
      <c r="I1917" s="100" t="s">
        <v>9834</v>
      </c>
      <c r="J1917" s="2" t="s">
        <v>24</v>
      </c>
      <c r="K1917" s="2" t="s">
        <v>49</v>
      </c>
      <c r="M1917" s="2" t="s">
        <v>24</v>
      </c>
      <c r="N1917" s="2" t="s">
        <v>49</v>
      </c>
      <c r="P1917" s="51">
        <v>0</v>
      </c>
      <c r="Q1917" s="99" t="s">
        <v>9830</v>
      </c>
      <c r="R1917" s="6"/>
    </row>
    <row r="1918" spans="1:18">
      <c r="A1918" s="71">
        <v>27</v>
      </c>
      <c r="B1918" s="2" t="s">
        <v>6012</v>
      </c>
      <c r="C1918" s="71">
        <v>83</v>
      </c>
      <c r="D1918" s="2" t="s">
        <v>9820</v>
      </c>
      <c r="E1918" s="74">
        <v>0</v>
      </c>
      <c r="F1918" s="71">
        <v>4</v>
      </c>
      <c r="G1918" s="2" t="s">
        <v>9828</v>
      </c>
      <c r="H1918" s="73" t="s">
        <v>9835</v>
      </c>
      <c r="I1918" s="100" t="s">
        <v>9836</v>
      </c>
      <c r="J1918" s="2" t="s">
        <v>24</v>
      </c>
      <c r="K1918" s="2" t="s">
        <v>49</v>
      </c>
      <c r="M1918" s="2" t="s">
        <v>24</v>
      </c>
      <c r="N1918" s="2" t="s">
        <v>49</v>
      </c>
      <c r="P1918" s="51">
        <v>0</v>
      </c>
      <c r="Q1918" s="99" t="s">
        <v>9831</v>
      </c>
      <c r="R1918" s="6"/>
    </row>
    <row r="1919" spans="1:18">
      <c r="A1919" s="71">
        <v>27</v>
      </c>
      <c r="B1919" s="2" t="s">
        <v>6012</v>
      </c>
      <c r="C1919" s="71">
        <v>83</v>
      </c>
      <c r="D1919" s="2" t="s">
        <v>9820</v>
      </c>
      <c r="E1919" s="74">
        <v>0</v>
      </c>
      <c r="F1919" s="71">
        <v>5</v>
      </c>
      <c r="G1919" s="2" t="s">
        <v>9829</v>
      </c>
      <c r="H1919" s="73" t="s">
        <v>9837</v>
      </c>
      <c r="I1919" s="100" t="s">
        <v>9838</v>
      </c>
      <c r="J1919" s="2" t="s">
        <v>24</v>
      </c>
      <c r="K1919" s="2" t="s">
        <v>49</v>
      </c>
      <c r="M1919" s="2" t="s">
        <v>24</v>
      </c>
      <c r="N1919" s="2" t="s">
        <v>49</v>
      </c>
      <c r="P1919" s="51">
        <v>0</v>
      </c>
      <c r="Q1919" s="99" t="s">
        <v>9832</v>
      </c>
      <c r="R1919" s="6"/>
    </row>
    <row r="1920" spans="1:18">
      <c r="A1920" s="71">
        <v>27</v>
      </c>
      <c r="B1920" s="2" t="s">
        <v>6012</v>
      </c>
      <c r="C1920" s="71">
        <v>84</v>
      </c>
      <c r="D1920" s="2" t="s">
        <v>9839</v>
      </c>
      <c r="E1920" s="74">
        <v>0</v>
      </c>
      <c r="F1920" s="71">
        <v>0</v>
      </c>
      <c r="G1920" s="2" t="s">
        <v>20</v>
      </c>
      <c r="H1920" s="73" t="s">
        <v>9840</v>
      </c>
      <c r="I1920" s="76" t="s">
        <v>9841</v>
      </c>
      <c r="J1920" s="2" t="s">
        <v>24</v>
      </c>
      <c r="K1920" s="2" t="s">
        <v>25</v>
      </c>
      <c r="L1920" s="2" t="s">
        <v>26</v>
      </c>
      <c r="M1920" s="2" t="s">
        <v>24</v>
      </c>
      <c r="N1920" s="2" t="s">
        <v>25</v>
      </c>
      <c r="O1920" s="2" t="s">
        <v>26</v>
      </c>
      <c r="P1920" s="51">
        <v>0</v>
      </c>
      <c r="Q1920" s="1" t="s">
        <v>9875</v>
      </c>
      <c r="R1920" s="6" t="s">
        <v>9846</v>
      </c>
    </row>
    <row r="1921" spans="1:18">
      <c r="A1921" s="71">
        <v>27</v>
      </c>
      <c r="B1921" s="2" t="s">
        <v>6012</v>
      </c>
      <c r="C1921" s="71">
        <v>84</v>
      </c>
      <c r="D1921" s="2" t="s">
        <v>9839</v>
      </c>
      <c r="E1921" s="74">
        <v>0</v>
      </c>
      <c r="F1921" s="71">
        <v>1</v>
      </c>
      <c r="G1921" s="2" t="s">
        <v>6035</v>
      </c>
      <c r="H1921" s="73" t="s">
        <v>9842</v>
      </c>
      <c r="I1921" s="100" t="s">
        <v>9843</v>
      </c>
      <c r="J1921" s="2" t="s">
        <v>24</v>
      </c>
      <c r="K1921" s="2" t="s">
        <v>25</v>
      </c>
      <c r="L1921" s="2" t="s">
        <v>6037</v>
      </c>
      <c r="M1921" s="2" t="s">
        <v>24</v>
      </c>
      <c r="N1921" s="2" t="s">
        <v>25</v>
      </c>
      <c r="O1921" s="2" t="s">
        <v>6037</v>
      </c>
      <c r="P1921" s="51">
        <v>0</v>
      </c>
      <c r="Q1921" s="99" t="s">
        <v>6038</v>
      </c>
      <c r="R1921" s="6"/>
    </row>
    <row r="1922" spans="1:18">
      <c r="A1922" s="71">
        <v>27</v>
      </c>
      <c r="B1922" s="2" t="s">
        <v>6012</v>
      </c>
      <c r="C1922" s="71">
        <v>84</v>
      </c>
      <c r="D1922" s="2" t="s">
        <v>9839</v>
      </c>
      <c r="E1922" s="74">
        <v>0</v>
      </c>
      <c r="F1922" s="71">
        <v>2</v>
      </c>
      <c r="G1922" s="2" t="s">
        <v>6090</v>
      </c>
      <c r="H1922" s="73" t="s">
        <v>9844</v>
      </c>
      <c r="I1922" s="100" t="s">
        <v>9845</v>
      </c>
      <c r="J1922" s="2" t="s">
        <v>24</v>
      </c>
      <c r="K1922" s="2" t="s">
        <v>23</v>
      </c>
      <c r="M1922" s="2" t="s">
        <v>24</v>
      </c>
      <c r="N1922" s="2" t="s">
        <v>23</v>
      </c>
      <c r="P1922" s="51">
        <v>0</v>
      </c>
      <c r="Q1922" s="99" t="s">
        <v>8317</v>
      </c>
      <c r="R1922" s="6"/>
    </row>
    <row r="1923" spans="1:18">
      <c r="A1923" s="71">
        <v>27</v>
      </c>
      <c r="B1923" s="2" t="s">
        <v>6012</v>
      </c>
      <c r="C1923" s="71">
        <v>84</v>
      </c>
      <c r="D1923" s="2" t="s">
        <v>9839</v>
      </c>
      <c r="E1923" s="74">
        <v>0</v>
      </c>
      <c r="F1923" s="71">
        <v>3</v>
      </c>
      <c r="G1923" s="2" t="s">
        <v>485</v>
      </c>
      <c r="H1923" s="73" t="s">
        <v>9849</v>
      </c>
      <c r="I1923" s="100" t="s">
        <v>9850</v>
      </c>
      <c r="J1923" s="2" t="s">
        <v>24</v>
      </c>
      <c r="K1923" s="2" t="s">
        <v>49</v>
      </c>
      <c r="M1923" s="2" t="s">
        <v>24</v>
      </c>
      <c r="N1923" s="2" t="s">
        <v>49</v>
      </c>
      <c r="P1923" s="51">
        <v>0</v>
      </c>
      <c r="Q1923" s="99" t="s">
        <v>2298</v>
      </c>
      <c r="R1923" s="6"/>
    </row>
    <row r="1924" spans="1:18" ht="30">
      <c r="A1924" s="71">
        <v>27</v>
      </c>
      <c r="B1924" s="2" t="s">
        <v>6012</v>
      </c>
      <c r="C1924" s="71">
        <v>84</v>
      </c>
      <c r="D1924" s="2" t="s">
        <v>9839</v>
      </c>
      <c r="E1924" s="74">
        <v>0</v>
      </c>
      <c r="F1924" s="71">
        <v>4</v>
      </c>
      <c r="G1924" s="2" t="s">
        <v>9847</v>
      </c>
      <c r="H1924" s="73" t="s">
        <v>9851</v>
      </c>
      <c r="I1924" s="100" t="s">
        <v>9852</v>
      </c>
      <c r="J1924" s="2" t="s">
        <v>24</v>
      </c>
      <c r="K1924" s="2" t="s">
        <v>25</v>
      </c>
      <c r="L1924" s="2" t="s">
        <v>9853</v>
      </c>
      <c r="M1924" s="2" t="s">
        <v>24</v>
      </c>
      <c r="N1924" s="2" t="s">
        <v>25</v>
      </c>
      <c r="O1924" s="2" t="s">
        <v>9853</v>
      </c>
      <c r="P1924" s="51">
        <v>0</v>
      </c>
      <c r="Q1924" s="99" t="s">
        <v>7623</v>
      </c>
      <c r="R1924" s="6" t="s">
        <v>9848</v>
      </c>
    </row>
    <row r="1925" spans="1:18">
      <c r="A1925" s="71">
        <v>27</v>
      </c>
      <c r="B1925" s="2" t="s">
        <v>6012</v>
      </c>
      <c r="C1925" s="71">
        <v>85</v>
      </c>
      <c r="D1925" s="2" t="s">
        <v>9854</v>
      </c>
      <c r="E1925" s="74">
        <v>0</v>
      </c>
      <c r="F1925" s="71">
        <v>0</v>
      </c>
      <c r="G1925" s="2" t="s">
        <v>20</v>
      </c>
      <c r="H1925" s="73" t="s">
        <v>9856</v>
      </c>
      <c r="I1925" s="76" t="s">
        <v>9857</v>
      </c>
      <c r="J1925" s="2" t="s">
        <v>24</v>
      </c>
      <c r="K1925" s="2" t="s">
        <v>25</v>
      </c>
      <c r="L1925" s="2" t="s">
        <v>26</v>
      </c>
      <c r="M1925" s="2" t="s">
        <v>24</v>
      </c>
      <c r="N1925" s="2" t="s">
        <v>25</v>
      </c>
      <c r="O1925" s="2" t="s">
        <v>26</v>
      </c>
      <c r="P1925" s="51">
        <v>0</v>
      </c>
      <c r="Q1925" s="1" t="s">
        <v>9877</v>
      </c>
      <c r="R1925" s="6" t="s">
        <v>9855</v>
      </c>
    </row>
    <row r="1926" spans="1:18">
      <c r="A1926" s="71">
        <v>27</v>
      </c>
      <c r="B1926" s="2" t="s">
        <v>6012</v>
      </c>
      <c r="C1926" s="71">
        <v>85</v>
      </c>
      <c r="D1926" s="2" t="s">
        <v>9854</v>
      </c>
      <c r="E1926" s="74">
        <v>0</v>
      </c>
      <c r="F1926" s="71">
        <v>1</v>
      </c>
      <c r="G1926" s="2" t="s">
        <v>6035</v>
      </c>
      <c r="H1926" s="73" t="s">
        <v>9858</v>
      </c>
      <c r="I1926" s="100" t="s">
        <v>9859</v>
      </c>
      <c r="J1926" s="2" t="s">
        <v>24</v>
      </c>
      <c r="K1926" s="2" t="s">
        <v>25</v>
      </c>
      <c r="L1926" s="2" t="s">
        <v>6037</v>
      </c>
      <c r="M1926" s="2" t="s">
        <v>24</v>
      </c>
      <c r="N1926" s="2" t="s">
        <v>25</v>
      </c>
      <c r="O1926" s="2" t="s">
        <v>6037</v>
      </c>
      <c r="P1926" s="51">
        <v>0</v>
      </c>
      <c r="Q1926" s="99" t="s">
        <v>6038</v>
      </c>
      <c r="R1926" s="6"/>
    </row>
    <row r="1927" spans="1:18">
      <c r="A1927" s="71">
        <v>27</v>
      </c>
      <c r="B1927" s="2" t="s">
        <v>6012</v>
      </c>
      <c r="C1927" s="71">
        <v>85</v>
      </c>
      <c r="D1927" s="2" t="s">
        <v>9854</v>
      </c>
      <c r="E1927" s="74">
        <v>0</v>
      </c>
      <c r="F1927" s="71">
        <v>2</v>
      </c>
      <c r="G1927" s="2" t="s">
        <v>6090</v>
      </c>
      <c r="H1927" s="73" t="s">
        <v>9860</v>
      </c>
      <c r="I1927" s="100" t="s">
        <v>9861</v>
      </c>
      <c r="J1927" s="2" t="s">
        <v>24</v>
      </c>
      <c r="K1927" s="2" t="s">
        <v>23</v>
      </c>
      <c r="M1927" s="2" t="s">
        <v>24</v>
      </c>
      <c r="N1927" s="2" t="s">
        <v>23</v>
      </c>
      <c r="P1927" s="51">
        <v>0</v>
      </c>
      <c r="Q1927" s="99" t="s">
        <v>8317</v>
      </c>
      <c r="R1927" s="6"/>
    </row>
    <row r="1928" spans="1:18">
      <c r="A1928" s="71">
        <v>27</v>
      </c>
      <c r="B1928" s="2" t="s">
        <v>6012</v>
      </c>
      <c r="C1928" s="71">
        <v>85</v>
      </c>
      <c r="D1928" s="2" t="s">
        <v>9854</v>
      </c>
      <c r="E1928" s="74">
        <v>0</v>
      </c>
      <c r="F1928" s="71">
        <v>3</v>
      </c>
      <c r="G1928" s="2" t="s">
        <v>6660</v>
      </c>
      <c r="H1928" s="73" t="s">
        <v>9862</v>
      </c>
      <c r="I1928" s="100" t="s">
        <v>9863</v>
      </c>
      <c r="J1928" s="2" t="s">
        <v>24</v>
      </c>
      <c r="K1928" s="2" t="s">
        <v>133</v>
      </c>
      <c r="M1928" s="2" t="s">
        <v>24</v>
      </c>
      <c r="N1928" s="2" t="s">
        <v>133</v>
      </c>
      <c r="P1928" s="51">
        <v>0</v>
      </c>
      <c r="Q1928" s="99" t="s">
        <v>2308</v>
      </c>
      <c r="R1928" s="6"/>
    </row>
    <row r="1929" spans="1:18">
      <c r="A1929" s="71">
        <v>27</v>
      </c>
      <c r="B1929" s="2" t="s">
        <v>6012</v>
      </c>
      <c r="C1929" s="71">
        <v>85</v>
      </c>
      <c r="D1929" s="2" t="s">
        <v>9854</v>
      </c>
      <c r="E1929" s="74">
        <v>0</v>
      </c>
      <c r="F1929" s="71">
        <v>4</v>
      </c>
      <c r="G1929" s="2" t="s">
        <v>485</v>
      </c>
      <c r="H1929" s="73" t="s">
        <v>9864</v>
      </c>
      <c r="I1929" s="100" t="s">
        <v>9865</v>
      </c>
      <c r="J1929" s="2" t="s">
        <v>24</v>
      </c>
      <c r="K1929" s="2" t="s">
        <v>49</v>
      </c>
      <c r="M1929" s="2" t="s">
        <v>24</v>
      </c>
      <c r="N1929" s="2" t="s">
        <v>49</v>
      </c>
      <c r="P1929" s="51">
        <v>0</v>
      </c>
      <c r="Q1929" s="99" t="s">
        <v>7629</v>
      </c>
      <c r="R1929" s="6"/>
    </row>
    <row r="1930" spans="1:18">
      <c r="A1930" s="71">
        <v>27</v>
      </c>
      <c r="B1930" s="2" t="s">
        <v>6012</v>
      </c>
      <c r="C1930" s="71">
        <v>86</v>
      </c>
      <c r="D1930" s="2" t="s">
        <v>9866</v>
      </c>
      <c r="E1930" s="74">
        <v>0</v>
      </c>
      <c r="F1930" s="71">
        <v>0</v>
      </c>
      <c r="G1930" s="2" t="s">
        <v>20</v>
      </c>
      <c r="H1930" s="73" t="s">
        <v>9883</v>
      </c>
      <c r="I1930" s="76" t="s">
        <v>9884</v>
      </c>
      <c r="J1930" s="2" t="s">
        <v>24</v>
      </c>
      <c r="K1930" s="2" t="s">
        <v>25</v>
      </c>
      <c r="L1930" s="2" t="s">
        <v>26</v>
      </c>
      <c r="M1930" s="2" t="s">
        <v>24</v>
      </c>
      <c r="N1930" s="2" t="s">
        <v>25</v>
      </c>
      <c r="O1930" s="2" t="s">
        <v>26</v>
      </c>
      <c r="P1930" s="51">
        <v>0</v>
      </c>
      <c r="Q1930" s="1" t="s">
        <v>9878</v>
      </c>
      <c r="R1930" s="6" t="s">
        <v>9909</v>
      </c>
    </row>
    <row r="1931" spans="1:18">
      <c r="A1931" s="71">
        <v>27</v>
      </c>
      <c r="B1931" s="2" t="s">
        <v>6012</v>
      </c>
      <c r="C1931" s="71">
        <v>86</v>
      </c>
      <c r="D1931" s="2" t="s">
        <v>9866</v>
      </c>
      <c r="E1931" s="74">
        <v>0</v>
      </c>
      <c r="F1931" s="71">
        <v>1</v>
      </c>
      <c r="G1931" s="2" t="s">
        <v>6035</v>
      </c>
      <c r="H1931" s="73" t="s">
        <v>9885</v>
      </c>
      <c r="I1931" s="100" t="s">
        <v>9886</v>
      </c>
      <c r="J1931" s="2" t="s">
        <v>24</v>
      </c>
      <c r="K1931" s="2" t="s">
        <v>25</v>
      </c>
      <c r="L1931" s="2" t="s">
        <v>6037</v>
      </c>
      <c r="M1931" s="2" t="s">
        <v>24</v>
      </c>
      <c r="N1931" s="2" t="s">
        <v>25</v>
      </c>
      <c r="O1931" s="2" t="s">
        <v>6037</v>
      </c>
      <c r="P1931" s="51">
        <v>0</v>
      </c>
      <c r="Q1931" s="99" t="s">
        <v>6038</v>
      </c>
      <c r="R1931" s="6"/>
    </row>
    <row r="1932" spans="1:18">
      <c r="A1932" s="71">
        <v>27</v>
      </c>
      <c r="B1932" s="2" t="s">
        <v>6012</v>
      </c>
      <c r="C1932" s="71">
        <v>86</v>
      </c>
      <c r="D1932" s="2" t="s">
        <v>9866</v>
      </c>
      <c r="E1932" s="74">
        <v>0</v>
      </c>
      <c r="F1932" s="71">
        <v>2</v>
      </c>
      <c r="G1932" s="2" t="s">
        <v>6090</v>
      </c>
      <c r="H1932" s="73" t="s">
        <v>9887</v>
      </c>
      <c r="I1932" s="100" t="s">
        <v>9905</v>
      </c>
      <c r="J1932" s="2" t="s">
        <v>24</v>
      </c>
      <c r="K1932" s="2" t="s">
        <v>23</v>
      </c>
      <c r="M1932" s="2" t="s">
        <v>24</v>
      </c>
      <c r="N1932" s="2" t="s">
        <v>23</v>
      </c>
      <c r="P1932" s="51">
        <v>0</v>
      </c>
      <c r="Q1932" s="99" t="s">
        <v>8317</v>
      </c>
      <c r="R1932" s="6"/>
    </row>
    <row r="1933" spans="1:18">
      <c r="A1933" s="71">
        <v>27</v>
      </c>
      <c r="B1933" s="2" t="s">
        <v>6012</v>
      </c>
      <c r="C1933" s="71">
        <v>86</v>
      </c>
      <c r="D1933" s="2" t="s">
        <v>9866</v>
      </c>
      <c r="E1933" s="74">
        <v>0</v>
      </c>
      <c r="F1933" s="71">
        <v>3</v>
      </c>
      <c r="G1933" s="2" t="s">
        <v>451</v>
      </c>
      <c r="H1933" s="73" t="s">
        <v>9889</v>
      </c>
      <c r="I1933" s="100" t="s">
        <v>10080</v>
      </c>
      <c r="J1933" s="2" t="s">
        <v>24</v>
      </c>
      <c r="K1933" s="2" t="s">
        <v>25</v>
      </c>
      <c r="L1933" s="2" t="s">
        <v>9747</v>
      </c>
      <c r="M1933" s="2" t="s">
        <v>24</v>
      </c>
      <c r="N1933" s="2" t="s">
        <v>25</v>
      </c>
      <c r="O1933" s="2" t="s">
        <v>9747</v>
      </c>
      <c r="P1933" s="51">
        <v>0</v>
      </c>
      <c r="Q1933" s="99" t="s">
        <v>454</v>
      </c>
      <c r="R1933" s="6"/>
    </row>
    <row r="1934" spans="1:18">
      <c r="A1934" s="71">
        <v>27</v>
      </c>
      <c r="B1934" s="2" t="s">
        <v>6012</v>
      </c>
      <c r="C1934" s="71">
        <v>86</v>
      </c>
      <c r="D1934" s="2" t="s">
        <v>9866</v>
      </c>
      <c r="E1934" s="74">
        <v>0</v>
      </c>
      <c r="F1934" s="71">
        <v>4</v>
      </c>
      <c r="G1934" s="2" t="s">
        <v>10073</v>
      </c>
      <c r="H1934" s="73" t="s">
        <v>9891</v>
      </c>
      <c r="I1934" s="100" t="s">
        <v>10082</v>
      </c>
      <c r="J1934" s="2" t="s">
        <v>24</v>
      </c>
      <c r="K1934" s="2" t="s">
        <v>25</v>
      </c>
      <c r="L1934" s="2" t="s">
        <v>10074</v>
      </c>
      <c r="M1934" s="2" t="s">
        <v>24</v>
      </c>
      <c r="N1934" s="2" t="s">
        <v>25</v>
      </c>
      <c r="O1934" s="2" t="s">
        <v>10074</v>
      </c>
      <c r="P1934" s="51">
        <v>0</v>
      </c>
      <c r="Q1934" s="99" t="s">
        <v>10075</v>
      </c>
      <c r="R1934" s="6"/>
    </row>
    <row r="1935" spans="1:18">
      <c r="A1935" s="71">
        <v>27</v>
      </c>
      <c r="B1935" s="2" t="s">
        <v>6012</v>
      </c>
      <c r="C1935" s="71">
        <v>86</v>
      </c>
      <c r="D1935" s="2" t="s">
        <v>9866</v>
      </c>
      <c r="E1935" s="74">
        <v>0</v>
      </c>
      <c r="F1935" s="71">
        <v>5</v>
      </c>
      <c r="G1935" s="2" t="s">
        <v>6660</v>
      </c>
      <c r="H1935" s="73" t="s">
        <v>9893</v>
      </c>
      <c r="I1935" s="100" t="s">
        <v>9888</v>
      </c>
      <c r="J1935" s="2" t="s">
        <v>24</v>
      </c>
      <c r="K1935" s="2" t="s">
        <v>133</v>
      </c>
      <c r="M1935" s="2" t="s">
        <v>24</v>
      </c>
      <c r="N1935" s="2" t="s">
        <v>133</v>
      </c>
      <c r="P1935" s="51">
        <v>0</v>
      </c>
      <c r="Q1935" s="99" t="s">
        <v>8746</v>
      </c>
      <c r="R1935" s="6"/>
    </row>
    <row r="1936" spans="1:18">
      <c r="A1936" s="71">
        <v>27</v>
      </c>
      <c r="B1936" s="2" t="s">
        <v>6012</v>
      </c>
      <c r="C1936" s="71">
        <v>86</v>
      </c>
      <c r="D1936" s="2" t="s">
        <v>9866</v>
      </c>
      <c r="E1936" s="74">
        <v>0</v>
      </c>
      <c r="F1936" s="71">
        <v>6</v>
      </c>
      <c r="G1936" s="2" t="s">
        <v>6860</v>
      </c>
      <c r="H1936" s="73" t="s">
        <v>9895</v>
      </c>
      <c r="I1936" s="100" t="s">
        <v>9890</v>
      </c>
      <c r="J1936" s="2" t="s">
        <v>24</v>
      </c>
      <c r="K1936" s="2" t="s">
        <v>263</v>
      </c>
      <c r="M1936" s="2" t="s">
        <v>24</v>
      </c>
      <c r="N1936" s="2" t="s">
        <v>263</v>
      </c>
      <c r="P1936" s="51">
        <v>0</v>
      </c>
      <c r="Q1936" s="99" t="s">
        <v>8748</v>
      </c>
      <c r="R1936" s="6"/>
    </row>
    <row r="1937" spans="1:18">
      <c r="A1937" s="71">
        <v>27</v>
      </c>
      <c r="B1937" s="2" t="s">
        <v>6012</v>
      </c>
      <c r="C1937" s="71">
        <v>86</v>
      </c>
      <c r="D1937" s="2" t="s">
        <v>9866</v>
      </c>
      <c r="E1937" s="74">
        <v>0</v>
      </c>
      <c r="F1937" s="71">
        <v>7</v>
      </c>
      <c r="G1937" s="2" t="s">
        <v>8443</v>
      </c>
      <c r="H1937" s="73" t="s">
        <v>9897</v>
      </c>
      <c r="I1937" s="100" t="s">
        <v>9892</v>
      </c>
      <c r="J1937" s="2" t="s">
        <v>24</v>
      </c>
      <c r="K1937" s="2" t="s">
        <v>23</v>
      </c>
      <c r="M1937" s="2" t="s">
        <v>24</v>
      </c>
      <c r="N1937" s="2" t="s">
        <v>23</v>
      </c>
      <c r="P1937" s="51">
        <v>0</v>
      </c>
      <c r="Q1937" s="99" t="s">
        <v>8751</v>
      </c>
      <c r="R1937" s="6" t="s">
        <v>9879</v>
      </c>
    </row>
    <row r="1938" spans="1:18">
      <c r="A1938" s="71">
        <v>27</v>
      </c>
      <c r="B1938" s="2" t="s">
        <v>6012</v>
      </c>
      <c r="C1938" s="71">
        <v>86</v>
      </c>
      <c r="D1938" s="2" t="s">
        <v>9866</v>
      </c>
      <c r="E1938" s="74">
        <v>0</v>
      </c>
      <c r="F1938" s="71">
        <v>8</v>
      </c>
      <c r="G1938" s="2" t="s">
        <v>9881</v>
      </c>
      <c r="H1938" s="73" t="s">
        <v>9899</v>
      </c>
      <c r="I1938" s="100" t="s">
        <v>9894</v>
      </c>
      <c r="J1938" s="2" t="s">
        <v>24</v>
      </c>
      <c r="K1938" s="2" t="s">
        <v>25</v>
      </c>
      <c r="M1938" s="2" t="s">
        <v>24</v>
      </c>
      <c r="N1938" s="2" t="s">
        <v>25</v>
      </c>
      <c r="P1938" s="51">
        <v>0</v>
      </c>
      <c r="Q1938" s="99" t="s">
        <v>9901</v>
      </c>
      <c r="R1938" s="6"/>
    </row>
    <row r="1939" spans="1:18">
      <c r="A1939" s="71">
        <v>27</v>
      </c>
      <c r="B1939" s="2" t="s">
        <v>6012</v>
      </c>
      <c r="C1939" s="71">
        <v>86</v>
      </c>
      <c r="D1939" s="2" t="s">
        <v>9866</v>
      </c>
      <c r="E1939" s="74">
        <v>0</v>
      </c>
      <c r="F1939" s="71">
        <v>9</v>
      </c>
      <c r="G1939" s="2" t="s">
        <v>9882</v>
      </c>
      <c r="H1939" s="73" t="s">
        <v>9906</v>
      </c>
      <c r="I1939" s="100" t="s">
        <v>9896</v>
      </c>
      <c r="J1939" s="2" t="s">
        <v>24</v>
      </c>
      <c r="K1939" s="2" t="s">
        <v>25</v>
      </c>
      <c r="M1939" s="2" t="s">
        <v>24</v>
      </c>
      <c r="N1939" s="2" t="s">
        <v>25</v>
      </c>
      <c r="P1939" s="51">
        <v>0</v>
      </c>
      <c r="Q1939" s="99" t="s">
        <v>9902</v>
      </c>
      <c r="R1939" s="6"/>
    </row>
    <row r="1940" spans="1:18">
      <c r="A1940" s="71">
        <v>27</v>
      </c>
      <c r="B1940" s="2" t="s">
        <v>6012</v>
      </c>
      <c r="C1940" s="71">
        <v>86</v>
      </c>
      <c r="D1940" s="2" t="s">
        <v>9866</v>
      </c>
      <c r="E1940" s="74">
        <v>0</v>
      </c>
      <c r="F1940" s="71">
        <v>10</v>
      </c>
      <c r="G1940" s="2" t="s">
        <v>8451</v>
      </c>
      <c r="H1940" s="73" t="s">
        <v>10089</v>
      </c>
      <c r="I1940" s="100" t="s">
        <v>9898</v>
      </c>
      <c r="J1940" s="2" t="s">
        <v>24</v>
      </c>
      <c r="K1940" s="2" t="s">
        <v>25</v>
      </c>
      <c r="M1940" s="2" t="s">
        <v>24</v>
      </c>
      <c r="N1940" s="2" t="s">
        <v>25</v>
      </c>
      <c r="P1940" s="51">
        <v>0</v>
      </c>
      <c r="Q1940" s="99" t="s">
        <v>9903</v>
      </c>
      <c r="R1940" s="6"/>
    </row>
    <row r="1941" spans="1:18">
      <c r="A1941" s="71">
        <v>27</v>
      </c>
      <c r="B1941" s="2" t="s">
        <v>6012</v>
      </c>
      <c r="C1941" s="71">
        <v>86</v>
      </c>
      <c r="D1941" s="2" t="s">
        <v>9866</v>
      </c>
      <c r="E1941" s="74">
        <v>0</v>
      </c>
      <c r="F1941" s="71">
        <v>11</v>
      </c>
      <c r="G1941" s="2" t="s">
        <v>9880</v>
      </c>
      <c r="H1941" s="73" t="s">
        <v>10090</v>
      </c>
      <c r="I1941" s="100" t="s">
        <v>9900</v>
      </c>
      <c r="J1941" s="2" t="s">
        <v>24</v>
      </c>
      <c r="K1941" s="2" t="s">
        <v>25</v>
      </c>
      <c r="M1941" s="2" t="s">
        <v>24</v>
      </c>
      <c r="N1941" s="2" t="s">
        <v>25</v>
      </c>
      <c r="P1941" s="51">
        <v>0</v>
      </c>
      <c r="Q1941" s="99" t="s">
        <v>9904</v>
      </c>
      <c r="R1941" s="6"/>
    </row>
    <row r="1942" spans="1:18">
      <c r="A1942" s="71">
        <v>27</v>
      </c>
      <c r="B1942" s="2" t="s">
        <v>6012</v>
      </c>
      <c r="C1942" s="71">
        <v>87</v>
      </c>
      <c r="D1942" s="2" t="s">
        <v>9907</v>
      </c>
      <c r="E1942" s="74">
        <v>0</v>
      </c>
      <c r="F1942" s="71">
        <v>0</v>
      </c>
      <c r="G1942" s="2" t="s">
        <v>20</v>
      </c>
      <c r="H1942" s="73" t="s">
        <v>9917</v>
      </c>
      <c r="I1942" s="76" t="s">
        <v>9918</v>
      </c>
      <c r="J1942" s="2" t="s">
        <v>24</v>
      </c>
      <c r="K1942" s="2" t="s">
        <v>25</v>
      </c>
      <c r="L1942" s="2" t="s">
        <v>26</v>
      </c>
      <c r="M1942" s="2" t="s">
        <v>24</v>
      </c>
      <c r="N1942" s="2" t="s">
        <v>25</v>
      </c>
      <c r="O1942" s="2" t="s">
        <v>26</v>
      </c>
      <c r="P1942" s="51">
        <v>0</v>
      </c>
      <c r="Q1942" s="1" t="s">
        <v>9911</v>
      </c>
      <c r="R1942" s="6" t="s">
        <v>9910</v>
      </c>
    </row>
    <row r="1943" spans="1:18">
      <c r="A1943" s="71">
        <v>27</v>
      </c>
      <c r="B1943" s="2" t="s">
        <v>6012</v>
      </c>
      <c r="C1943" s="71">
        <v>87</v>
      </c>
      <c r="D1943" s="2" t="s">
        <v>9907</v>
      </c>
      <c r="E1943" s="74">
        <v>0</v>
      </c>
      <c r="F1943" s="71">
        <v>1</v>
      </c>
      <c r="G1943" s="2" t="s">
        <v>6035</v>
      </c>
      <c r="H1943" s="73" t="s">
        <v>9919</v>
      </c>
      <c r="I1943" s="100" t="s">
        <v>9920</v>
      </c>
      <c r="J1943" s="2" t="s">
        <v>24</v>
      </c>
      <c r="K1943" s="2" t="s">
        <v>25</v>
      </c>
      <c r="L1943" s="2" t="s">
        <v>6037</v>
      </c>
      <c r="M1943" s="2" t="s">
        <v>24</v>
      </c>
      <c r="N1943" s="2" t="s">
        <v>25</v>
      </c>
      <c r="O1943" s="2" t="s">
        <v>6037</v>
      </c>
      <c r="P1943" s="51">
        <v>0</v>
      </c>
      <c r="Q1943" s="99" t="s">
        <v>6038</v>
      </c>
      <c r="R1943" s="6"/>
    </row>
    <row r="1944" spans="1:18">
      <c r="A1944" s="71">
        <v>27</v>
      </c>
      <c r="B1944" s="2" t="s">
        <v>6012</v>
      </c>
      <c r="C1944" s="71">
        <v>87</v>
      </c>
      <c r="D1944" s="2" t="s">
        <v>9907</v>
      </c>
      <c r="E1944" s="74">
        <v>0</v>
      </c>
      <c r="F1944" s="71">
        <v>2</v>
      </c>
      <c r="G1944" s="2" t="s">
        <v>6090</v>
      </c>
      <c r="H1944" s="73" t="s">
        <v>9921</v>
      </c>
      <c r="I1944" s="100" t="s">
        <v>9922</v>
      </c>
      <c r="J1944" s="2" t="s">
        <v>24</v>
      </c>
      <c r="K1944" s="2" t="s">
        <v>23</v>
      </c>
      <c r="M1944" s="2" t="s">
        <v>24</v>
      </c>
      <c r="N1944" s="2" t="s">
        <v>23</v>
      </c>
      <c r="P1944" s="51">
        <v>0</v>
      </c>
      <c r="Q1944" s="99" t="s">
        <v>8317</v>
      </c>
      <c r="R1944" s="6"/>
    </row>
    <row r="1945" spans="1:18">
      <c r="A1945" s="71">
        <v>27</v>
      </c>
      <c r="B1945" s="2" t="s">
        <v>6012</v>
      </c>
      <c r="C1945" s="71">
        <v>87</v>
      </c>
      <c r="D1945" s="2" t="s">
        <v>9907</v>
      </c>
      <c r="E1945" s="74">
        <v>0</v>
      </c>
      <c r="F1945" s="71">
        <v>3</v>
      </c>
      <c r="G1945" s="2" t="s">
        <v>451</v>
      </c>
      <c r="H1945" s="73" t="s">
        <v>9923</v>
      </c>
      <c r="I1945" s="100" t="s">
        <v>10091</v>
      </c>
      <c r="J1945" s="2" t="s">
        <v>24</v>
      </c>
      <c r="K1945" s="2" t="s">
        <v>25</v>
      </c>
      <c r="L1945" s="2" t="s">
        <v>9747</v>
      </c>
      <c r="M1945" s="2" t="s">
        <v>24</v>
      </c>
      <c r="N1945" s="2" t="s">
        <v>25</v>
      </c>
      <c r="O1945" s="2" t="s">
        <v>9747</v>
      </c>
      <c r="P1945" s="51">
        <v>0</v>
      </c>
      <c r="Q1945" s="99" t="s">
        <v>454</v>
      </c>
      <c r="R1945" s="6"/>
    </row>
    <row r="1946" spans="1:18">
      <c r="A1946" s="71">
        <v>27</v>
      </c>
      <c r="B1946" s="2" t="s">
        <v>6012</v>
      </c>
      <c r="C1946" s="71">
        <v>87</v>
      </c>
      <c r="D1946" s="2" t="s">
        <v>9907</v>
      </c>
      <c r="E1946" s="74">
        <v>0</v>
      </c>
      <c r="F1946" s="71">
        <v>4</v>
      </c>
      <c r="G1946" s="2" t="s">
        <v>10073</v>
      </c>
      <c r="H1946" s="73" t="s">
        <v>9925</v>
      </c>
      <c r="I1946" s="100" t="s">
        <v>10092</v>
      </c>
      <c r="J1946" s="2" t="s">
        <v>24</v>
      </c>
      <c r="K1946" s="2" t="s">
        <v>25</v>
      </c>
      <c r="L1946" s="2" t="s">
        <v>10074</v>
      </c>
      <c r="M1946" s="2" t="s">
        <v>24</v>
      </c>
      <c r="N1946" s="2" t="s">
        <v>25</v>
      </c>
      <c r="O1946" s="2" t="s">
        <v>10074</v>
      </c>
      <c r="P1946" s="51">
        <v>0</v>
      </c>
      <c r="Q1946" s="99" t="s">
        <v>10075</v>
      </c>
      <c r="R1946" s="6"/>
    </row>
    <row r="1947" spans="1:18">
      <c r="A1947" s="71">
        <v>27</v>
      </c>
      <c r="B1947" s="2" t="s">
        <v>6012</v>
      </c>
      <c r="C1947" s="71">
        <v>87</v>
      </c>
      <c r="D1947" s="2" t="s">
        <v>9907</v>
      </c>
      <c r="E1947" s="74">
        <v>0</v>
      </c>
      <c r="F1947" s="71">
        <v>5</v>
      </c>
      <c r="G1947" s="2" t="s">
        <v>9912</v>
      </c>
      <c r="H1947" s="73" t="s">
        <v>9927</v>
      </c>
      <c r="I1947" s="100" t="s">
        <v>9924</v>
      </c>
      <c r="J1947" s="2" t="s">
        <v>24</v>
      </c>
      <c r="K1947" s="2" t="s">
        <v>133</v>
      </c>
      <c r="M1947" s="2" t="s">
        <v>24</v>
      </c>
      <c r="N1947" s="2" t="s">
        <v>133</v>
      </c>
      <c r="P1947" s="51">
        <v>0</v>
      </c>
      <c r="Q1947" s="99" t="s">
        <v>8749</v>
      </c>
      <c r="R1947" s="6"/>
    </row>
    <row r="1948" spans="1:18">
      <c r="A1948" s="71">
        <v>27</v>
      </c>
      <c r="B1948" s="2" t="s">
        <v>6012</v>
      </c>
      <c r="C1948" s="71">
        <v>87</v>
      </c>
      <c r="D1948" s="2" t="s">
        <v>9907</v>
      </c>
      <c r="E1948" s="74">
        <v>0</v>
      </c>
      <c r="F1948" s="71">
        <v>6</v>
      </c>
      <c r="G1948" s="2" t="s">
        <v>9913</v>
      </c>
      <c r="H1948" s="73" t="s">
        <v>9929</v>
      </c>
      <c r="I1948" s="100" t="s">
        <v>9926</v>
      </c>
      <c r="J1948" s="2" t="s">
        <v>24</v>
      </c>
      <c r="K1948" s="2" t="s">
        <v>263</v>
      </c>
      <c r="M1948" s="2" t="s">
        <v>24</v>
      </c>
      <c r="N1948" s="2" t="s">
        <v>263</v>
      </c>
      <c r="P1948" s="51">
        <v>0</v>
      </c>
      <c r="Q1948" s="99" t="s">
        <v>8750</v>
      </c>
      <c r="R1948" s="6"/>
    </row>
    <row r="1949" spans="1:18">
      <c r="A1949" s="71">
        <v>27</v>
      </c>
      <c r="B1949" s="2" t="s">
        <v>6012</v>
      </c>
      <c r="C1949" s="71">
        <v>87</v>
      </c>
      <c r="D1949" s="2" t="s">
        <v>9907</v>
      </c>
      <c r="E1949" s="74">
        <v>0</v>
      </c>
      <c r="F1949" s="71">
        <v>7</v>
      </c>
      <c r="G1949" s="2" t="s">
        <v>6333</v>
      </c>
      <c r="H1949" s="73" t="s">
        <v>10093</v>
      </c>
      <c r="I1949" s="100" t="s">
        <v>9928</v>
      </c>
      <c r="J1949" s="2" t="s">
        <v>24</v>
      </c>
      <c r="K1949" s="2" t="s">
        <v>263</v>
      </c>
      <c r="M1949" s="2" t="s">
        <v>24</v>
      </c>
      <c r="N1949" s="2" t="s">
        <v>263</v>
      </c>
      <c r="P1949" s="51">
        <v>0</v>
      </c>
      <c r="Q1949" s="99" t="s">
        <v>9914</v>
      </c>
      <c r="R1949" s="6"/>
    </row>
    <row r="1950" spans="1:18" ht="30">
      <c r="A1950" s="71">
        <v>27</v>
      </c>
      <c r="B1950" s="2" t="s">
        <v>6012</v>
      </c>
      <c r="C1950" s="71">
        <v>87</v>
      </c>
      <c r="D1950" s="2" t="s">
        <v>9907</v>
      </c>
      <c r="E1950" s="74">
        <v>0</v>
      </c>
      <c r="F1950" s="71">
        <v>8</v>
      </c>
      <c r="G1950" s="2" t="s">
        <v>6896</v>
      </c>
      <c r="H1950" s="73" t="s">
        <v>10094</v>
      </c>
      <c r="I1950" s="100" t="s">
        <v>9930</v>
      </c>
      <c r="J1950" s="2" t="s">
        <v>24</v>
      </c>
      <c r="K1950" s="2" t="s">
        <v>263</v>
      </c>
      <c r="M1950" s="2" t="s">
        <v>24</v>
      </c>
      <c r="N1950" s="2" t="s">
        <v>263</v>
      </c>
      <c r="P1950" s="51">
        <v>0</v>
      </c>
      <c r="Q1950" s="99" t="s">
        <v>9915</v>
      </c>
      <c r="R1950" s="6" t="s">
        <v>9916</v>
      </c>
    </row>
    <row r="1951" spans="1:18">
      <c r="A1951" s="71">
        <v>27</v>
      </c>
      <c r="B1951" s="2" t="s">
        <v>6012</v>
      </c>
      <c r="C1951" s="71">
        <v>88</v>
      </c>
      <c r="D1951" s="2" t="s">
        <v>9931</v>
      </c>
      <c r="E1951" s="74">
        <v>0</v>
      </c>
      <c r="F1951" s="71">
        <v>0</v>
      </c>
      <c r="G1951" s="2" t="s">
        <v>20</v>
      </c>
      <c r="H1951" s="73" t="s">
        <v>9934</v>
      </c>
      <c r="I1951" s="76" t="s">
        <v>9935</v>
      </c>
      <c r="J1951" s="2" t="s">
        <v>24</v>
      </c>
      <c r="K1951" s="2" t="s">
        <v>25</v>
      </c>
      <c r="L1951" s="2" t="s">
        <v>26</v>
      </c>
      <c r="M1951" s="2" t="s">
        <v>24</v>
      </c>
      <c r="N1951" s="2" t="s">
        <v>25</v>
      </c>
      <c r="O1951" s="2" t="s">
        <v>26</v>
      </c>
      <c r="P1951" s="51">
        <v>0</v>
      </c>
      <c r="Q1951" s="1" t="s">
        <v>9933</v>
      </c>
      <c r="R1951" s="6" t="s">
        <v>9932</v>
      </c>
    </row>
    <row r="1952" spans="1:18">
      <c r="A1952" s="71">
        <v>27</v>
      </c>
      <c r="B1952" s="2" t="s">
        <v>6012</v>
      </c>
      <c r="C1952" s="71">
        <v>88</v>
      </c>
      <c r="D1952" s="2" t="s">
        <v>9931</v>
      </c>
      <c r="E1952" s="74">
        <v>0</v>
      </c>
      <c r="F1952" s="71">
        <v>1</v>
      </c>
      <c r="G1952" s="2" t="s">
        <v>6035</v>
      </c>
      <c r="H1952" s="73" t="s">
        <v>9936</v>
      </c>
      <c r="I1952" s="100" t="s">
        <v>9937</v>
      </c>
      <c r="J1952" s="2" t="s">
        <v>24</v>
      </c>
      <c r="K1952" s="2" t="s">
        <v>25</v>
      </c>
      <c r="L1952" s="2" t="s">
        <v>6037</v>
      </c>
      <c r="M1952" s="2" t="s">
        <v>24</v>
      </c>
      <c r="N1952" s="2" t="s">
        <v>25</v>
      </c>
      <c r="O1952" s="2" t="s">
        <v>6037</v>
      </c>
      <c r="P1952" s="51">
        <v>0</v>
      </c>
      <c r="Q1952" s="99" t="s">
        <v>6038</v>
      </c>
      <c r="R1952" s="6"/>
    </row>
    <row r="1953" spans="1:18">
      <c r="A1953" s="71">
        <v>27</v>
      </c>
      <c r="B1953" s="2" t="s">
        <v>6012</v>
      </c>
      <c r="C1953" s="71">
        <v>88</v>
      </c>
      <c r="D1953" s="2" t="s">
        <v>9931</v>
      </c>
      <c r="E1953" s="74">
        <v>0</v>
      </c>
      <c r="F1953" s="71">
        <v>2</v>
      </c>
      <c r="G1953" s="2" t="s">
        <v>6090</v>
      </c>
      <c r="H1953" s="73" t="s">
        <v>9938</v>
      </c>
      <c r="I1953" s="100" t="s">
        <v>9939</v>
      </c>
      <c r="J1953" s="2" t="s">
        <v>24</v>
      </c>
      <c r="K1953" s="2" t="s">
        <v>23</v>
      </c>
      <c r="M1953" s="2" t="s">
        <v>24</v>
      </c>
      <c r="N1953" s="2" t="s">
        <v>23</v>
      </c>
      <c r="P1953" s="51">
        <v>0</v>
      </c>
      <c r="Q1953" s="99" t="s">
        <v>8317</v>
      </c>
      <c r="R1953" s="6"/>
    </row>
    <row r="1954" spans="1:18">
      <c r="A1954" s="71">
        <v>27</v>
      </c>
      <c r="B1954" s="2" t="s">
        <v>6012</v>
      </c>
      <c r="C1954" s="71">
        <v>88</v>
      </c>
      <c r="D1954" s="2" t="s">
        <v>9931</v>
      </c>
      <c r="E1954" s="74">
        <v>0</v>
      </c>
      <c r="F1954" s="71">
        <v>3</v>
      </c>
      <c r="G1954" s="2" t="s">
        <v>451</v>
      </c>
      <c r="H1954" s="73" t="s">
        <v>9943</v>
      </c>
      <c r="I1954" s="100" t="s">
        <v>10095</v>
      </c>
      <c r="J1954" s="2" t="s">
        <v>24</v>
      </c>
      <c r="K1954" s="2" t="s">
        <v>25</v>
      </c>
      <c r="L1954" s="2" t="s">
        <v>9747</v>
      </c>
      <c r="M1954" s="2" t="s">
        <v>24</v>
      </c>
      <c r="N1954" s="2" t="s">
        <v>25</v>
      </c>
      <c r="O1954" s="2" t="s">
        <v>9747</v>
      </c>
      <c r="P1954" s="51">
        <v>0</v>
      </c>
      <c r="Q1954" s="99" t="s">
        <v>454</v>
      </c>
      <c r="R1954" s="6"/>
    </row>
    <row r="1955" spans="1:18">
      <c r="A1955" s="71">
        <v>27</v>
      </c>
      <c r="B1955" s="2" t="s">
        <v>6012</v>
      </c>
      <c r="C1955" s="71">
        <v>88</v>
      </c>
      <c r="D1955" s="2" t="s">
        <v>9931</v>
      </c>
      <c r="E1955" s="74">
        <v>0</v>
      </c>
      <c r="F1955" s="71">
        <v>4</v>
      </c>
      <c r="G1955" s="2" t="s">
        <v>10073</v>
      </c>
      <c r="H1955" s="73" t="s">
        <v>9945</v>
      </c>
      <c r="I1955" s="100" t="s">
        <v>10096</v>
      </c>
      <c r="J1955" s="2" t="s">
        <v>24</v>
      </c>
      <c r="K1955" s="2" t="s">
        <v>25</v>
      </c>
      <c r="L1955" s="2" t="s">
        <v>10074</v>
      </c>
      <c r="M1955" s="2" t="s">
        <v>24</v>
      </c>
      <c r="N1955" s="2" t="s">
        <v>25</v>
      </c>
      <c r="O1955" s="2" t="s">
        <v>10074</v>
      </c>
      <c r="P1955" s="51">
        <v>0</v>
      </c>
      <c r="Q1955" s="99" t="s">
        <v>10075</v>
      </c>
      <c r="R1955" s="6"/>
    </row>
    <row r="1956" spans="1:18" ht="30">
      <c r="A1956" s="71">
        <v>27</v>
      </c>
      <c r="B1956" s="2" t="s">
        <v>6012</v>
      </c>
      <c r="C1956" s="71">
        <v>88</v>
      </c>
      <c r="D1956" s="2" t="s">
        <v>9931</v>
      </c>
      <c r="E1956" s="74">
        <v>0</v>
      </c>
      <c r="F1956" s="71">
        <v>5</v>
      </c>
      <c r="G1956" s="2" t="s">
        <v>9940</v>
      </c>
      <c r="H1956" s="73" t="s">
        <v>9958</v>
      </c>
      <c r="I1956" s="100" t="s">
        <v>9944</v>
      </c>
      <c r="J1956" s="2" t="s">
        <v>24</v>
      </c>
      <c r="K1956" s="2" t="s">
        <v>25</v>
      </c>
      <c r="L1956" s="2" t="s">
        <v>9941</v>
      </c>
      <c r="M1956" s="2" t="s">
        <v>24</v>
      </c>
      <c r="N1956" s="2" t="s">
        <v>25</v>
      </c>
      <c r="O1956" s="2" t="s">
        <v>9941</v>
      </c>
      <c r="P1956" s="51">
        <v>0</v>
      </c>
      <c r="Q1956" s="99" t="s">
        <v>8811</v>
      </c>
      <c r="R1956" s="6" t="s">
        <v>9942</v>
      </c>
    </row>
    <row r="1957" spans="1:18" ht="90">
      <c r="A1957" s="71">
        <v>27</v>
      </c>
      <c r="B1957" s="2" t="s">
        <v>6012</v>
      </c>
      <c r="C1957" s="71">
        <v>88</v>
      </c>
      <c r="D1957" s="2" t="s">
        <v>9931</v>
      </c>
      <c r="E1957" s="74">
        <v>0</v>
      </c>
      <c r="F1957" s="71">
        <v>6</v>
      </c>
      <c r="G1957" s="2" t="s">
        <v>8477</v>
      </c>
      <c r="H1957" s="73" t="s">
        <v>9960</v>
      </c>
      <c r="I1957" s="100" t="s">
        <v>9946</v>
      </c>
      <c r="J1957" s="2" t="s">
        <v>24</v>
      </c>
      <c r="K1957" s="2" t="s">
        <v>116</v>
      </c>
      <c r="L1957" s="16" t="s">
        <v>10054</v>
      </c>
      <c r="M1957" s="2" t="s">
        <v>24</v>
      </c>
      <c r="N1957" s="2" t="s">
        <v>116</v>
      </c>
      <c r="O1957" s="16" t="s">
        <v>10054</v>
      </c>
      <c r="P1957" s="51">
        <v>0</v>
      </c>
      <c r="Q1957" s="99" t="s">
        <v>8808</v>
      </c>
      <c r="R1957" s="6" t="s">
        <v>9947</v>
      </c>
    </row>
    <row r="1958" spans="1:18">
      <c r="A1958" s="71">
        <v>27</v>
      </c>
      <c r="B1958" s="2" t="s">
        <v>6012</v>
      </c>
      <c r="C1958" s="71">
        <v>88</v>
      </c>
      <c r="D1958" s="2" t="s">
        <v>9931</v>
      </c>
      <c r="E1958" s="74">
        <v>0</v>
      </c>
      <c r="F1958" s="71">
        <v>7</v>
      </c>
      <c r="G1958" s="2" t="s">
        <v>9948</v>
      </c>
      <c r="H1958" s="73" t="s">
        <v>9962</v>
      </c>
      <c r="I1958" s="100" t="s">
        <v>9959</v>
      </c>
      <c r="J1958" s="2" t="s">
        <v>24</v>
      </c>
      <c r="K1958" s="2" t="s">
        <v>335</v>
      </c>
      <c r="M1958" s="2" t="s">
        <v>24</v>
      </c>
      <c r="N1958" s="2" t="s">
        <v>335</v>
      </c>
      <c r="P1958" s="51">
        <v>0</v>
      </c>
      <c r="Q1958" s="99" t="s">
        <v>9949</v>
      </c>
      <c r="R1958" s="6"/>
    </row>
    <row r="1959" spans="1:18">
      <c r="A1959" s="71">
        <v>27</v>
      </c>
      <c r="B1959" s="2" t="s">
        <v>6012</v>
      </c>
      <c r="C1959" s="71">
        <v>88</v>
      </c>
      <c r="D1959" s="2" t="s">
        <v>9931</v>
      </c>
      <c r="E1959" s="74">
        <v>0</v>
      </c>
      <c r="F1959" s="71">
        <v>8</v>
      </c>
      <c r="G1959" s="2" t="s">
        <v>9950</v>
      </c>
      <c r="H1959" s="73" t="s">
        <v>9964</v>
      </c>
      <c r="I1959" s="100" t="s">
        <v>9961</v>
      </c>
      <c r="J1959" s="2" t="s">
        <v>24</v>
      </c>
      <c r="K1959" s="2" t="s">
        <v>335</v>
      </c>
      <c r="M1959" s="2" t="s">
        <v>24</v>
      </c>
      <c r="N1959" s="2" t="s">
        <v>335</v>
      </c>
      <c r="P1959" s="51">
        <v>0</v>
      </c>
      <c r="Q1959" s="99" t="s">
        <v>9951</v>
      </c>
      <c r="R1959" s="6" t="s">
        <v>9952</v>
      </c>
    </row>
    <row r="1960" spans="1:18">
      <c r="A1960" s="71">
        <v>27</v>
      </c>
      <c r="B1960" s="2" t="s">
        <v>6012</v>
      </c>
      <c r="C1960" s="71">
        <v>88</v>
      </c>
      <c r="D1960" s="2" t="s">
        <v>9931</v>
      </c>
      <c r="E1960" s="74">
        <v>0</v>
      </c>
      <c r="F1960" s="71">
        <v>9</v>
      </c>
      <c r="G1960" s="2" t="s">
        <v>9953</v>
      </c>
      <c r="H1960" s="73" t="s">
        <v>10097</v>
      </c>
      <c r="I1960" s="100" t="s">
        <v>9963</v>
      </c>
      <c r="J1960" s="2" t="s">
        <v>24</v>
      </c>
      <c r="K1960" s="2" t="s">
        <v>206</v>
      </c>
      <c r="M1960" s="2" t="s">
        <v>24</v>
      </c>
      <c r="N1960" s="2" t="s">
        <v>206</v>
      </c>
      <c r="P1960" s="51">
        <v>0</v>
      </c>
      <c r="Q1960" s="99" t="s">
        <v>9954</v>
      </c>
      <c r="R1960" s="6"/>
    </row>
    <row r="1961" spans="1:18">
      <c r="A1961" s="71">
        <v>27</v>
      </c>
      <c r="B1961" s="2" t="s">
        <v>6012</v>
      </c>
      <c r="C1961" s="71">
        <v>88</v>
      </c>
      <c r="D1961" s="2" t="s">
        <v>9931</v>
      </c>
      <c r="E1961" s="74">
        <v>0</v>
      </c>
      <c r="F1961" s="71">
        <v>10</v>
      </c>
      <c r="G1961" s="2" t="s">
        <v>9955</v>
      </c>
      <c r="H1961" s="73" t="s">
        <v>10098</v>
      </c>
      <c r="I1961" s="100" t="s">
        <v>9965</v>
      </c>
      <c r="J1961" s="2" t="s">
        <v>24</v>
      </c>
      <c r="K1961" s="2" t="s">
        <v>23</v>
      </c>
      <c r="M1961" s="2" t="s">
        <v>24</v>
      </c>
      <c r="N1961" s="2" t="s">
        <v>23</v>
      </c>
      <c r="P1961" s="51">
        <v>0</v>
      </c>
      <c r="Q1961" s="99" t="s">
        <v>9956</v>
      </c>
      <c r="R1961" s="6" t="s">
        <v>9957</v>
      </c>
    </row>
    <row r="1962" spans="1:18">
      <c r="A1962" s="71">
        <v>27</v>
      </c>
      <c r="B1962" s="2" t="s">
        <v>6012</v>
      </c>
      <c r="C1962" s="71">
        <v>89</v>
      </c>
      <c r="D1962" s="2" t="s">
        <v>9966</v>
      </c>
      <c r="E1962" s="74">
        <v>0</v>
      </c>
      <c r="F1962" s="71">
        <v>0</v>
      </c>
      <c r="G1962" s="2" t="s">
        <v>20</v>
      </c>
      <c r="H1962" s="73" t="s">
        <v>9969</v>
      </c>
      <c r="I1962" s="76" t="s">
        <v>9970</v>
      </c>
      <c r="J1962" s="2" t="s">
        <v>24</v>
      </c>
      <c r="K1962" s="2" t="s">
        <v>25</v>
      </c>
      <c r="L1962" s="2" t="s">
        <v>26</v>
      </c>
      <c r="M1962" s="2" t="s">
        <v>24</v>
      </c>
      <c r="N1962" s="2" t="s">
        <v>25</v>
      </c>
      <c r="O1962" s="2" t="s">
        <v>26</v>
      </c>
      <c r="P1962" s="51">
        <v>0</v>
      </c>
      <c r="Q1962" s="1" t="s">
        <v>9968</v>
      </c>
      <c r="R1962" s="6" t="s">
        <v>9967</v>
      </c>
    </row>
    <row r="1963" spans="1:18">
      <c r="A1963" s="71">
        <v>27</v>
      </c>
      <c r="B1963" s="2" t="s">
        <v>6012</v>
      </c>
      <c r="C1963" s="71">
        <v>89</v>
      </c>
      <c r="D1963" s="2" t="s">
        <v>9966</v>
      </c>
      <c r="E1963" s="74">
        <v>0</v>
      </c>
      <c r="F1963" s="71">
        <v>1</v>
      </c>
      <c r="G1963" s="2" t="s">
        <v>6035</v>
      </c>
      <c r="H1963" s="73" t="s">
        <v>9971</v>
      </c>
      <c r="I1963" s="100" t="s">
        <v>9972</v>
      </c>
      <c r="J1963" s="2" t="s">
        <v>24</v>
      </c>
      <c r="K1963" s="2" t="s">
        <v>25</v>
      </c>
      <c r="L1963" s="2" t="s">
        <v>6037</v>
      </c>
      <c r="M1963" s="2" t="s">
        <v>24</v>
      </c>
      <c r="N1963" s="2" t="s">
        <v>25</v>
      </c>
      <c r="O1963" s="2" t="s">
        <v>6037</v>
      </c>
      <c r="P1963" s="51">
        <v>0</v>
      </c>
      <c r="Q1963" s="99" t="s">
        <v>6038</v>
      </c>
      <c r="R1963" s="6"/>
    </row>
    <row r="1964" spans="1:18">
      <c r="A1964" s="71">
        <v>27</v>
      </c>
      <c r="B1964" s="2" t="s">
        <v>6012</v>
      </c>
      <c r="C1964" s="71">
        <v>89</v>
      </c>
      <c r="D1964" s="2" t="s">
        <v>9966</v>
      </c>
      <c r="E1964" s="74">
        <v>0</v>
      </c>
      <c r="F1964" s="71">
        <v>2</v>
      </c>
      <c r="G1964" s="2" t="s">
        <v>6090</v>
      </c>
      <c r="H1964" s="73" t="s">
        <v>9973</v>
      </c>
      <c r="I1964" s="100" t="s">
        <v>9974</v>
      </c>
      <c r="J1964" s="2" t="s">
        <v>24</v>
      </c>
      <c r="K1964" s="2" t="s">
        <v>23</v>
      </c>
      <c r="M1964" s="2" t="s">
        <v>24</v>
      </c>
      <c r="N1964" s="2" t="s">
        <v>23</v>
      </c>
      <c r="P1964" s="51">
        <v>0</v>
      </c>
      <c r="Q1964" s="99" t="s">
        <v>8317</v>
      </c>
      <c r="R1964" s="6"/>
    </row>
    <row r="1965" spans="1:18">
      <c r="A1965" s="71">
        <v>27</v>
      </c>
      <c r="B1965" s="2" t="s">
        <v>6012</v>
      </c>
      <c r="C1965" s="71">
        <v>89</v>
      </c>
      <c r="D1965" s="2" t="s">
        <v>9966</v>
      </c>
      <c r="E1965" s="74">
        <v>0</v>
      </c>
      <c r="F1965" s="71">
        <v>3</v>
      </c>
      <c r="G1965" s="2" t="s">
        <v>451</v>
      </c>
      <c r="H1965" s="73" t="s">
        <v>9992</v>
      </c>
      <c r="I1965" s="100" t="s">
        <v>10099</v>
      </c>
      <c r="J1965" s="2" t="s">
        <v>24</v>
      </c>
      <c r="K1965" s="2" t="s">
        <v>25</v>
      </c>
      <c r="L1965" s="2" t="s">
        <v>9747</v>
      </c>
      <c r="M1965" s="2" t="s">
        <v>24</v>
      </c>
      <c r="N1965" s="2" t="s">
        <v>25</v>
      </c>
      <c r="O1965" s="2" t="s">
        <v>9747</v>
      </c>
      <c r="P1965" s="51">
        <v>0</v>
      </c>
      <c r="Q1965" s="99" t="s">
        <v>454</v>
      </c>
      <c r="R1965" s="6"/>
    </row>
    <row r="1966" spans="1:18">
      <c r="A1966" s="71">
        <v>27</v>
      </c>
      <c r="B1966" s="2" t="s">
        <v>6012</v>
      </c>
      <c r="C1966" s="71">
        <v>89</v>
      </c>
      <c r="D1966" s="2" t="s">
        <v>9966</v>
      </c>
      <c r="E1966" s="74">
        <v>0</v>
      </c>
      <c r="F1966" s="71">
        <v>4</v>
      </c>
      <c r="G1966" s="2" t="s">
        <v>10073</v>
      </c>
      <c r="H1966" s="73" t="s">
        <v>9994</v>
      </c>
      <c r="I1966" s="100" t="s">
        <v>10100</v>
      </c>
      <c r="J1966" s="2" t="s">
        <v>24</v>
      </c>
      <c r="K1966" s="2" t="s">
        <v>25</v>
      </c>
      <c r="L1966" s="2" t="s">
        <v>10074</v>
      </c>
      <c r="M1966" s="2" t="s">
        <v>24</v>
      </c>
      <c r="N1966" s="2" t="s">
        <v>25</v>
      </c>
      <c r="O1966" s="2" t="s">
        <v>10074</v>
      </c>
      <c r="P1966" s="51">
        <v>0</v>
      </c>
      <c r="Q1966" s="99" t="s">
        <v>10075</v>
      </c>
      <c r="R1966" s="6"/>
    </row>
    <row r="1967" spans="1:18" ht="105">
      <c r="A1967" s="71">
        <v>27</v>
      </c>
      <c r="B1967" s="2" t="s">
        <v>6012</v>
      </c>
      <c r="C1967" s="71">
        <v>89</v>
      </c>
      <c r="D1967" s="2" t="s">
        <v>9966</v>
      </c>
      <c r="E1967" s="74">
        <v>0</v>
      </c>
      <c r="F1967" s="71">
        <v>5</v>
      </c>
      <c r="G1967" s="2" t="s">
        <v>9975</v>
      </c>
      <c r="H1967" s="73" t="s">
        <v>9996</v>
      </c>
      <c r="I1967" s="100" t="s">
        <v>9993</v>
      </c>
      <c r="J1967" s="2" t="s">
        <v>24</v>
      </c>
      <c r="K1967" s="2" t="s">
        <v>116</v>
      </c>
      <c r="L1967" s="16" t="s">
        <v>10060</v>
      </c>
      <c r="M1967" s="2" t="s">
        <v>24</v>
      </c>
      <c r="N1967" s="2" t="s">
        <v>116</v>
      </c>
      <c r="O1967" s="16" t="s">
        <v>10060</v>
      </c>
      <c r="P1967" s="51">
        <v>0</v>
      </c>
      <c r="Q1967" s="99" t="s">
        <v>9976</v>
      </c>
      <c r="R1967" s="6" t="s">
        <v>9977</v>
      </c>
    </row>
    <row r="1968" spans="1:18" ht="30">
      <c r="A1968" s="71">
        <v>27</v>
      </c>
      <c r="B1968" s="2" t="s">
        <v>6012</v>
      </c>
      <c r="C1968" s="71">
        <v>89</v>
      </c>
      <c r="D1968" s="2" t="s">
        <v>9966</v>
      </c>
      <c r="E1968" s="74">
        <v>0</v>
      </c>
      <c r="F1968" s="71">
        <v>6</v>
      </c>
      <c r="G1968" s="2" t="s">
        <v>9978</v>
      </c>
      <c r="H1968" s="73" t="s">
        <v>9998</v>
      </c>
      <c r="I1968" s="100" t="s">
        <v>9995</v>
      </c>
      <c r="J1968" s="2" t="s">
        <v>24</v>
      </c>
      <c r="K1968" s="2" t="s">
        <v>25</v>
      </c>
      <c r="M1968" s="2" t="s">
        <v>24</v>
      </c>
      <c r="N1968" s="2" t="s">
        <v>25</v>
      </c>
      <c r="P1968" s="51">
        <v>0</v>
      </c>
      <c r="Q1968" s="99" t="s">
        <v>9979</v>
      </c>
      <c r="R1968" s="6" t="s">
        <v>9980</v>
      </c>
    </row>
    <row r="1969" spans="1:18" ht="30">
      <c r="A1969" s="71">
        <v>27</v>
      </c>
      <c r="B1969" s="2" t="s">
        <v>6012</v>
      </c>
      <c r="C1969" s="71">
        <v>89</v>
      </c>
      <c r="D1969" s="2" t="s">
        <v>9966</v>
      </c>
      <c r="E1969" s="74">
        <v>0</v>
      </c>
      <c r="F1969" s="71">
        <v>7</v>
      </c>
      <c r="G1969" s="2" t="s">
        <v>9981</v>
      </c>
      <c r="H1969" s="73" t="s">
        <v>10000</v>
      </c>
      <c r="I1969" s="100" t="s">
        <v>9997</v>
      </c>
      <c r="J1969" s="2" t="s">
        <v>24</v>
      </c>
      <c r="K1969" s="2" t="s">
        <v>25</v>
      </c>
      <c r="M1969" s="2" t="s">
        <v>24</v>
      </c>
      <c r="N1969" s="2" t="s">
        <v>25</v>
      </c>
      <c r="P1969" s="51">
        <v>0</v>
      </c>
      <c r="Q1969" s="99" t="s">
        <v>9982</v>
      </c>
      <c r="R1969" s="6" t="s">
        <v>9983</v>
      </c>
    </row>
    <row r="1970" spans="1:18" ht="30">
      <c r="A1970" s="71">
        <v>27</v>
      </c>
      <c r="B1970" s="2" t="s">
        <v>6012</v>
      </c>
      <c r="C1970" s="71">
        <v>89</v>
      </c>
      <c r="D1970" s="2" t="s">
        <v>9966</v>
      </c>
      <c r="E1970" s="74">
        <v>0</v>
      </c>
      <c r="F1970" s="71">
        <v>8</v>
      </c>
      <c r="G1970" s="2" t="s">
        <v>9984</v>
      </c>
      <c r="H1970" s="73" t="s">
        <v>10002</v>
      </c>
      <c r="I1970" s="100" t="s">
        <v>9999</v>
      </c>
      <c r="J1970" s="2" t="s">
        <v>24</v>
      </c>
      <c r="K1970" s="2" t="s">
        <v>25</v>
      </c>
      <c r="M1970" s="2" t="s">
        <v>24</v>
      </c>
      <c r="N1970" s="2" t="s">
        <v>25</v>
      </c>
      <c r="P1970" s="51">
        <v>0</v>
      </c>
      <c r="Q1970" s="99" t="s">
        <v>9985</v>
      </c>
      <c r="R1970" s="6" t="s">
        <v>9986</v>
      </c>
    </row>
    <row r="1971" spans="1:18" ht="30">
      <c r="A1971" s="71">
        <v>27</v>
      </c>
      <c r="B1971" s="2" t="s">
        <v>6012</v>
      </c>
      <c r="C1971" s="71">
        <v>89</v>
      </c>
      <c r="D1971" s="2" t="s">
        <v>9966</v>
      </c>
      <c r="E1971" s="74">
        <v>0</v>
      </c>
      <c r="F1971" s="71">
        <v>9</v>
      </c>
      <c r="G1971" s="2" t="s">
        <v>7171</v>
      </c>
      <c r="H1971" s="73" t="s">
        <v>10101</v>
      </c>
      <c r="I1971" s="100" t="s">
        <v>10001</v>
      </c>
      <c r="J1971" s="2" t="s">
        <v>24</v>
      </c>
      <c r="K1971" s="2" t="s">
        <v>25</v>
      </c>
      <c r="M1971" s="2" t="s">
        <v>24</v>
      </c>
      <c r="N1971" s="2" t="s">
        <v>25</v>
      </c>
      <c r="P1971" s="51">
        <v>0</v>
      </c>
      <c r="Q1971" s="99" t="s">
        <v>9987</v>
      </c>
      <c r="R1971" s="6" t="s">
        <v>9988</v>
      </c>
    </row>
    <row r="1972" spans="1:18" ht="75">
      <c r="A1972" s="71">
        <v>27</v>
      </c>
      <c r="B1972" s="2" t="s">
        <v>6012</v>
      </c>
      <c r="C1972" s="71">
        <v>89</v>
      </c>
      <c r="D1972" s="2" t="s">
        <v>9966</v>
      </c>
      <c r="E1972" s="74">
        <v>0</v>
      </c>
      <c r="F1972" s="71">
        <v>10</v>
      </c>
      <c r="G1972" s="2" t="s">
        <v>9989</v>
      </c>
      <c r="H1972" s="73" t="s">
        <v>10102</v>
      </c>
      <c r="I1972" s="100" t="s">
        <v>10003</v>
      </c>
      <c r="J1972" s="2" t="s">
        <v>24</v>
      </c>
      <c r="K1972" s="2" t="s">
        <v>116</v>
      </c>
      <c r="L1972" s="16" t="s">
        <v>10068</v>
      </c>
      <c r="M1972" s="2" t="s">
        <v>24</v>
      </c>
      <c r="N1972" s="2" t="s">
        <v>116</v>
      </c>
      <c r="O1972" s="16" t="s">
        <v>10068</v>
      </c>
      <c r="P1972" s="51">
        <v>0</v>
      </c>
      <c r="Q1972" s="99" t="s">
        <v>9990</v>
      </c>
      <c r="R1972" s="6" t="s">
        <v>9991</v>
      </c>
    </row>
    <row r="1973" spans="1:18">
      <c r="A1973" s="71">
        <v>27</v>
      </c>
      <c r="B1973" s="2" t="s">
        <v>6012</v>
      </c>
      <c r="C1973" s="71">
        <v>90</v>
      </c>
      <c r="D1973" s="2" t="s">
        <v>10004</v>
      </c>
      <c r="E1973" s="74">
        <v>0</v>
      </c>
      <c r="F1973" s="71">
        <v>0</v>
      </c>
      <c r="G1973" s="2" t="s">
        <v>20</v>
      </c>
      <c r="H1973" s="73" t="s">
        <v>10020</v>
      </c>
      <c r="I1973" s="76" t="s">
        <v>10021</v>
      </c>
      <c r="J1973" s="2" t="s">
        <v>24</v>
      </c>
      <c r="K1973" s="2" t="s">
        <v>25</v>
      </c>
      <c r="L1973" s="2" t="s">
        <v>26</v>
      </c>
      <c r="M1973" s="2" t="s">
        <v>24</v>
      </c>
      <c r="N1973" s="2" t="s">
        <v>25</v>
      </c>
      <c r="O1973" s="2" t="s">
        <v>26</v>
      </c>
      <c r="P1973" s="51">
        <v>0</v>
      </c>
      <c r="Q1973" s="1" t="s">
        <v>10005</v>
      </c>
      <c r="R1973" s="6" t="s">
        <v>10006</v>
      </c>
    </row>
    <row r="1974" spans="1:18">
      <c r="A1974" s="71">
        <v>27</v>
      </c>
      <c r="B1974" s="2" t="s">
        <v>6012</v>
      </c>
      <c r="C1974" s="71">
        <v>90</v>
      </c>
      <c r="D1974" s="2" t="s">
        <v>10004</v>
      </c>
      <c r="E1974" s="74">
        <v>0</v>
      </c>
      <c r="F1974" s="71">
        <v>1</v>
      </c>
      <c r="G1974" s="2" t="s">
        <v>6035</v>
      </c>
      <c r="H1974" s="73" t="s">
        <v>10022</v>
      </c>
      <c r="I1974" s="100" t="s">
        <v>10023</v>
      </c>
      <c r="J1974" s="2" t="s">
        <v>24</v>
      </c>
      <c r="K1974" s="2" t="s">
        <v>25</v>
      </c>
      <c r="L1974" s="2" t="s">
        <v>6037</v>
      </c>
      <c r="M1974" s="2" t="s">
        <v>24</v>
      </c>
      <c r="N1974" s="2" t="s">
        <v>25</v>
      </c>
      <c r="O1974" s="2" t="s">
        <v>6037</v>
      </c>
      <c r="P1974" s="51">
        <v>0</v>
      </c>
      <c r="Q1974" s="99" t="s">
        <v>6038</v>
      </c>
      <c r="R1974" s="6"/>
    </row>
    <row r="1975" spans="1:18">
      <c r="A1975" s="71">
        <v>27</v>
      </c>
      <c r="B1975" s="2" t="s">
        <v>6012</v>
      </c>
      <c r="C1975" s="71">
        <v>90</v>
      </c>
      <c r="D1975" s="2" t="s">
        <v>10004</v>
      </c>
      <c r="E1975" s="74">
        <v>0</v>
      </c>
      <c r="F1975" s="71">
        <v>2</v>
      </c>
      <c r="G1975" s="2" t="s">
        <v>6090</v>
      </c>
      <c r="H1975" s="73" t="s">
        <v>10024</v>
      </c>
      <c r="I1975" s="100" t="s">
        <v>10025</v>
      </c>
      <c r="J1975" s="2" t="s">
        <v>24</v>
      </c>
      <c r="K1975" s="2" t="s">
        <v>23</v>
      </c>
      <c r="M1975" s="2" t="s">
        <v>24</v>
      </c>
      <c r="N1975" s="2" t="s">
        <v>23</v>
      </c>
      <c r="P1975" s="51">
        <v>0</v>
      </c>
      <c r="Q1975" s="99" t="s">
        <v>8317</v>
      </c>
      <c r="R1975" s="6"/>
    </row>
    <row r="1976" spans="1:18">
      <c r="A1976" s="71">
        <v>27</v>
      </c>
      <c r="B1976" s="2" t="s">
        <v>6012</v>
      </c>
      <c r="C1976" s="71">
        <v>90</v>
      </c>
      <c r="D1976" s="2" t="s">
        <v>10004</v>
      </c>
      <c r="E1976" s="74">
        <v>0</v>
      </c>
      <c r="F1976" s="71">
        <v>3</v>
      </c>
      <c r="G1976" s="2" t="s">
        <v>10011</v>
      </c>
      <c r="H1976" s="73" t="s">
        <v>10026</v>
      </c>
      <c r="I1976" s="100" t="s">
        <v>10027</v>
      </c>
      <c r="J1976" s="2" t="s">
        <v>24</v>
      </c>
      <c r="K1976" s="2" t="s">
        <v>133</v>
      </c>
      <c r="M1976" s="2" t="s">
        <v>24</v>
      </c>
      <c r="N1976" s="2" t="s">
        <v>133</v>
      </c>
      <c r="P1976" s="51">
        <v>0</v>
      </c>
      <c r="Q1976" s="99" t="s">
        <v>10009</v>
      </c>
      <c r="R1976" s="6"/>
    </row>
    <row r="1977" spans="1:18">
      <c r="A1977" s="71">
        <v>27</v>
      </c>
      <c r="B1977" s="2" t="s">
        <v>6012</v>
      </c>
      <c r="C1977" s="71">
        <v>90</v>
      </c>
      <c r="D1977" s="2" t="s">
        <v>10004</v>
      </c>
      <c r="E1977" s="74">
        <v>0</v>
      </c>
      <c r="F1977" s="71">
        <v>4</v>
      </c>
      <c r="G1977" s="2" t="s">
        <v>10007</v>
      </c>
      <c r="H1977" s="73" t="s">
        <v>10028</v>
      </c>
      <c r="I1977" s="100" t="s">
        <v>10029</v>
      </c>
      <c r="J1977" s="2" t="s">
        <v>24</v>
      </c>
      <c r="K1977" s="2" t="s">
        <v>133</v>
      </c>
      <c r="M1977" s="2" t="s">
        <v>24</v>
      </c>
      <c r="N1977" s="2" t="s">
        <v>133</v>
      </c>
      <c r="P1977" s="51">
        <v>0</v>
      </c>
      <c r="Q1977" s="99" t="s">
        <v>10010</v>
      </c>
      <c r="R1977" s="6"/>
    </row>
    <row r="1978" spans="1:18">
      <c r="A1978" s="71">
        <v>27</v>
      </c>
      <c r="B1978" s="2" t="s">
        <v>6012</v>
      </c>
      <c r="C1978" s="71">
        <v>90</v>
      </c>
      <c r="D1978" s="2" t="s">
        <v>10004</v>
      </c>
      <c r="E1978" s="74">
        <v>0</v>
      </c>
      <c r="F1978" s="71">
        <v>5</v>
      </c>
      <c r="G1978" s="2" t="s">
        <v>10008</v>
      </c>
      <c r="H1978" s="73" t="s">
        <v>10030</v>
      </c>
      <c r="I1978" s="100" t="s">
        <v>10031</v>
      </c>
      <c r="J1978" s="2" t="s">
        <v>24</v>
      </c>
      <c r="K1978" s="2" t="s">
        <v>133</v>
      </c>
      <c r="M1978" s="2" t="s">
        <v>24</v>
      </c>
      <c r="N1978" s="2" t="s">
        <v>133</v>
      </c>
      <c r="P1978" s="51">
        <v>0</v>
      </c>
      <c r="Q1978" s="99" t="s">
        <v>10013</v>
      </c>
      <c r="R1978" s="6"/>
    </row>
    <row r="1979" spans="1:18">
      <c r="A1979" s="71">
        <v>27</v>
      </c>
      <c r="B1979" s="2" t="s">
        <v>6012</v>
      </c>
      <c r="C1979" s="71">
        <v>90</v>
      </c>
      <c r="D1979" s="2" t="s">
        <v>10004</v>
      </c>
      <c r="E1979" s="74">
        <v>0</v>
      </c>
      <c r="F1979" s="71">
        <v>6</v>
      </c>
      <c r="G1979" s="2" t="s">
        <v>10012</v>
      </c>
      <c r="H1979" s="73" t="s">
        <v>10032</v>
      </c>
      <c r="I1979" s="100" t="s">
        <v>10033</v>
      </c>
      <c r="J1979" s="2" t="s">
        <v>24</v>
      </c>
      <c r="K1979" s="2" t="s">
        <v>133</v>
      </c>
      <c r="M1979" s="2" t="s">
        <v>24</v>
      </c>
      <c r="N1979" s="2" t="s">
        <v>133</v>
      </c>
      <c r="P1979" s="51">
        <v>0</v>
      </c>
      <c r="Q1979" s="99" t="s">
        <v>10014</v>
      </c>
      <c r="R1979" s="6"/>
    </row>
    <row r="1980" spans="1:18">
      <c r="A1980" s="71">
        <v>27</v>
      </c>
      <c r="B1980" s="2" t="s">
        <v>6012</v>
      </c>
      <c r="C1980" s="71">
        <v>90</v>
      </c>
      <c r="D1980" s="2" t="s">
        <v>10004</v>
      </c>
      <c r="E1980" s="74">
        <v>0</v>
      </c>
      <c r="F1980" s="71">
        <v>7</v>
      </c>
      <c r="G1980" s="2" t="s">
        <v>10015</v>
      </c>
      <c r="H1980" s="73" t="s">
        <v>10034</v>
      </c>
      <c r="I1980" s="100" t="s">
        <v>10035</v>
      </c>
      <c r="J1980" s="2" t="s">
        <v>24</v>
      </c>
      <c r="K1980" s="2" t="s">
        <v>121</v>
      </c>
      <c r="M1980" s="2" t="s">
        <v>24</v>
      </c>
      <c r="N1980" s="2" t="s">
        <v>121</v>
      </c>
      <c r="P1980" s="51">
        <v>0</v>
      </c>
      <c r="Q1980" s="99" t="s">
        <v>10016</v>
      </c>
      <c r="R1980" s="6" t="s">
        <v>10017</v>
      </c>
    </row>
    <row r="1981" spans="1:18" ht="30">
      <c r="A1981" s="71">
        <v>27</v>
      </c>
      <c r="B1981" s="2" t="s">
        <v>6012</v>
      </c>
      <c r="C1981" s="71">
        <v>90</v>
      </c>
      <c r="D1981" s="2" t="s">
        <v>10004</v>
      </c>
      <c r="E1981" s="74">
        <v>0</v>
      </c>
      <c r="F1981" s="71">
        <v>8</v>
      </c>
      <c r="G1981" s="2" t="s">
        <v>7171</v>
      </c>
      <c r="H1981" s="73" t="s">
        <v>10036</v>
      </c>
      <c r="I1981" s="100" t="s">
        <v>10037</v>
      </c>
      <c r="J1981" s="2" t="s">
        <v>24</v>
      </c>
      <c r="K1981" s="2" t="s">
        <v>25</v>
      </c>
      <c r="L1981" s="2" t="s">
        <v>10019</v>
      </c>
      <c r="M1981" s="2" t="s">
        <v>24</v>
      </c>
      <c r="N1981" s="2" t="s">
        <v>25</v>
      </c>
      <c r="O1981" s="2" t="s">
        <v>10019</v>
      </c>
      <c r="P1981" s="51">
        <v>0</v>
      </c>
      <c r="Q1981" s="99" t="s">
        <v>8753</v>
      </c>
      <c r="R1981" s="6" t="s">
        <v>10018</v>
      </c>
    </row>
    <row r="1982" spans="1:18">
      <c r="A1982" s="71">
        <v>27</v>
      </c>
      <c r="B1982" s="2" t="s">
        <v>6012</v>
      </c>
      <c r="C1982" s="71">
        <v>91</v>
      </c>
      <c r="D1982" s="2" t="s">
        <v>10038</v>
      </c>
      <c r="E1982" s="74">
        <v>0</v>
      </c>
      <c r="F1982" s="71">
        <v>0</v>
      </c>
      <c r="G1982" s="2" t="s">
        <v>20</v>
      </c>
      <c r="H1982" s="73" t="s">
        <v>10041</v>
      </c>
      <c r="I1982" s="76" t="s">
        <v>10042</v>
      </c>
      <c r="J1982" s="2" t="s">
        <v>24</v>
      </c>
      <c r="K1982" s="2" t="s">
        <v>25</v>
      </c>
      <c r="L1982" s="2" t="s">
        <v>26</v>
      </c>
      <c r="M1982" s="2" t="s">
        <v>24</v>
      </c>
      <c r="N1982" s="2" t="s">
        <v>25</v>
      </c>
      <c r="O1982" s="2" t="s">
        <v>26</v>
      </c>
      <c r="P1982" s="51">
        <v>0</v>
      </c>
      <c r="Q1982" s="1" t="s">
        <v>10039</v>
      </c>
      <c r="R1982" s="6" t="s">
        <v>10040</v>
      </c>
    </row>
    <row r="1983" spans="1:18">
      <c r="A1983" s="71">
        <v>27</v>
      </c>
      <c r="B1983" s="2" t="s">
        <v>6012</v>
      </c>
      <c r="C1983" s="71">
        <v>91</v>
      </c>
      <c r="D1983" s="2" t="s">
        <v>10038</v>
      </c>
      <c r="E1983" s="74">
        <v>0</v>
      </c>
      <c r="F1983" s="71">
        <v>1</v>
      </c>
      <c r="G1983" s="2" t="s">
        <v>6035</v>
      </c>
      <c r="H1983" s="73" t="s">
        <v>10043</v>
      </c>
      <c r="I1983" s="100" t="s">
        <v>10044</v>
      </c>
      <c r="J1983" s="2" t="s">
        <v>24</v>
      </c>
      <c r="K1983" s="2" t="s">
        <v>25</v>
      </c>
      <c r="L1983" s="2" t="s">
        <v>6037</v>
      </c>
      <c r="M1983" s="2" t="s">
        <v>24</v>
      </c>
      <c r="N1983" s="2" t="s">
        <v>25</v>
      </c>
      <c r="O1983" s="2" t="s">
        <v>6037</v>
      </c>
      <c r="P1983" s="51">
        <v>0</v>
      </c>
      <c r="Q1983" s="99" t="s">
        <v>6038</v>
      </c>
      <c r="R1983" s="6"/>
    </row>
    <row r="1984" spans="1:18">
      <c r="A1984" s="71">
        <v>27</v>
      </c>
      <c r="B1984" s="2" t="s">
        <v>6012</v>
      </c>
      <c r="C1984" s="71">
        <v>91</v>
      </c>
      <c r="D1984" s="2" t="s">
        <v>10038</v>
      </c>
      <c r="E1984" s="74">
        <v>0</v>
      </c>
      <c r="F1984" s="71">
        <v>2</v>
      </c>
      <c r="G1984" s="2" t="s">
        <v>6090</v>
      </c>
      <c r="H1984" s="73" t="s">
        <v>10045</v>
      </c>
      <c r="I1984" s="100" t="s">
        <v>10046</v>
      </c>
      <c r="J1984" s="2" t="s">
        <v>24</v>
      </c>
      <c r="K1984" s="2" t="s">
        <v>23</v>
      </c>
      <c r="M1984" s="2" t="s">
        <v>24</v>
      </c>
      <c r="N1984" s="2" t="s">
        <v>23</v>
      </c>
      <c r="P1984" s="51">
        <v>0</v>
      </c>
      <c r="Q1984" s="99" t="s">
        <v>8317</v>
      </c>
      <c r="R1984" s="6"/>
    </row>
    <row r="1985" spans="1:18">
      <c r="A1985" s="71">
        <v>27</v>
      </c>
      <c r="B1985" s="2" t="s">
        <v>6012</v>
      </c>
      <c r="C1985" s="71">
        <v>91</v>
      </c>
      <c r="D1985" s="2" t="s">
        <v>10038</v>
      </c>
      <c r="E1985" s="74">
        <v>0</v>
      </c>
      <c r="F1985" s="71">
        <v>3</v>
      </c>
      <c r="G1985" s="2" t="s">
        <v>10047</v>
      </c>
      <c r="H1985" s="73" t="s">
        <v>10050</v>
      </c>
      <c r="I1985" s="100" t="s">
        <v>10051</v>
      </c>
      <c r="J1985" s="2" t="s">
        <v>24</v>
      </c>
      <c r="K1985" s="2" t="s">
        <v>23</v>
      </c>
      <c r="M1985" s="2" t="s">
        <v>24</v>
      </c>
      <c r="N1985" s="2" t="s">
        <v>23</v>
      </c>
      <c r="P1985" s="51">
        <v>0</v>
      </c>
      <c r="Q1985" s="99" t="s">
        <v>8756</v>
      </c>
      <c r="R1985" s="6" t="s">
        <v>10048</v>
      </c>
    </row>
    <row r="1986" spans="1:18">
      <c r="A1986" s="71">
        <v>27</v>
      </c>
      <c r="B1986" s="2" t="s">
        <v>6012</v>
      </c>
      <c r="C1986" s="71">
        <v>91</v>
      </c>
      <c r="D1986" s="2" t="s">
        <v>10038</v>
      </c>
      <c r="E1986" s="74">
        <v>0</v>
      </c>
      <c r="F1986" s="71">
        <v>4</v>
      </c>
      <c r="G1986" s="2" t="s">
        <v>10049</v>
      </c>
      <c r="H1986" s="73" t="s">
        <v>10052</v>
      </c>
      <c r="I1986" s="100" t="s">
        <v>10053</v>
      </c>
      <c r="J1986" s="2" t="s">
        <v>24</v>
      </c>
      <c r="K1986" s="2" t="s">
        <v>23</v>
      </c>
      <c r="M1986" s="2" t="s">
        <v>24</v>
      </c>
      <c r="N1986" s="2" t="s">
        <v>23</v>
      </c>
      <c r="P1986" s="51">
        <v>0</v>
      </c>
      <c r="Q1986" s="99" t="s">
        <v>8755</v>
      </c>
      <c r="R1986" s="6" t="s">
        <v>10048</v>
      </c>
    </row>
    <row r="1987" spans="1:18">
      <c r="A1987" s="71">
        <v>27</v>
      </c>
      <c r="B1987" s="2" t="s">
        <v>6012</v>
      </c>
      <c r="C1987" s="71">
        <v>92</v>
      </c>
      <c r="D1987" s="2" t="s">
        <v>10071</v>
      </c>
      <c r="E1987" s="74">
        <v>0</v>
      </c>
      <c r="F1987" s="71">
        <v>0</v>
      </c>
      <c r="G1987" s="2" t="s">
        <v>20</v>
      </c>
      <c r="H1987" s="73" t="s">
        <v>10076</v>
      </c>
      <c r="I1987" s="76" t="s">
        <v>10077</v>
      </c>
      <c r="J1987" s="2" t="s">
        <v>24</v>
      </c>
      <c r="K1987" s="2" t="s">
        <v>25</v>
      </c>
      <c r="L1987" s="2" t="s">
        <v>26</v>
      </c>
      <c r="M1987" s="2" t="s">
        <v>24</v>
      </c>
      <c r="N1987" s="2" t="s">
        <v>25</v>
      </c>
      <c r="O1987" s="2" t="s">
        <v>26</v>
      </c>
      <c r="P1987" s="51">
        <v>0</v>
      </c>
      <c r="Q1987" s="1" t="s">
        <v>10072</v>
      </c>
      <c r="R1987" s="6" t="s">
        <v>9867</v>
      </c>
    </row>
    <row r="1988" spans="1:18">
      <c r="A1988" s="71">
        <v>27</v>
      </c>
      <c r="B1988" s="2" t="s">
        <v>6012</v>
      </c>
      <c r="C1988" s="71">
        <v>92</v>
      </c>
      <c r="D1988" s="2" t="s">
        <v>10071</v>
      </c>
      <c r="E1988" s="74">
        <v>0</v>
      </c>
      <c r="F1988" s="71">
        <v>1</v>
      </c>
      <c r="G1988" s="2" t="s">
        <v>6035</v>
      </c>
      <c r="H1988" s="73" t="s">
        <v>10103</v>
      </c>
      <c r="I1988" s="100" t="s">
        <v>10183</v>
      </c>
      <c r="J1988" s="2" t="s">
        <v>24</v>
      </c>
      <c r="K1988" s="2" t="s">
        <v>25</v>
      </c>
      <c r="L1988" s="2" t="s">
        <v>6037</v>
      </c>
      <c r="M1988" s="2" t="s">
        <v>24</v>
      </c>
      <c r="N1988" s="2" t="s">
        <v>25</v>
      </c>
      <c r="O1988" s="2" t="s">
        <v>6037</v>
      </c>
      <c r="P1988" s="51">
        <v>0</v>
      </c>
      <c r="Q1988" s="99" t="s">
        <v>6038</v>
      </c>
      <c r="R1988" s="6"/>
    </row>
    <row r="1989" spans="1:18">
      <c r="A1989" s="71">
        <v>27</v>
      </c>
      <c r="B1989" s="2" t="s">
        <v>6012</v>
      </c>
      <c r="C1989" s="71">
        <v>92</v>
      </c>
      <c r="D1989" s="2" t="s">
        <v>10071</v>
      </c>
      <c r="E1989" s="74">
        <v>0</v>
      </c>
      <c r="F1989" s="71">
        <v>2</v>
      </c>
      <c r="G1989" s="2" t="s">
        <v>6090</v>
      </c>
      <c r="H1989" s="73" t="s">
        <v>10105</v>
      </c>
      <c r="I1989" s="100" t="s">
        <v>10104</v>
      </c>
      <c r="J1989" s="2" t="s">
        <v>24</v>
      </c>
      <c r="K1989" s="2" t="s">
        <v>23</v>
      </c>
      <c r="M1989" s="2" t="s">
        <v>24</v>
      </c>
      <c r="N1989" s="2" t="s">
        <v>23</v>
      </c>
      <c r="P1989" s="51">
        <v>0</v>
      </c>
      <c r="Q1989" s="99" t="s">
        <v>8767</v>
      </c>
      <c r="R1989" s="6"/>
    </row>
    <row r="1990" spans="1:18">
      <c r="A1990" s="71">
        <v>27</v>
      </c>
      <c r="B1990" s="2" t="s">
        <v>6012</v>
      </c>
      <c r="C1990" s="71">
        <v>92</v>
      </c>
      <c r="D1990" s="2" t="s">
        <v>10071</v>
      </c>
      <c r="E1990" s="74">
        <v>0</v>
      </c>
      <c r="F1990" s="71">
        <v>3</v>
      </c>
      <c r="G1990" s="2" t="s">
        <v>451</v>
      </c>
      <c r="H1990" s="73" t="s">
        <v>10107</v>
      </c>
      <c r="I1990" s="100" t="s">
        <v>10106</v>
      </c>
      <c r="J1990" s="2" t="s">
        <v>24</v>
      </c>
      <c r="K1990" s="2" t="s">
        <v>25</v>
      </c>
      <c r="L1990" s="2" t="s">
        <v>9747</v>
      </c>
      <c r="M1990" s="2" t="s">
        <v>24</v>
      </c>
      <c r="N1990" s="2" t="s">
        <v>25</v>
      </c>
      <c r="O1990" s="2" t="s">
        <v>9747</v>
      </c>
      <c r="P1990" s="51">
        <v>0</v>
      </c>
      <c r="Q1990" s="99" t="s">
        <v>454</v>
      </c>
      <c r="R1990" s="6"/>
    </row>
    <row r="1991" spans="1:18">
      <c r="A1991" s="71">
        <v>27</v>
      </c>
      <c r="B1991" s="2" t="s">
        <v>6012</v>
      </c>
      <c r="C1991" s="71">
        <v>92</v>
      </c>
      <c r="D1991" s="2" t="s">
        <v>10071</v>
      </c>
      <c r="E1991" s="74">
        <v>0</v>
      </c>
      <c r="F1991" s="71">
        <v>4</v>
      </c>
      <c r="G1991" s="2" t="s">
        <v>10073</v>
      </c>
      <c r="H1991" s="73" t="s">
        <v>10109</v>
      </c>
      <c r="I1991" s="100" t="s">
        <v>10108</v>
      </c>
      <c r="J1991" s="2" t="s">
        <v>24</v>
      </c>
      <c r="K1991" s="2" t="s">
        <v>25</v>
      </c>
      <c r="L1991" s="2" t="s">
        <v>10074</v>
      </c>
      <c r="M1991" s="2" t="s">
        <v>24</v>
      </c>
      <c r="N1991" s="2" t="s">
        <v>25</v>
      </c>
      <c r="O1991" s="2" t="s">
        <v>10074</v>
      </c>
      <c r="P1991" s="51">
        <v>0</v>
      </c>
      <c r="Q1991" s="99" t="s">
        <v>10075</v>
      </c>
      <c r="R1991" s="6"/>
    </row>
    <row r="1992" spans="1:18">
      <c r="A1992" s="71">
        <v>27</v>
      </c>
      <c r="B1992" s="2" t="s">
        <v>6012</v>
      </c>
      <c r="C1992" s="71">
        <v>92</v>
      </c>
      <c r="D1992" s="2" t="s">
        <v>10071</v>
      </c>
      <c r="E1992" s="74">
        <v>0</v>
      </c>
      <c r="F1992" s="71">
        <v>5</v>
      </c>
      <c r="G1992" s="2" t="s">
        <v>6660</v>
      </c>
      <c r="H1992" s="73" t="s">
        <v>10111</v>
      </c>
      <c r="I1992" s="100" t="s">
        <v>10110</v>
      </c>
      <c r="J1992" s="2" t="s">
        <v>24</v>
      </c>
      <c r="K1992" s="2" t="s">
        <v>133</v>
      </c>
      <c r="M1992" s="2" t="s">
        <v>24</v>
      </c>
      <c r="N1992" s="2" t="s">
        <v>133</v>
      </c>
      <c r="P1992" s="51">
        <v>0</v>
      </c>
      <c r="Q1992" s="99" t="s">
        <v>8746</v>
      </c>
      <c r="R1992" s="6"/>
    </row>
    <row r="1993" spans="1:18">
      <c r="A1993" s="71">
        <v>27</v>
      </c>
      <c r="B1993" s="2" t="s">
        <v>6012</v>
      </c>
      <c r="C1993" s="71">
        <v>92</v>
      </c>
      <c r="D1993" s="2" t="s">
        <v>10071</v>
      </c>
      <c r="E1993" s="74">
        <v>0</v>
      </c>
      <c r="F1993" s="71">
        <v>6</v>
      </c>
      <c r="G1993" s="2" t="s">
        <v>6860</v>
      </c>
      <c r="H1993" s="73" t="s">
        <v>10113</v>
      </c>
      <c r="I1993" s="100" t="s">
        <v>10112</v>
      </c>
      <c r="J1993" s="2" t="s">
        <v>24</v>
      </c>
      <c r="K1993" s="2" t="s">
        <v>263</v>
      </c>
      <c r="M1993" s="2" t="s">
        <v>24</v>
      </c>
      <c r="N1993" s="2" t="s">
        <v>263</v>
      </c>
      <c r="P1993" s="51">
        <v>0</v>
      </c>
      <c r="Q1993" s="99" t="s">
        <v>8748</v>
      </c>
      <c r="R1993" s="6"/>
    </row>
    <row r="1994" spans="1:18">
      <c r="A1994" s="71">
        <v>27</v>
      </c>
      <c r="B1994" s="2" t="s">
        <v>6012</v>
      </c>
      <c r="C1994" s="71">
        <v>92</v>
      </c>
      <c r="D1994" s="2" t="s">
        <v>10071</v>
      </c>
      <c r="E1994" s="74">
        <v>0</v>
      </c>
      <c r="F1994" s="71">
        <v>7</v>
      </c>
      <c r="G1994" s="2" t="s">
        <v>8443</v>
      </c>
      <c r="H1994" s="73" t="s">
        <v>10115</v>
      </c>
      <c r="I1994" s="100" t="s">
        <v>10114</v>
      </c>
      <c r="J1994" s="2" t="s">
        <v>24</v>
      </c>
      <c r="K1994" s="2" t="s">
        <v>23</v>
      </c>
      <c r="M1994" s="2" t="s">
        <v>24</v>
      </c>
      <c r="N1994" s="2" t="s">
        <v>23</v>
      </c>
      <c r="P1994" s="51">
        <v>0</v>
      </c>
      <c r="Q1994" s="99" t="s">
        <v>8751</v>
      </c>
      <c r="R1994" s="6" t="s">
        <v>9879</v>
      </c>
    </row>
    <row r="1995" spans="1:18">
      <c r="A1995" s="71">
        <v>27</v>
      </c>
      <c r="B1995" s="2" t="s">
        <v>6012</v>
      </c>
      <c r="C1995" s="71">
        <v>92</v>
      </c>
      <c r="D1995" s="2" t="s">
        <v>10071</v>
      </c>
      <c r="E1995" s="74">
        <v>0</v>
      </c>
      <c r="F1995" s="71">
        <v>8</v>
      </c>
      <c r="G1995" s="2" t="s">
        <v>9881</v>
      </c>
      <c r="H1995" s="73" t="s">
        <v>10117</v>
      </c>
      <c r="I1995" s="100" t="s">
        <v>10116</v>
      </c>
      <c r="J1995" s="2" t="s">
        <v>24</v>
      </c>
      <c r="K1995" s="2" t="s">
        <v>25</v>
      </c>
      <c r="M1995" s="2" t="s">
        <v>24</v>
      </c>
      <c r="N1995" s="2" t="s">
        <v>25</v>
      </c>
      <c r="P1995" s="51">
        <v>0</v>
      </c>
      <c r="Q1995" s="99" t="s">
        <v>9901</v>
      </c>
      <c r="R1995" s="6"/>
    </row>
    <row r="1996" spans="1:18">
      <c r="A1996" s="71">
        <v>27</v>
      </c>
      <c r="B1996" s="2" t="s">
        <v>6012</v>
      </c>
      <c r="C1996" s="71">
        <v>92</v>
      </c>
      <c r="D1996" s="2" t="s">
        <v>10071</v>
      </c>
      <c r="E1996" s="74">
        <v>0</v>
      </c>
      <c r="F1996" s="71">
        <v>9</v>
      </c>
      <c r="G1996" s="2" t="s">
        <v>9882</v>
      </c>
      <c r="H1996" s="73" t="s">
        <v>10119</v>
      </c>
      <c r="I1996" s="100" t="s">
        <v>10118</v>
      </c>
      <c r="J1996" s="2" t="s">
        <v>24</v>
      </c>
      <c r="K1996" s="2" t="s">
        <v>25</v>
      </c>
      <c r="M1996" s="2" t="s">
        <v>24</v>
      </c>
      <c r="N1996" s="2" t="s">
        <v>25</v>
      </c>
      <c r="P1996" s="51">
        <v>0</v>
      </c>
      <c r="Q1996" s="99" t="s">
        <v>9902</v>
      </c>
      <c r="R1996" s="6"/>
    </row>
    <row r="1997" spans="1:18">
      <c r="A1997" s="71">
        <v>27</v>
      </c>
      <c r="B1997" s="2" t="s">
        <v>6012</v>
      </c>
      <c r="C1997" s="71">
        <v>92</v>
      </c>
      <c r="D1997" s="2" t="s">
        <v>10071</v>
      </c>
      <c r="E1997" s="74">
        <v>0</v>
      </c>
      <c r="F1997" s="71">
        <v>10</v>
      </c>
      <c r="G1997" s="2" t="s">
        <v>8451</v>
      </c>
      <c r="H1997" s="73" t="s">
        <v>10121</v>
      </c>
      <c r="I1997" s="100" t="s">
        <v>10120</v>
      </c>
      <c r="J1997" s="2" t="s">
        <v>24</v>
      </c>
      <c r="K1997" s="2" t="s">
        <v>25</v>
      </c>
      <c r="M1997" s="2" t="s">
        <v>24</v>
      </c>
      <c r="N1997" s="2" t="s">
        <v>25</v>
      </c>
      <c r="P1997" s="51">
        <v>0</v>
      </c>
      <c r="Q1997" s="99" t="s">
        <v>9903</v>
      </c>
      <c r="R1997" s="6"/>
    </row>
    <row r="1998" spans="1:18">
      <c r="A1998" s="71">
        <v>27</v>
      </c>
      <c r="B1998" s="2" t="s">
        <v>6012</v>
      </c>
      <c r="C1998" s="71">
        <v>92</v>
      </c>
      <c r="D1998" s="2" t="s">
        <v>10071</v>
      </c>
      <c r="E1998" s="74">
        <v>0</v>
      </c>
      <c r="F1998" s="71">
        <v>11</v>
      </c>
      <c r="G1998" s="2" t="s">
        <v>9880</v>
      </c>
      <c r="H1998" s="73" t="s">
        <v>10184</v>
      </c>
      <c r="I1998" s="100" t="s">
        <v>10122</v>
      </c>
      <c r="J1998" s="2" t="s">
        <v>24</v>
      </c>
      <c r="K1998" s="2" t="s">
        <v>25</v>
      </c>
      <c r="M1998" s="2" t="s">
        <v>24</v>
      </c>
      <c r="N1998" s="2" t="s">
        <v>25</v>
      </c>
      <c r="P1998" s="51">
        <v>0</v>
      </c>
      <c r="Q1998" s="99" t="s">
        <v>9904</v>
      </c>
      <c r="R1998" s="6"/>
    </row>
    <row r="1999" spans="1:18">
      <c r="A1999" s="71">
        <v>27</v>
      </c>
      <c r="B1999" s="2" t="s">
        <v>6012</v>
      </c>
      <c r="C1999" s="71">
        <v>93</v>
      </c>
      <c r="D1999" s="2" t="s">
        <v>10123</v>
      </c>
      <c r="E1999" s="74">
        <v>0</v>
      </c>
      <c r="F1999" s="71">
        <v>0</v>
      </c>
      <c r="G1999" s="2" t="s">
        <v>20</v>
      </c>
      <c r="H1999" s="73" t="s">
        <v>10078</v>
      </c>
      <c r="I1999" s="76" t="s">
        <v>10125</v>
      </c>
      <c r="J1999" s="2" t="s">
        <v>24</v>
      </c>
      <c r="K1999" s="2" t="s">
        <v>25</v>
      </c>
      <c r="L1999" s="2" t="s">
        <v>26</v>
      </c>
      <c r="M1999" s="2" t="s">
        <v>24</v>
      </c>
      <c r="N1999" s="2" t="s">
        <v>25</v>
      </c>
      <c r="O1999" s="2" t="s">
        <v>26</v>
      </c>
      <c r="P1999" s="51">
        <v>0</v>
      </c>
      <c r="Q1999" s="1" t="s">
        <v>10156</v>
      </c>
      <c r="R1999" s="6" t="s">
        <v>9908</v>
      </c>
    </row>
    <row r="2000" spans="1:18">
      <c r="A2000" s="71">
        <v>27</v>
      </c>
      <c r="B2000" s="2" t="s">
        <v>6012</v>
      </c>
      <c r="C2000" s="71">
        <v>93</v>
      </c>
      <c r="D2000" s="2" t="s">
        <v>10123</v>
      </c>
      <c r="E2000" s="74">
        <v>0</v>
      </c>
      <c r="F2000" s="71">
        <v>1</v>
      </c>
      <c r="G2000" s="2" t="s">
        <v>6035</v>
      </c>
      <c r="H2000" s="73" t="s">
        <v>10079</v>
      </c>
      <c r="I2000" s="100" t="s">
        <v>10126</v>
      </c>
      <c r="J2000" s="2" t="s">
        <v>24</v>
      </c>
      <c r="K2000" s="2" t="s">
        <v>25</v>
      </c>
      <c r="L2000" s="2" t="s">
        <v>6037</v>
      </c>
      <c r="M2000" s="2" t="s">
        <v>24</v>
      </c>
      <c r="N2000" s="2" t="s">
        <v>25</v>
      </c>
      <c r="O2000" s="2" t="s">
        <v>6037</v>
      </c>
      <c r="P2000" s="51">
        <v>0</v>
      </c>
      <c r="Q2000" s="99" t="s">
        <v>6038</v>
      </c>
      <c r="R2000" s="6"/>
    </row>
    <row r="2001" spans="1:18">
      <c r="A2001" s="71">
        <v>27</v>
      </c>
      <c r="B2001" s="2" t="s">
        <v>6012</v>
      </c>
      <c r="C2001" s="71">
        <v>93</v>
      </c>
      <c r="D2001" s="2" t="s">
        <v>10123</v>
      </c>
      <c r="E2001" s="74">
        <v>0</v>
      </c>
      <c r="F2001" s="71">
        <v>2</v>
      </c>
      <c r="G2001" s="2" t="s">
        <v>6090</v>
      </c>
      <c r="H2001" s="73" t="s">
        <v>10081</v>
      </c>
      <c r="I2001" s="100" t="s">
        <v>10127</v>
      </c>
      <c r="J2001" s="2" t="s">
        <v>24</v>
      </c>
      <c r="K2001" s="2" t="s">
        <v>23</v>
      </c>
      <c r="M2001" s="2" t="s">
        <v>24</v>
      </c>
      <c r="N2001" s="2" t="s">
        <v>23</v>
      </c>
      <c r="P2001" s="51">
        <v>0</v>
      </c>
      <c r="Q2001" s="99" t="s">
        <v>8767</v>
      </c>
      <c r="R2001" s="6"/>
    </row>
    <row r="2002" spans="1:18">
      <c r="A2002" s="71">
        <v>27</v>
      </c>
      <c r="B2002" s="2" t="s">
        <v>6012</v>
      </c>
      <c r="C2002" s="71">
        <v>93</v>
      </c>
      <c r="D2002" s="2" t="s">
        <v>10123</v>
      </c>
      <c r="E2002" s="74">
        <v>0</v>
      </c>
      <c r="F2002" s="71">
        <v>3</v>
      </c>
      <c r="G2002" s="2" t="s">
        <v>451</v>
      </c>
      <c r="H2002" s="73" t="s">
        <v>10083</v>
      </c>
      <c r="I2002" s="100" t="s">
        <v>10128</v>
      </c>
      <c r="J2002" s="2" t="s">
        <v>24</v>
      </c>
      <c r="K2002" s="2" t="s">
        <v>25</v>
      </c>
      <c r="L2002" s="2" t="s">
        <v>9747</v>
      </c>
      <c r="M2002" s="2" t="s">
        <v>24</v>
      </c>
      <c r="N2002" s="2" t="s">
        <v>25</v>
      </c>
      <c r="O2002" s="2" t="s">
        <v>9747</v>
      </c>
      <c r="P2002" s="51">
        <v>0</v>
      </c>
      <c r="Q2002" s="99" t="s">
        <v>454</v>
      </c>
      <c r="R2002" s="6"/>
    </row>
    <row r="2003" spans="1:18">
      <c r="A2003" s="71">
        <v>27</v>
      </c>
      <c r="B2003" s="2" t="s">
        <v>6012</v>
      </c>
      <c r="C2003" s="71">
        <v>93</v>
      </c>
      <c r="D2003" s="2" t="s">
        <v>10123</v>
      </c>
      <c r="E2003" s="74">
        <v>0</v>
      </c>
      <c r="F2003" s="71">
        <v>4</v>
      </c>
      <c r="G2003" s="2" t="s">
        <v>10073</v>
      </c>
      <c r="H2003" s="73" t="s">
        <v>10084</v>
      </c>
      <c r="I2003" s="100" t="s">
        <v>10129</v>
      </c>
      <c r="J2003" s="2" t="s">
        <v>24</v>
      </c>
      <c r="K2003" s="2" t="s">
        <v>25</v>
      </c>
      <c r="L2003" s="2" t="s">
        <v>10074</v>
      </c>
      <c r="M2003" s="2" t="s">
        <v>24</v>
      </c>
      <c r="N2003" s="2" t="s">
        <v>25</v>
      </c>
      <c r="O2003" s="2" t="s">
        <v>10074</v>
      </c>
      <c r="P2003" s="51">
        <v>0</v>
      </c>
      <c r="Q2003" s="99" t="s">
        <v>10075</v>
      </c>
      <c r="R2003" s="6"/>
    </row>
    <row r="2004" spans="1:18">
      <c r="A2004" s="71">
        <v>27</v>
      </c>
      <c r="B2004" s="2" t="s">
        <v>6012</v>
      </c>
      <c r="C2004" s="71">
        <v>93</v>
      </c>
      <c r="D2004" s="2" t="s">
        <v>10123</v>
      </c>
      <c r="E2004" s="74">
        <v>0</v>
      </c>
      <c r="F2004" s="71">
        <v>5</v>
      </c>
      <c r="G2004" s="2" t="s">
        <v>9912</v>
      </c>
      <c r="H2004" s="73" t="s">
        <v>10085</v>
      </c>
      <c r="I2004" s="100" t="s">
        <v>10130</v>
      </c>
      <c r="J2004" s="2" t="s">
        <v>24</v>
      </c>
      <c r="K2004" s="2" t="s">
        <v>133</v>
      </c>
      <c r="M2004" s="2" t="s">
        <v>24</v>
      </c>
      <c r="N2004" s="2" t="s">
        <v>133</v>
      </c>
      <c r="P2004" s="51">
        <v>0</v>
      </c>
      <c r="Q2004" s="99" t="s">
        <v>8749</v>
      </c>
      <c r="R2004" s="6"/>
    </row>
    <row r="2005" spans="1:18">
      <c r="A2005" s="71">
        <v>27</v>
      </c>
      <c r="B2005" s="2" t="s">
        <v>6012</v>
      </c>
      <c r="C2005" s="71">
        <v>93</v>
      </c>
      <c r="D2005" s="2" t="s">
        <v>10123</v>
      </c>
      <c r="E2005" s="74">
        <v>0</v>
      </c>
      <c r="F2005" s="71">
        <v>6</v>
      </c>
      <c r="G2005" s="2" t="s">
        <v>9913</v>
      </c>
      <c r="H2005" s="73" t="s">
        <v>10086</v>
      </c>
      <c r="I2005" s="100" t="s">
        <v>10131</v>
      </c>
      <c r="J2005" s="2" t="s">
        <v>24</v>
      </c>
      <c r="K2005" s="2" t="s">
        <v>263</v>
      </c>
      <c r="M2005" s="2" t="s">
        <v>24</v>
      </c>
      <c r="N2005" s="2" t="s">
        <v>263</v>
      </c>
      <c r="P2005" s="51">
        <v>0</v>
      </c>
      <c r="Q2005" s="99" t="s">
        <v>8750</v>
      </c>
      <c r="R2005" s="6"/>
    </row>
    <row r="2006" spans="1:18">
      <c r="A2006" s="71">
        <v>27</v>
      </c>
      <c r="B2006" s="2" t="s">
        <v>6012</v>
      </c>
      <c r="C2006" s="71">
        <v>93</v>
      </c>
      <c r="D2006" s="2" t="s">
        <v>10123</v>
      </c>
      <c r="E2006" s="74">
        <v>0</v>
      </c>
      <c r="F2006" s="71">
        <v>7</v>
      </c>
      <c r="G2006" s="2" t="s">
        <v>6333</v>
      </c>
      <c r="H2006" s="73" t="s">
        <v>10087</v>
      </c>
      <c r="I2006" s="100" t="s">
        <v>10132</v>
      </c>
      <c r="J2006" s="2" t="s">
        <v>24</v>
      </c>
      <c r="K2006" s="2" t="s">
        <v>263</v>
      </c>
      <c r="M2006" s="2" t="s">
        <v>24</v>
      </c>
      <c r="N2006" s="2" t="s">
        <v>263</v>
      </c>
      <c r="P2006" s="51">
        <v>0</v>
      </c>
      <c r="Q2006" s="99" t="s">
        <v>9914</v>
      </c>
      <c r="R2006" s="6"/>
    </row>
    <row r="2007" spans="1:18" ht="30">
      <c r="A2007" s="71">
        <v>27</v>
      </c>
      <c r="B2007" s="2" t="s">
        <v>6012</v>
      </c>
      <c r="C2007" s="71">
        <v>93</v>
      </c>
      <c r="D2007" s="2" t="s">
        <v>10123</v>
      </c>
      <c r="E2007" s="74">
        <v>0</v>
      </c>
      <c r="F2007" s="71">
        <v>8</v>
      </c>
      <c r="G2007" s="2" t="s">
        <v>6896</v>
      </c>
      <c r="H2007" s="73" t="s">
        <v>10088</v>
      </c>
      <c r="I2007" s="100" t="s">
        <v>10133</v>
      </c>
      <c r="J2007" s="2" t="s">
        <v>24</v>
      </c>
      <c r="K2007" s="2" t="s">
        <v>263</v>
      </c>
      <c r="M2007" s="2" t="s">
        <v>24</v>
      </c>
      <c r="N2007" s="2" t="s">
        <v>263</v>
      </c>
      <c r="P2007" s="51">
        <v>0</v>
      </c>
      <c r="Q2007" s="99" t="s">
        <v>9915</v>
      </c>
      <c r="R2007" s="6" t="s">
        <v>9916</v>
      </c>
    </row>
    <row r="2008" spans="1:18">
      <c r="A2008" s="71">
        <v>27</v>
      </c>
      <c r="B2008" s="2" t="s">
        <v>6012</v>
      </c>
      <c r="C2008" s="71">
        <v>94</v>
      </c>
      <c r="D2008" s="2" t="s">
        <v>10124</v>
      </c>
      <c r="E2008" s="74">
        <v>0</v>
      </c>
      <c r="F2008" s="71">
        <v>0</v>
      </c>
      <c r="G2008" s="2" t="s">
        <v>20</v>
      </c>
      <c r="H2008" s="73" t="s">
        <v>10134</v>
      </c>
      <c r="I2008" s="76" t="s">
        <v>10135</v>
      </c>
      <c r="J2008" s="2" t="s">
        <v>24</v>
      </c>
      <c r="K2008" s="2" t="s">
        <v>25</v>
      </c>
      <c r="L2008" s="2" t="s">
        <v>26</v>
      </c>
      <c r="M2008" s="2" t="s">
        <v>24</v>
      </c>
      <c r="N2008" s="2" t="s">
        <v>25</v>
      </c>
      <c r="O2008" s="2" t="s">
        <v>26</v>
      </c>
      <c r="P2008" s="51">
        <v>0</v>
      </c>
      <c r="Q2008" s="1" t="s">
        <v>10401</v>
      </c>
      <c r="R2008" s="6" t="s">
        <v>10157</v>
      </c>
    </row>
    <row r="2009" spans="1:18">
      <c r="A2009" s="71">
        <v>27</v>
      </c>
      <c r="B2009" s="2" t="s">
        <v>6012</v>
      </c>
      <c r="C2009" s="71">
        <v>94</v>
      </c>
      <c r="D2009" s="2" t="s">
        <v>10124</v>
      </c>
      <c r="E2009" s="74">
        <v>0</v>
      </c>
      <c r="F2009" s="71">
        <v>1</v>
      </c>
      <c r="G2009" s="2" t="s">
        <v>6035</v>
      </c>
      <c r="H2009" s="73" t="s">
        <v>10136</v>
      </c>
      <c r="I2009" s="100" t="s">
        <v>10137</v>
      </c>
      <c r="J2009" s="2" t="s">
        <v>24</v>
      </c>
      <c r="K2009" s="2" t="s">
        <v>25</v>
      </c>
      <c r="L2009" s="2" t="s">
        <v>6037</v>
      </c>
      <c r="M2009" s="2" t="s">
        <v>24</v>
      </c>
      <c r="N2009" s="2" t="s">
        <v>25</v>
      </c>
      <c r="O2009" s="2" t="s">
        <v>6037</v>
      </c>
      <c r="P2009" s="51">
        <v>0</v>
      </c>
      <c r="Q2009" s="99" t="s">
        <v>6038</v>
      </c>
      <c r="R2009" s="6"/>
    </row>
    <row r="2010" spans="1:18">
      <c r="A2010" s="71">
        <v>27</v>
      </c>
      <c r="B2010" s="2" t="s">
        <v>6012</v>
      </c>
      <c r="C2010" s="71">
        <v>94</v>
      </c>
      <c r="D2010" s="2" t="s">
        <v>10124</v>
      </c>
      <c r="E2010" s="74">
        <v>0</v>
      </c>
      <c r="F2010" s="71">
        <v>2</v>
      </c>
      <c r="G2010" s="2" t="s">
        <v>6090</v>
      </c>
      <c r="H2010" s="73" t="s">
        <v>10138</v>
      </c>
      <c r="I2010" s="100" t="s">
        <v>10139</v>
      </c>
      <c r="J2010" s="2" t="s">
        <v>24</v>
      </c>
      <c r="K2010" s="2" t="s">
        <v>23</v>
      </c>
      <c r="M2010" s="2" t="s">
        <v>24</v>
      </c>
      <c r="N2010" s="2" t="s">
        <v>23</v>
      </c>
      <c r="P2010" s="51">
        <v>0</v>
      </c>
      <c r="Q2010" s="99" t="s">
        <v>8767</v>
      </c>
      <c r="R2010" s="6"/>
    </row>
    <row r="2011" spans="1:18">
      <c r="A2011" s="71">
        <v>27</v>
      </c>
      <c r="B2011" s="2" t="s">
        <v>6012</v>
      </c>
      <c r="C2011" s="71">
        <v>94</v>
      </c>
      <c r="D2011" s="2" t="s">
        <v>10124</v>
      </c>
      <c r="E2011" s="74">
        <v>0</v>
      </c>
      <c r="F2011" s="71">
        <v>3</v>
      </c>
      <c r="G2011" s="2" t="s">
        <v>451</v>
      </c>
      <c r="H2011" s="73" t="s">
        <v>10140</v>
      </c>
      <c r="I2011" s="100" t="s">
        <v>10141</v>
      </c>
      <c r="J2011" s="2" t="s">
        <v>24</v>
      </c>
      <c r="K2011" s="2" t="s">
        <v>25</v>
      </c>
      <c r="L2011" s="2" t="s">
        <v>9747</v>
      </c>
      <c r="M2011" s="2" t="s">
        <v>24</v>
      </c>
      <c r="N2011" s="2" t="s">
        <v>25</v>
      </c>
      <c r="O2011" s="2" t="s">
        <v>9747</v>
      </c>
      <c r="P2011" s="51">
        <v>0</v>
      </c>
      <c r="Q2011" s="99" t="s">
        <v>454</v>
      </c>
      <c r="R2011" s="6"/>
    </row>
    <row r="2012" spans="1:18">
      <c r="A2012" s="71">
        <v>27</v>
      </c>
      <c r="B2012" s="2" t="s">
        <v>6012</v>
      </c>
      <c r="C2012" s="71">
        <v>94</v>
      </c>
      <c r="D2012" s="2" t="s">
        <v>10124</v>
      </c>
      <c r="E2012" s="74">
        <v>0</v>
      </c>
      <c r="F2012" s="71">
        <v>4</v>
      </c>
      <c r="G2012" s="2" t="s">
        <v>10073</v>
      </c>
      <c r="H2012" s="73" t="s">
        <v>10142</v>
      </c>
      <c r="I2012" s="100" t="s">
        <v>10143</v>
      </c>
      <c r="J2012" s="2" t="s">
        <v>24</v>
      </c>
      <c r="K2012" s="2" t="s">
        <v>25</v>
      </c>
      <c r="L2012" s="2" t="s">
        <v>10074</v>
      </c>
      <c r="M2012" s="2" t="s">
        <v>24</v>
      </c>
      <c r="N2012" s="2" t="s">
        <v>25</v>
      </c>
      <c r="O2012" s="2" t="s">
        <v>10074</v>
      </c>
      <c r="P2012" s="51">
        <v>0</v>
      </c>
      <c r="Q2012" s="99" t="s">
        <v>10075</v>
      </c>
      <c r="R2012" s="6"/>
    </row>
    <row r="2013" spans="1:18" ht="30">
      <c r="A2013" s="71">
        <v>27</v>
      </c>
      <c r="B2013" s="2" t="s">
        <v>6012</v>
      </c>
      <c r="C2013" s="71">
        <v>94</v>
      </c>
      <c r="D2013" s="2" t="s">
        <v>10124</v>
      </c>
      <c r="E2013" s="74">
        <v>0</v>
      </c>
      <c r="F2013" s="71">
        <v>5</v>
      </c>
      <c r="G2013" s="2" t="s">
        <v>9940</v>
      </c>
      <c r="H2013" s="73" t="s">
        <v>10144</v>
      </c>
      <c r="I2013" s="100" t="s">
        <v>10145</v>
      </c>
      <c r="J2013" s="2" t="s">
        <v>24</v>
      </c>
      <c r="K2013" s="2" t="s">
        <v>25</v>
      </c>
      <c r="L2013" s="2" t="s">
        <v>9941</v>
      </c>
      <c r="M2013" s="2" t="s">
        <v>24</v>
      </c>
      <c r="N2013" s="2" t="s">
        <v>25</v>
      </c>
      <c r="O2013" s="2" t="s">
        <v>9941</v>
      </c>
      <c r="P2013" s="51">
        <v>0</v>
      </c>
      <c r="Q2013" s="99" t="s">
        <v>8811</v>
      </c>
      <c r="R2013" s="6" t="s">
        <v>9942</v>
      </c>
    </row>
    <row r="2014" spans="1:18" ht="90">
      <c r="A2014" s="71">
        <v>27</v>
      </c>
      <c r="B2014" s="2" t="s">
        <v>6012</v>
      </c>
      <c r="C2014" s="71">
        <v>94</v>
      </c>
      <c r="D2014" s="2" t="s">
        <v>10124</v>
      </c>
      <c r="E2014" s="74">
        <v>0</v>
      </c>
      <c r="F2014" s="71">
        <v>6</v>
      </c>
      <c r="G2014" s="2" t="s">
        <v>8477</v>
      </c>
      <c r="H2014" s="73" t="s">
        <v>10146</v>
      </c>
      <c r="I2014" s="100" t="s">
        <v>10147</v>
      </c>
      <c r="J2014" s="2" t="s">
        <v>24</v>
      </c>
      <c r="K2014" s="2" t="s">
        <v>116</v>
      </c>
      <c r="L2014" s="16" t="s">
        <v>10054</v>
      </c>
      <c r="M2014" s="2" t="s">
        <v>24</v>
      </c>
      <c r="N2014" s="2" t="s">
        <v>116</v>
      </c>
      <c r="O2014" s="16" t="s">
        <v>10054</v>
      </c>
      <c r="P2014" s="51">
        <v>0</v>
      </c>
      <c r="Q2014" s="99" t="s">
        <v>8808</v>
      </c>
      <c r="R2014" s="6" t="s">
        <v>9947</v>
      </c>
    </row>
    <row r="2015" spans="1:18">
      <c r="A2015" s="71">
        <v>27</v>
      </c>
      <c r="B2015" s="2" t="s">
        <v>6012</v>
      </c>
      <c r="C2015" s="71">
        <v>94</v>
      </c>
      <c r="D2015" s="2" t="s">
        <v>10124</v>
      </c>
      <c r="E2015" s="74">
        <v>0</v>
      </c>
      <c r="F2015" s="71">
        <v>7</v>
      </c>
      <c r="G2015" s="2" t="s">
        <v>9948</v>
      </c>
      <c r="H2015" s="73" t="s">
        <v>10148</v>
      </c>
      <c r="I2015" s="100" t="s">
        <v>10149</v>
      </c>
      <c r="J2015" s="2" t="s">
        <v>24</v>
      </c>
      <c r="K2015" s="2" t="s">
        <v>335</v>
      </c>
      <c r="M2015" s="2" t="s">
        <v>24</v>
      </c>
      <c r="N2015" s="2" t="s">
        <v>335</v>
      </c>
      <c r="P2015" s="51">
        <v>0</v>
      </c>
      <c r="Q2015" s="99" t="s">
        <v>9949</v>
      </c>
      <c r="R2015" s="6"/>
    </row>
    <row r="2016" spans="1:18">
      <c r="A2016" s="71">
        <v>27</v>
      </c>
      <c r="B2016" s="2" t="s">
        <v>6012</v>
      </c>
      <c r="C2016" s="71">
        <v>94</v>
      </c>
      <c r="D2016" s="2" t="s">
        <v>10124</v>
      </c>
      <c r="E2016" s="74">
        <v>0</v>
      </c>
      <c r="F2016" s="71">
        <v>8</v>
      </c>
      <c r="G2016" s="2" t="s">
        <v>9950</v>
      </c>
      <c r="H2016" s="73" t="s">
        <v>10150</v>
      </c>
      <c r="I2016" s="100" t="s">
        <v>10151</v>
      </c>
      <c r="J2016" s="2" t="s">
        <v>24</v>
      </c>
      <c r="K2016" s="2" t="s">
        <v>335</v>
      </c>
      <c r="M2016" s="2" t="s">
        <v>24</v>
      </c>
      <c r="N2016" s="2" t="s">
        <v>335</v>
      </c>
      <c r="P2016" s="51">
        <v>0</v>
      </c>
      <c r="Q2016" s="99" t="s">
        <v>9951</v>
      </c>
      <c r="R2016" s="6" t="s">
        <v>9952</v>
      </c>
    </row>
    <row r="2017" spans="1:18">
      <c r="A2017" s="71">
        <v>27</v>
      </c>
      <c r="B2017" s="2" t="s">
        <v>6012</v>
      </c>
      <c r="C2017" s="71">
        <v>94</v>
      </c>
      <c r="D2017" s="2" t="s">
        <v>10124</v>
      </c>
      <c r="E2017" s="74">
        <v>0</v>
      </c>
      <c r="F2017" s="71">
        <v>9</v>
      </c>
      <c r="G2017" s="2" t="s">
        <v>9953</v>
      </c>
      <c r="H2017" s="73" t="s">
        <v>10152</v>
      </c>
      <c r="I2017" s="100" t="s">
        <v>10153</v>
      </c>
      <c r="J2017" s="2" t="s">
        <v>24</v>
      </c>
      <c r="K2017" s="2" t="s">
        <v>206</v>
      </c>
      <c r="M2017" s="2" t="s">
        <v>24</v>
      </c>
      <c r="N2017" s="2" t="s">
        <v>206</v>
      </c>
      <c r="P2017" s="51">
        <v>0</v>
      </c>
      <c r="Q2017" s="99" t="s">
        <v>9954</v>
      </c>
      <c r="R2017" s="6"/>
    </row>
    <row r="2018" spans="1:18">
      <c r="A2018" s="71">
        <v>27</v>
      </c>
      <c r="B2018" s="2" t="s">
        <v>6012</v>
      </c>
      <c r="C2018" s="71">
        <v>94</v>
      </c>
      <c r="D2018" s="2" t="s">
        <v>10124</v>
      </c>
      <c r="E2018" s="74">
        <v>0</v>
      </c>
      <c r="F2018" s="71">
        <v>10</v>
      </c>
      <c r="G2018" s="2" t="s">
        <v>9955</v>
      </c>
      <c r="H2018" s="73" t="s">
        <v>10154</v>
      </c>
      <c r="I2018" s="100" t="s">
        <v>10155</v>
      </c>
      <c r="J2018" s="2" t="s">
        <v>24</v>
      </c>
      <c r="K2018" s="2" t="s">
        <v>23</v>
      </c>
      <c r="M2018" s="2" t="s">
        <v>24</v>
      </c>
      <c r="N2018" s="2" t="s">
        <v>23</v>
      </c>
      <c r="P2018" s="51">
        <v>0</v>
      </c>
      <c r="Q2018" s="99" t="s">
        <v>9956</v>
      </c>
      <c r="R2018" s="6" t="s">
        <v>9957</v>
      </c>
    </row>
    <row r="2019" spans="1:18">
      <c r="A2019" s="71">
        <v>27</v>
      </c>
      <c r="B2019" s="2" t="s">
        <v>6012</v>
      </c>
      <c r="C2019" s="71">
        <v>95</v>
      </c>
      <c r="D2019" s="2" t="s">
        <v>10158</v>
      </c>
      <c r="E2019" s="74">
        <v>0</v>
      </c>
      <c r="F2019" s="71">
        <v>0</v>
      </c>
      <c r="G2019" s="2" t="s">
        <v>20</v>
      </c>
      <c r="H2019" s="73" t="s">
        <v>10161</v>
      </c>
      <c r="I2019" s="76" t="s">
        <v>10162</v>
      </c>
      <c r="J2019" s="2" t="s">
        <v>24</v>
      </c>
      <c r="K2019" s="2" t="s">
        <v>25</v>
      </c>
      <c r="L2019" s="2" t="s">
        <v>26</v>
      </c>
      <c r="M2019" s="2" t="s">
        <v>24</v>
      </c>
      <c r="N2019" s="2" t="s">
        <v>25</v>
      </c>
      <c r="O2019" s="2" t="s">
        <v>26</v>
      </c>
      <c r="P2019" s="51">
        <v>0</v>
      </c>
      <c r="Q2019" s="1" t="s">
        <v>10160</v>
      </c>
      <c r="R2019" s="6" t="s">
        <v>10159</v>
      </c>
    </row>
    <row r="2020" spans="1:18">
      <c r="A2020" s="71">
        <v>27</v>
      </c>
      <c r="B2020" s="2" t="s">
        <v>6012</v>
      </c>
      <c r="C2020" s="71">
        <v>95</v>
      </c>
      <c r="D2020" s="2" t="s">
        <v>10158</v>
      </c>
      <c r="E2020" s="74">
        <v>0</v>
      </c>
      <c r="F2020" s="71">
        <v>1</v>
      </c>
      <c r="G2020" s="2" t="s">
        <v>6035</v>
      </c>
      <c r="H2020" s="73" t="s">
        <v>10163</v>
      </c>
      <c r="I2020" s="100" t="s">
        <v>10164</v>
      </c>
      <c r="J2020" s="2" t="s">
        <v>24</v>
      </c>
      <c r="K2020" s="2" t="s">
        <v>25</v>
      </c>
      <c r="L2020" s="2" t="s">
        <v>6037</v>
      </c>
      <c r="M2020" s="2" t="s">
        <v>24</v>
      </c>
      <c r="N2020" s="2" t="s">
        <v>25</v>
      </c>
      <c r="O2020" s="2" t="s">
        <v>6037</v>
      </c>
      <c r="P2020" s="51">
        <v>0</v>
      </c>
      <c r="Q2020" s="99" t="s">
        <v>6038</v>
      </c>
      <c r="R2020" s="6"/>
    </row>
    <row r="2021" spans="1:18">
      <c r="A2021" s="71">
        <v>27</v>
      </c>
      <c r="B2021" s="2" t="s">
        <v>6012</v>
      </c>
      <c r="C2021" s="71">
        <v>95</v>
      </c>
      <c r="D2021" s="2" t="s">
        <v>10158</v>
      </c>
      <c r="E2021" s="74">
        <v>0</v>
      </c>
      <c r="F2021" s="71">
        <v>2</v>
      </c>
      <c r="G2021" s="2" t="s">
        <v>6090</v>
      </c>
      <c r="H2021" s="73" t="s">
        <v>10165</v>
      </c>
      <c r="I2021" s="100" t="s">
        <v>10166</v>
      </c>
      <c r="J2021" s="2" t="s">
        <v>24</v>
      </c>
      <c r="K2021" s="2" t="s">
        <v>23</v>
      </c>
      <c r="M2021" s="2" t="s">
        <v>24</v>
      </c>
      <c r="N2021" s="2" t="s">
        <v>23</v>
      </c>
      <c r="P2021" s="51">
        <v>0</v>
      </c>
      <c r="Q2021" s="99" t="s">
        <v>8767</v>
      </c>
      <c r="R2021" s="6"/>
    </row>
    <row r="2022" spans="1:18">
      <c r="A2022" s="71">
        <v>27</v>
      </c>
      <c r="B2022" s="2" t="s">
        <v>6012</v>
      </c>
      <c r="C2022" s="71">
        <v>95</v>
      </c>
      <c r="D2022" s="2" t="s">
        <v>10158</v>
      </c>
      <c r="E2022" s="74">
        <v>0</v>
      </c>
      <c r="F2022" s="71">
        <v>3</v>
      </c>
      <c r="G2022" s="2" t="s">
        <v>451</v>
      </c>
      <c r="H2022" s="73" t="s">
        <v>10167</v>
      </c>
      <c r="I2022" s="100" t="s">
        <v>10168</v>
      </c>
      <c r="J2022" s="2" t="s">
        <v>24</v>
      </c>
      <c r="K2022" s="2" t="s">
        <v>25</v>
      </c>
      <c r="L2022" s="2" t="s">
        <v>9747</v>
      </c>
      <c r="M2022" s="2" t="s">
        <v>24</v>
      </c>
      <c r="N2022" s="2" t="s">
        <v>25</v>
      </c>
      <c r="O2022" s="2" t="s">
        <v>9747</v>
      </c>
      <c r="P2022" s="51">
        <v>0</v>
      </c>
      <c r="Q2022" s="99" t="s">
        <v>454</v>
      </c>
      <c r="R2022" s="6"/>
    </row>
    <row r="2023" spans="1:18">
      <c r="A2023" s="71">
        <v>27</v>
      </c>
      <c r="B2023" s="2" t="s">
        <v>6012</v>
      </c>
      <c r="C2023" s="71">
        <v>95</v>
      </c>
      <c r="D2023" s="2" t="s">
        <v>10158</v>
      </c>
      <c r="E2023" s="74">
        <v>0</v>
      </c>
      <c r="F2023" s="71">
        <v>4</v>
      </c>
      <c r="G2023" s="2" t="s">
        <v>10073</v>
      </c>
      <c r="H2023" s="73" t="s">
        <v>10169</v>
      </c>
      <c r="I2023" s="100" t="s">
        <v>10170</v>
      </c>
      <c r="J2023" s="2" t="s">
        <v>24</v>
      </c>
      <c r="K2023" s="2" t="s">
        <v>25</v>
      </c>
      <c r="L2023" s="2" t="s">
        <v>10074</v>
      </c>
      <c r="M2023" s="2" t="s">
        <v>24</v>
      </c>
      <c r="N2023" s="2" t="s">
        <v>25</v>
      </c>
      <c r="O2023" s="2" t="s">
        <v>10074</v>
      </c>
      <c r="P2023" s="51">
        <v>0</v>
      </c>
      <c r="Q2023" s="99" t="s">
        <v>10075</v>
      </c>
      <c r="R2023" s="6"/>
    </row>
    <row r="2024" spans="1:18" ht="105">
      <c r="A2024" s="71">
        <v>27</v>
      </c>
      <c r="B2024" s="2" t="s">
        <v>6012</v>
      </c>
      <c r="C2024" s="71">
        <v>95</v>
      </c>
      <c r="D2024" s="2" t="s">
        <v>10158</v>
      </c>
      <c r="E2024" s="74">
        <v>0</v>
      </c>
      <c r="F2024" s="71">
        <v>5</v>
      </c>
      <c r="G2024" s="2" t="s">
        <v>9975</v>
      </c>
      <c r="H2024" s="73" t="s">
        <v>10171</v>
      </c>
      <c r="I2024" s="100" t="s">
        <v>10172</v>
      </c>
      <c r="J2024" s="2" t="s">
        <v>24</v>
      </c>
      <c r="K2024" s="2" t="s">
        <v>116</v>
      </c>
      <c r="L2024" s="16" t="s">
        <v>10060</v>
      </c>
      <c r="M2024" s="2" t="s">
        <v>24</v>
      </c>
      <c r="N2024" s="2" t="s">
        <v>116</v>
      </c>
      <c r="O2024" s="16" t="s">
        <v>10060</v>
      </c>
      <c r="P2024" s="51">
        <v>0</v>
      </c>
      <c r="Q2024" s="99" t="s">
        <v>9976</v>
      </c>
      <c r="R2024" s="6" t="s">
        <v>9977</v>
      </c>
    </row>
    <row r="2025" spans="1:18" ht="30">
      <c r="A2025" s="71">
        <v>27</v>
      </c>
      <c r="B2025" s="2" t="s">
        <v>6012</v>
      </c>
      <c r="C2025" s="71">
        <v>95</v>
      </c>
      <c r="D2025" s="2" t="s">
        <v>10158</v>
      </c>
      <c r="E2025" s="74">
        <v>0</v>
      </c>
      <c r="F2025" s="71">
        <v>6</v>
      </c>
      <c r="G2025" s="2" t="s">
        <v>9978</v>
      </c>
      <c r="H2025" s="73" t="s">
        <v>10173</v>
      </c>
      <c r="I2025" s="100" t="s">
        <v>10174</v>
      </c>
      <c r="J2025" s="2" t="s">
        <v>24</v>
      </c>
      <c r="K2025" s="2" t="s">
        <v>25</v>
      </c>
      <c r="M2025" s="2" t="s">
        <v>24</v>
      </c>
      <c r="N2025" s="2" t="s">
        <v>25</v>
      </c>
      <c r="P2025" s="51">
        <v>0</v>
      </c>
      <c r="Q2025" s="99" t="s">
        <v>9979</v>
      </c>
      <c r="R2025" s="6" t="s">
        <v>9980</v>
      </c>
    </row>
    <row r="2026" spans="1:18" ht="30">
      <c r="A2026" s="71">
        <v>27</v>
      </c>
      <c r="B2026" s="2" t="s">
        <v>6012</v>
      </c>
      <c r="C2026" s="71">
        <v>95</v>
      </c>
      <c r="D2026" s="2" t="s">
        <v>10158</v>
      </c>
      <c r="E2026" s="74">
        <v>0</v>
      </c>
      <c r="F2026" s="71">
        <v>7</v>
      </c>
      <c r="G2026" s="2" t="s">
        <v>9981</v>
      </c>
      <c r="H2026" s="73" t="s">
        <v>10175</v>
      </c>
      <c r="I2026" s="100" t="s">
        <v>10176</v>
      </c>
      <c r="J2026" s="2" t="s">
        <v>24</v>
      </c>
      <c r="K2026" s="2" t="s">
        <v>25</v>
      </c>
      <c r="M2026" s="2" t="s">
        <v>24</v>
      </c>
      <c r="N2026" s="2" t="s">
        <v>25</v>
      </c>
      <c r="P2026" s="51">
        <v>0</v>
      </c>
      <c r="Q2026" s="99" t="s">
        <v>9982</v>
      </c>
      <c r="R2026" s="6" t="s">
        <v>9983</v>
      </c>
    </row>
    <row r="2027" spans="1:18" ht="30">
      <c r="A2027" s="71">
        <v>27</v>
      </c>
      <c r="B2027" s="2" t="s">
        <v>6012</v>
      </c>
      <c r="C2027" s="71">
        <v>95</v>
      </c>
      <c r="D2027" s="2" t="s">
        <v>10158</v>
      </c>
      <c r="E2027" s="74">
        <v>0</v>
      </c>
      <c r="F2027" s="71">
        <v>8</v>
      </c>
      <c r="G2027" s="2" t="s">
        <v>9984</v>
      </c>
      <c r="H2027" s="73" t="s">
        <v>10177</v>
      </c>
      <c r="I2027" s="100" t="s">
        <v>10178</v>
      </c>
      <c r="J2027" s="2" t="s">
        <v>24</v>
      </c>
      <c r="K2027" s="2" t="s">
        <v>25</v>
      </c>
      <c r="M2027" s="2" t="s">
        <v>24</v>
      </c>
      <c r="N2027" s="2" t="s">
        <v>25</v>
      </c>
      <c r="P2027" s="51">
        <v>0</v>
      </c>
      <c r="Q2027" s="99" t="s">
        <v>9985</v>
      </c>
      <c r="R2027" s="6" t="s">
        <v>9986</v>
      </c>
    </row>
    <row r="2028" spans="1:18" ht="30">
      <c r="A2028" s="71">
        <v>27</v>
      </c>
      <c r="B2028" s="2" t="s">
        <v>6012</v>
      </c>
      <c r="C2028" s="71">
        <v>95</v>
      </c>
      <c r="D2028" s="2" t="s">
        <v>10158</v>
      </c>
      <c r="E2028" s="74">
        <v>0</v>
      </c>
      <c r="F2028" s="71">
        <v>9</v>
      </c>
      <c r="G2028" s="2" t="s">
        <v>7171</v>
      </c>
      <c r="H2028" s="73" t="s">
        <v>10179</v>
      </c>
      <c r="I2028" s="100" t="s">
        <v>10180</v>
      </c>
      <c r="J2028" s="2" t="s">
        <v>24</v>
      </c>
      <c r="K2028" s="2" t="s">
        <v>25</v>
      </c>
      <c r="M2028" s="2" t="s">
        <v>24</v>
      </c>
      <c r="N2028" s="2" t="s">
        <v>25</v>
      </c>
      <c r="P2028" s="51">
        <v>0</v>
      </c>
      <c r="Q2028" s="99" t="s">
        <v>9987</v>
      </c>
      <c r="R2028" s="6" t="s">
        <v>9988</v>
      </c>
    </row>
    <row r="2029" spans="1:18" ht="75">
      <c r="A2029" s="71">
        <v>27</v>
      </c>
      <c r="B2029" s="2" t="s">
        <v>6012</v>
      </c>
      <c r="C2029" s="71">
        <v>95</v>
      </c>
      <c r="D2029" s="2" t="s">
        <v>10158</v>
      </c>
      <c r="E2029" s="74">
        <v>0</v>
      </c>
      <c r="F2029" s="71">
        <v>10</v>
      </c>
      <c r="G2029" s="2" t="s">
        <v>9989</v>
      </c>
      <c r="H2029" s="73" t="s">
        <v>10181</v>
      </c>
      <c r="I2029" s="100" t="s">
        <v>10182</v>
      </c>
      <c r="J2029" s="2" t="s">
        <v>24</v>
      </c>
      <c r="K2029" s="2" t="s">
        <v>116</v>
      </c>
      <c r="L2029" s="16" t="s">
        <v>10068</v>
      </c>
      <c r="M2029" s="2" t="s">
        <v>24</v>
      </c>
      <c r="N2029" s="2" t="s">
        <v>116</v>
      </c>
      <c r="O2029" s="16" t="s">
        <v>10068</v>
      </c>
      <c r="P2029" s="51">
        <v>0</v>
      </c>
      <c r="Q2029" s="99" t="s">
        <v>9990</v>
      </c>
      <c r="R2029" s="6" t="s">
        <v>9991</v>
      </c>
    </row>
    <row r="2030" spans="1:18">
      <c r="A2030" s="71">
        <v>27</v>
      </c>
      <c r="B2030" s="2" t="s">
        <v>6012</v>
      </c>
      <c r="C2030" s="71">
        <v>96</v>
      </c>
      <c r="D2030" s="2" t="s">
        <v>10185</v>
      </c>
      <c r="E2030" s="74">
        <v>0</v>
      </c>
      <c r="F2030" s="71">
        <v>0</v>
      </c>
      <c r="G2030" s="2" t="s">
        <v>20</v>
      </c>
      <c r="H2030" s="73" t="s">
        <v>10199</v>
      </c>
      <c r="I2030" s="76" t="s">
        <v>10200</v>
      </c>
      <c r="J2030" s="2" t="s">
        <v>24</v>
      </c>
      <c r="K2030" s="2" t="s">
        <v>25</v>
      </c>
      <c r="L2030" s="2" t="s">
        <v>26</v>
      </c>
      <c r="M2030" s="2" t="s">
        <v>24</v>
      </c>
      <c r="N2030" s="2" t="s">
        <v>25</v>
      </c>
      <c r="O2030" s="2" t="s">
        <v>26</v>
      </c>
      <c r="P2030" s="51">
        <v>0</v>
      </c>
      <c r="Q2030" s="1" t="s">
        <v>10186</v>
      </c>
      <c r="R2030" s="6"/>
    </row>
    <row r="2031" spans="1:18">
      <c r="A2031" s="71">
        <v>27</v>
      </c>
      <c r="B2031" s="2" t="s">
        <v>6012</v>
      </c>
      <c r="C2031" s="71">
        <v>96</v>
      </c>
      <c r="D2031" s="2" t="s">
        <v>10185</v>
      </c>
      <c r="E2031" s="74">
        <v>0</v>
      </c>
      <c r="F2031" s="71">
        <v>1</v>
      </c>
      <c r="G2031" s="2" t="s">
        <v>6035</v>
      </c>
      <c r="H2031" s="73" t="s">
        <v>10201</v>
      </c>
      <c r="I2031" s="100" t="s">
        <v>10202</v>
      </c>
      <c r="J2031" s="2" t="s">
        <v>24</v>
      </c>
      <c r="K2031" s="2" t="s">
        <v>25</v>
      </c>
      <c r="L2031" s="2" t="s">
        <v>6037</v>
      </c>
      <c r="M2031" s="2" t="s">
        <v>24</v>
      </c>
      <c r="N2031" s="2" t="s">
        <v>25</v>
      </c>
      <c r="O2031" s="2" t="s">
        <v>6037</v>
      </c>
      <c r="P2031" s="51">
        <v>0</v>
      </c>
      <c r="Q2031" s="99" t="s">
        <v>6038</v>
      </c>
      <c r="R2031" s="6"/>
    </row>
    <row r="2032" spans="1:18">
      <c r="A2032" s="71">
        <v>27</v>
      </c>
      <c r="B2032" s="2" t="s">
        <v>6012</v>
      </c>
      <c r="C2032" s="71">
        <v>96</v>
      </c>
      <c r="D2032" s="2" t="s">
        <v>10185</v>
      </c>
      <c r="E2032" s="74">
        <v>0</v>
      </c>
      <c r="F2032" s="71">
        <v>2</v>
      </c>
      <c r="G2032" s="2" t="s">
        <v>6090</v>
      </c>
      <c r="H2032" s="73" t="s">
        <v>10203</v>
      </c>
      <c r="I2032" s="100" t="s">
        <v>10204</v>
      </c>
      <c r="J2032" s="2" t="s">
        <v>24</v>
      </c>
      <c r="K2032" s="2" t="s">
        <v>23</v>
      </c>
      <c r="M2032" s="2" t="s">
        <v>24</v>
      </c>
      <c r="N2032" s="2" t="s">
        <v>23</v>
      </c>
      <c r="P2032" s="51">
        <v>0</v>
      </c>
      <c r="Q2032" s="99" t="s">
        <v>8767</v>
      </c>
      <c r="R2032" s="6"/>
    </row>
    <row r="2033" spans="1:18">
      <c r="A2033" s="71">
        <v>27</v>
      </c>
      <c r="B2033" s="2" t="s">
        <v>6012</v>
      </c>
      <c r="C2033" s="71">
        <v>96</v>
      </c>
      <c r="D2033" s="2" t="s">
        <v>10185</v>
      </c>
      <c r="E2033" s="74">
        <v>0</v>
      </c>
      <c r="F2033" s="71">
        <v>3</v>
      </c>
      <c r="G2033" s="2" t="s">
        <v>412</v>
      </c>
      <c r="H2033" s="73" t="s">
        <v>10205</v>
      </c>
      <c r="I2033" s="100" t="s">
        <v>10206</v>
      </c>
      <c r="J2033" s="2" t="s">
        <v>23</v>
      </c>
      <c r="K2033" s="2" t="s">
        <v>23</v>
      </c>
      <c r="M2033" s="2" t="s">
        <v>24</v>
      </c>
      <c r="N2033" s="2" t="s">
        <v>116</v>
      </c>
      <c r="O2033" s="16" t="s">
        <v>10104</v>
      </c>
      <c r="P2033" s="51">
        <v>0</v>
      </c>
      <c r="Q2033" s="99" t="s">
        <v>852</v>
      </c>
      <c r="R2033" s="6"/>
    </row>
    <row r="2034" spans="1:18" ht="30">
      <c r="A2034" s="71">
        <v>27</v>
      </c>
      <c r="B2034" s="2" t="s">
        <v>6012</v>
      </c>
      <c r="C2034" s="71">
        <v>96</v>
      </c>
      <c r="D2034" s="2" t="s">
        <v>10185</v>
      </c>
      <c r="E2034" s="74">
        <v>0</v>
      </c>
      <c r="F2034" s="71">
        <v>4</v>
      </c>
      <c r="G2034" s="2" t="s">
        <v>9787</v>
      </c>
      <c r="H2034" s="73" t="s">
        <v>10207</v>
      </c>
      <c r="I2034" s="100" t="s">
        <v>10208</v>
      </c>
      <c r="J2034" s="2" t="s">
        <v>24</v>
      </c>
      <c r="K2034" s="2" t="s">
        <v>25</v>
      </c>
      <c r="M2034" s="2" t="s">
        <v>24</v>
      </c>
      <c r="N2034" s="2" t="s">
        <v>25</v>
      </c>
      <c r="O2034" s="16"/>
      <c r="P2034" s="51">
        <v>0</v>
      </c>
      <c r="Q2034" s="107" t="s">
        <v>10193</v>
      </c>
      <c r="R2034" s="6" t="s">
        <v>10194</v>
      </c>
    </row>
    <row r="2035" spans="1:18">
      <c r="A2035" s="71">
        <v>27</v>
      </c>
      <c r="B2035" s="2" t="s">
        <v>6012</v>
      </c>
      <c r="C2035" s="71">
        <v>96</v>
      </c>
      <c r="D2035" s="2" t="s">
        <v>10185</v>
      </c>
      <c r="E2035" s="74">
        <v>0</v>
      </c>
      <c r="F2035" s="71">
        <v>5</v>
      </c>
      <c r="G2035" s="2" t="s">
        <v>8454</v>
      </c>
      <c r="H2035" s="73" t="s">
        <v>10209</v>
      </c>
      <c r="I2035" s="100" t="s">
        <v>10210</v>
      </c>
      <c r="J2035" s="2" t="s">
        <v>24</v>
      </c>
      <c r="K2035" s="2" t="s">
        <v>25</v>
      </c>
      <c r="M2035" s="2" t="s">
        <v>24</v>
      </c>
      <c r="N2035" s="2" t="s">
        <v>25</v>
      </c>
      <c r="O2035" s="16"/>
      <c r="P2035" s="51">
        <v>0</v>
      </c>
      <c r="Q2035" s="107" t="s">
        <v>10195</v>
      </c>
      <c r="R2035" s="6"/>
    </row>
    <row r="2036" spans="1:18" ht="30">
      <c r="A2036" s="71">
        <v>27</v>
      </c>
      <c r="B2036" s="2" t="s">
        <v>6012</v>
      </c>
      <c r="C2036" s="71">
        <v>96</v>
      </c>
      <c r="D2036" s="2" t="s">
        <v>10185</v>
      </c>
      <c r="E2036" s="74">
        <v>0</v>
      </c>
      <c r="F2036" s="71">
        <v>6</v>
      </c>
      <c r="G2036" s="2" t="s">
        <v>8452</v>
      </c>
      <c r="H2036" s="73" t="s">
        <v>10211</v>
      </c>
      <c r="I2036" s="100" t="s">
        <v>10212</v>
      </c>
      <c r="J2036" s="2" t="s">
        <v>24</v>
      </c>
      <c r="K2036" s="2" t="s">
        <v>25</v>
      </c>
      <c r="M2036" s="2" t="s">
        <v>24</v>
      </c>
      <c r="N2036" s="2" t="s">
        <v>25</v>
      </c>
      <c r="O2036" s="16"/>
      <c r="P2036" s="51">
        <v>0</v>
      </c>
      <c r="Q2036" s="107" t="s">
        <v>2558</v>
      </c>
      <c r="R2036" s="6" t="s">
        <v>10196</v>
      </c>
    </row>
    <row r="2037" spans="1:18" ht="30">
      <c r="A2037" s="71">
        <v>27</v>
      </c>
      <c r="B2037" s="2" t="s">
        <v>6012</v>
      </c>
      <c r="C2037" s="71">
        <v>96</v>
      </c>
      <c r="D2037" s="2" t="s">
        <v>10185</v>
      </c>
      <c r="E2037" s="74">
        <v>0</v>
      </c>
      <c r="F2037" s="71">
        <v>7</v>
      </c>
      <c r="G2037" s="2" t="s">
        <v>10197</v>
      </c>
      <c r="H2037" s="73" t="s">
        <v>10213</v>
      </c>
      <c r="I2037" s="100" t="s">
        <v>10214</v>
      </c>
      <c r="J2037" s="2" t="s">
        <v>24</v>
      </c>
      <c r="K2037" s="2" t="s">
        <v>25</v>
      </c>
      <c r="M2037" s="2" t="s">
        <v>24</v>
      </c>
      <c r="N2037" s="2" t="s">
        <v>25</v>
      </c>
      <c r="O2037" s="16"/>
      <c r="P2037" s="51">
        <v>0</v>
      </c>
      <c r="Q2037" s="107" t="s">
        <v>8773</v>
      </c>
      <c r="R2037" s="6" t="s">
        <v>10198</v>
      </c>
    </row>
    <row r="2038" spans="1:18" ht="30">
      <c r="A2038" s="71">
        <v>27</v>
      </c>
      <c r="B2038" s="2" t="s">
        <v>6012</v>
      </c>
      <c r="C2038" s="71">
        <v>96</v>
      </c>
      <c r="D2038" s="2" t="s">
        <v>10185</v>
      </c>
      <c r="E2038" s="74">
        <v>0</v>
      </c>
      <c r="F2038" s="71">
        <v>8</v>
      </c>
      <c r="G2038" s="2" t="s">
        <v>10215</v>
      </c>
      <c r="H2038" s="73" t="s">
        <v>10218</v>
      </c>
      <c r="I2038" s="100" t="s">
        <v>10219</v>
      </c>
      <c r="J2038" s="2" t="s">
        <v>24</v>
      </c>
      <c r="K2038" s="2" t="s">
        <v>25</v>
      </c>
      <c r="M2038" s="2" t="s">
        <v>24</v>
      </c>
      <c r="N2038" s="2" t="s">
        <v>25</v>
      </c>
      <c r="O2038" s="16"/>
      <c r="P2038" s="51">
        <v>0</v>
      </c>
      <c r="Q2038" s="107" t="s">
        <v>10217</v>
      </c>
      <c r="R2038" s="6" t="s">
        <v>10216</v>
      </c>
    </row>
    <row r="2039" spans="1:18">
      <c r="A2039" s="71">
        <v>27</v>
      </c>
      <c r="B2039" s="2" t="s">
        <v>6012</v>
      </c>
      <c r="C2039" s="71">
        <v>96</v>
      </c>
      <c r="D2039" s="2" t="s">
        <v>10185</v>
      </c>
      <c r="E2039" s="74">
        <v>0</v>
      </c>
      <c r="F2039" s="71">
        <v>9</v>
      </c>
      <c r="G2039" s="2" t="s">
        <v>10221</v>
      </c>
      <c r="H2039" s="73" t="s">
        <v>10228</v>
      </c>
      <c r="I2039" s="100" t="s">
        <v>10229</v>
      </c>
      <c r="J2039" s="2" t="s">
        <v>24</v>
      </c>
      <c r="K2039" s="2" t="s">
        <v>25</v>
      </c>
      <c r="M2039" s="2" t="s">
        <v>24</v>
      </c>
      <c r="N2039" s="2" t="s">
        <v>25</v>
      </c>
      <c r="O2039" s="16"/>
      <c r="P2039" s="51">
        <v>0</v>
      </c>
      <c r="Q2039" s="107" t="s">
        <v>10220</v>
      </c>
      <c r="R2039" s="6"/>
    </row>
    <row r="2040" spans="1:18">
      <c r="A2040" s="71">
        <v>27</v>
      </c>
      <c r="B2040" s="2" t="s">
        <v>6012</v>
      </c>
      <c r="C2040" s="71">
        <v>96</v>
      </c>
      <c r="D2040" s="2" t="s">
        <v>10185</v>
      </c>
      <c r="E2040" s="74">
        <v>0</v>
      </c>
      <c r="F2040" s="71">
        <v>10</v>
      </c>
      <c r="G2040" s="2" t="s">
        <v>10222</v>
      </c>
      <c r="H2040" s="73" t="s">
        <v>10230</v>
      </c>
      <c r="I2040" s="100" t="s">
        <v>10231</v>
      </c>
      <c r="J2040" s="2" t="s">
        <v>24</v>
      </c>
      <c r="K2040" s="2" t="s">
        <v>25</v>
      </c>
      <c r="M2040" s="2" t="s">
        <v>24</v>
      </c>
      <c r="N2040" s="2" t="s">
        <v>25</v>
      </c>
      <c r="O2040" s="16"/>
      <c r="P2040" s="51">
        <v>0</v>
      </c>
      <c r="Q2040" s="107" t="s">
        <v>10223</v>
      </c>
      <c r="R2040" s="6"/>
    </row>
    <row r="2041" spans="1:18">
      <c r="A2041" s="71">
        <v>27</v>
      </c>
      <c r="B2041" s="2" t="s">
        <v>6012</v>
      </c>
      <c r="C2041" s="71">
        <v>96</v>
      </c>
      <c r="D2041" s="2" t="s">
        <v>10185</v>
      </c>
      <c r="E2041" s="74">
        <v>0</v>
      </c>
      <c r="F2041" s="71">
        <v>11</v>
      </c>
      <c r="G2041" s="2" t="s">
        <v>10224</v>
      </c>
      <c r="H2041" s="73" t="s">
        <v>10232</v>
      </c>
      <c r="I2041" s="100" t="s">
        <v>10233</v>
      </c>
      <c r="J2041" s="2" t="s">
        <v>24</v>
      </c>
      <c r="K2041" s="2" t="s">
        <v>25</v>
      </c>
      <c r="M2041" s="2" t="s">
        <v>24</v>
      </c>
      <c r="N2041" s="2" t="s">
        <v>25</v>
      </c>
      <c r="O2041" s="16"/>
      <c r="P2041" s="51">
        <v>0</v>
      </c>
      <c r="Q2041" s="107" t="s">
        <v>10225</v>
      </c>
      <c r="R2041" s="6"/>
    </row>
    <row r="2042" spans="1:18">
      <c r="A2042" s="71">
        <v>27</v>
      </c>
      <c r="B2042" s="2" t="s">
        <v>6012</v>
      </c>
      <c r="C2042" s="71">
        <v>96</v>
      </c>
      <c r="D2042" s="2" t="s">
        <v>10185</v>
      </c>
      <c r="E2042" s="74">
        <v>0</v>
      </c>
      <c r="F2042" s="71">
        <v>12</v>
      </c>
      <c r="G2042" s="2" t="s">
        <v>10226</v>
      </c>
      <c r="H2042" s="73" t="s">
        <v>10234</v>
      </c>
      <c r="I2042" s="100" t="s">
        <v>10235</v>
      </c>
      <c r="J2042" s="2" t="s">
        <v>24</v>
      </c>
      <c r="K2042" s="2" t="s">
        <v>25</v>
      </c>
      <c r="M2042" s="2" t="s">
        <v>24</v>
      </c>
      <c r="N2042" s="2" t="s">
        <v>25</v>
      </c>
      <c r="O2042" s="16"/>
      <c r="P2042" s="51">
        <v>0</v>
      </c>
      <c r="Q2042" s="107" t="s">
        <v>10227</v>
      </c>
      <c r="R2042" s="6"/>
    </row>
    <row r="2043" spans="1:18">
      <c r="A2043" s="71">
        <v>27</v>
      </c>
      <c r="B2043" s="2" t="s">
        <v>6012</v>
      </c>
      <c r="C2043" s="71">
        <v>97</v>
      </c>
      <c r="D2043" s="2" t="s">
        <v>10236</v>
      </c>
      <c r="E2043" s="74">
        <v>0</v>
      </c>
      <c r="F2043" s="71">
        <v>0</v>
      </c>
      <c r="G2043" s="2" t="s">
        <v>20</v>
      </c>
      <c r="H2043" s="73" t="s">
        <v>10243</v>
      </c>
      <c r="I2043" s="76" t="s">
        <v>10244</v>
      </c>
      <c r="J2043" s="2" t="s">
        <v>24</v>
      </c>
      <c r="K2043" s="2" t="s">
        <v>25</v>
      </c>
      <c r="L2043" s="2" t="s">
        <v>26</v>
      </c>
      <c r="M2043" s="2" t="s">
        <v>24</v>
      </c>
      <c r="N2043" s="2" t="s">
        <v>25</v>
      </c>
      <c r="O2043" s="2" t="s">
        <v>26</v>
      </c>
      <c r="P2043" s="51">
        <v>0</v>
      </c>
      <c r="Q2043" s="1" t="s">
        <v>10261</v>
      </c>
      <c r="R2043" s="6"/>
    </row>
    <row r="2044" spans="1:18">
      <c r="A2044" s="71">
        <v>27</v>
      </c>
      <c r="B2044" s="2" t="s">
        <v>6012</v>
      </c>
      <c r="C2044" s="71">
        <v>97</v>
      </c>
      <c r="D2044" s="2" t="s">
        <v>10236</v>
      </c>
      <c r="E2044" s="74">
        <v>0</v>
      </c>
      <c r="F2044" s="71">
        <v>1</v>
      </c>
      <c r="G2044" s="2" t="s">
        <v>6035</v>
      </c>
      <c r="H2044" s="73" t="s">
        <v>10245</v>
      </c>
      <c r="I2044" s="100" t="s">
        <v>10246</v>
      </c>
      <c r="J2044" s="2" t="s">
        <v>24</v>
      </c>
      <c r="K2044" s="2" t="s">
        <v>25</v>
      </c>
      <c r="L2044" s="2" t="s">
        <v>6037</v>
      </c>
      <c r="M2044" s="2" t="s">
        <v>24</v>
      </c>
      <c r="N2044" s="2" t="s">
        <v>25</v>
      </c>
      <c r="O2044" s="2" t="s">
        <v>6037</v>
      </c>
      <c r="P2044" s="51">
        <v>0</v>
      </c>
      <c r="Q2044" s="99" t="s">
        <v>6038</v>
      </c>
      <c r="R2044" s="6"/>
    </row>
    <row r="2045" spans="1:18">
      <c r="A2045" s="71">
        <v>27</v>
      </c>
      <c r="B2045" s="2" t="s">
        <v>6012</v>
      </c>
      <c r="C2045" s="71">
        <v>97</v>
      </c>
      <c r="D2045" s="2" t="s">
        <v>10236</v>
      </c>
      <c r="E2045" s="74">
        <v>0</v>
      </c>
      <c r="F2045" s="71">
        <v>2</v>
      </c>
      <c r="G2045" s="2" t="s">
        <v>6090</v>
      </c>
      <c r="H2045" s="73" t="s">
        <v>10247</v>
      </c>
      <c r="I2045" s="100" t="s">
        <v>10248</v>
      </c>
      <c r="J2045" s="2" t="s">
        <v>24</v>
      </c>
      <c r="K2045" s="2" t="s">
        <v>23</v>
      </c>
      <c r="M2045" s="2" t="s">
        <v>24</v>
      </c>
      <c r="N2045" s="2" t="s">
        <v>23</v>
      </c>
      <c r="P2045" s="51">
        <v>0</v>
      </c>
      <c r="Q2045" s="99" t="s">
        <v>8767</v>
      </c>
      <c r="R2045" s="6"/>
    </row>
    <row r="2046" spans="1:18">
      <c r="A2046" s="71">
        <v>27</v>
      </c>
      <c r="B2046" s="2" t="s">
        <v>6012</v>
      </c>
      <c r="C2046" s="71">
        <v>97</v>
      </c>
      <c r="D2046" s="2" t="s">
        <v>10236</v>
      </c>
      <c r="E2046" s="74">
        <v>0</v>
      </c>
      <c r="F2046" s="71">
        <v>3</v>
      </c>
      <c r="G2046" s="2" t="s">
        <v>10237</v>
      </c>
      <c r="H2046" s="73" t="s">
        <v>10249</v>
      </c>
      <c r="I2046" s="100" t="s">
        <v>10250</v>
      </c>
      <c r="J2046" s="2" t="s">
        <v>24</v>
      </c>
      <c r="K2046" s="2" t="s">
        <v>335</v>
      </c>
      <c r="M2046" s="2" t="s">
        <v>24</v>
      </c>
      <c r="N2046" s="2" t="s">
        <v>335</v>
      </c>
      <c r="P2046" s="51">
        <v>0</v>
      </c>
      <c r="Q2046" s="99" t="s">
        <v>8782</v>
      </c>
      <c r="R2046" s="6" t="s">
        <v>10238</v>
      </c>
    </row>
    <row r="2047" spans="1:18">
      <c r="A2047" s="71">
        <v>27</v>
      </c>
      <c r="B2047" s="2" t="s">
        <v>6012</v>
      </c>
      <c r="C2047" s="71">
        <v>97</v>
      </c>
      <c r="D2047" s="2" t="s">
        <v>10236</v>
      </c>
      <c r="E2047" s="74">
        <v>0</v>
      </c>
      <c r="F2047" s="71">
        <v>4</v>
      </c>
      <c r="G2047" s="2" t="s">
        <v>10239</v>
      </c>
      <c r="H2047" s="73" t="s">
        <v>10251</v>
      </c>
      <c r="I2047" s="100" t="s">
        <v>10252</v>
      </c>
      <c r="J2047" s="2" t="s">
        <v>24</v>
      </c>
      <c r="K2047" s="2" t="s">
        <v>121</v>
      </c>
      <c r="M2047" s="2" t="s">
        <v>24</v>
      </c>
      <c r="N2047" s="2" t="s">
        <v>121</v>
      </c>
      <c r="P2047" s="51">
        <v>0</v>
      </c>
      <c r="Q2047" s="99" t="s">
        <v>10240</v>
      </c>
      <c r="R2047" s="6" t="s">
        <v>10241</v>
      </c>
    </row>
    <row r="2048" spans="1:18">
      <c r="A2048" s="71">
        <v>27</v>
      </c>
      <c r="B2048" s="2" t="s">
        <v>6012</v>
      </c>
      <c r="C2048" s="71">
        <v>97</v>
      </c>
      <c r="D2048" s="2" t="s">
        <v>10236</v>
      </c>
      <c r="E2048" s="74">
        <v>0</v>
      </c>
      <c r="F2048" s="71">
        <v>5</v>
      </c>
      <c r="G2048" s="2" t="s">
        <v>10242</v>
      </c>
      <c r="H2048" s="73" t="s">
        <v>10253</v>
      </c>
      <c r="I2048" s="100" t="s">
        <v>10254</v>
      </c>
      <c r="J2048" s="2" t="s">
        <v>24</v>
      </c>
      <c r="K2048" s="2" t="s">
        <v>133</v>
      </c>
      <c r="M2048" s="2" t="s">
        <v>24</v>
      </c>
      <c r="N2048" s="2" t="s">
        <v>133</v>
      </c>
      <c r="P2048" s="51">
        <v>0</v>
      </c>
      <c r="Q2048" s="99" t="s">
        <v>8797</v>
      </c>
      <c r="R2048" s="6"/>
    </row>
    <row r="2049" spans="1:18">
      <c r="A2049" s="71">
        <v>27</v>
      </c>
      <c r="B2049" s="2" t="s">
        <v>6012</v>
      </c>
      <c r="C2049" s="71">
        <v>97</v>
      </c>
      <c r="D2049" s="2" t="s">
        <v>10236</v>
      </c>
      <c r="E2049" s="74">
        <v>0</v>
      </c>
      <c r="F2049" s="71">
        <v>6</v>
      </c>
      <c r="G2049" s="2" t="s">
        <v>10221</v>
      </c>
      <c r="H2049" s="73" t="s">
        <v>10255</v>
      </c>
      <c r="I2049" s="100" t="s">
        <v>10256</v>
      </c>
      <c r="J2049" s="2" t="s">
        <v>24</v>
      </c>
      <c r="K2049" s="2" t="s">
        <v>25</v>
      </c>
      <c r="M2049" s="2" t="s">
        <v>24</v>
      </c>
      <c r="N2049" s="2" t="s">
        <v>25</v>
      </c>
      <c r="O2049" s="16"/>
      <c r="P2049" s="51">
        <v>0</v>
      </c>
      <c r="Q2049" s="107" t="s">
        <v>10220</v>
      </c>
      <c r="R2049" s="6"/>
    </row>
    <row r="2050" spans="1:18">
      <c r="A2050" s="71">
        <v>27</v>
      </c>
      <c r="B2050" s="2" t="s">
        <v>6012</v>
      </c>
      <c r="C2050" s="71">
        <v>97</v>
      </c>
      <c r="D2050" s="2" t="s">
        <v>10236</v>
      </c>
      <c r="E2050" s="74">
        <v>0</v>
      </c>
      <c r="F2050" s="71">
        <v>7</v>
      </c>
      <c r="G2050" s="2" t="s">
        <v>10222</v>
      </c>
      <c r="H2050" s="73" t="s">
        <v>10257</v>
      </c>
      <c r="I2050" s="100" t="s">
        <v>10258</v>
      </c>
      <c r="J2050" s="2" t="s">
        <v>24</v>
      </c>
      <c r="K2050" s="2" t="s">
        <v>25</v>
      </c>
      <c r="M2050" s="2" t="s">
        <v>24</v>
      </c>
      <c r="N2050" s="2" t="s">
        <v>25</v>
      </c>
      <c r="O2050" s="16"/>
      <c r="P2050" s="51">
        <v>0</v>
      </c>
      <c r="Q2050" s="107" t="s">
        <v>10223</v>
      </c>
      <c r="R2050" s="6"/>
    </row>
    <row r="2051" spans="1:18">
      <c r="A2051" s="71">
        <v>27</v>
      </c>
      <c r="B2051" s="2" t="s">
        <v>6012</v>
      </c>
      <c r="C2051" s="71">
        <v>97</v>
      </c>
      <c r="D2051" s="2" t="s">
        <v>10236</v>
      </c>
      <c r="E2051" s="74">
        <v>0</v>
      </c>
      <c r="F2051" s="71">
        <v>8</v>
      </c>
      <c r="G2051" s="2" t="s">
        <v>10224</v>
      </c>
      <c r="H2051" s="73" t="s">
        <v>10259</v>
      </c>
      <c r="I2051" s="100" t="s">
        <v>10260</v>
      </c>
      <c r="J2051" s="2" t="s">
        <v>24</v>
      </c>
      <c r="K2051" s="2" t="s">
        <v>25</v>
      </c>
      <c r="M2051" s="2" t="s">
        <v>24</v>
      </c>
      <c r="N2051" s="2" t="s">
        <v>25</v>
      </c>
      <c r="O2051" s="16"/>
      <c r="P2051" s="51">
        <v>0</v>
      </c>
      <c r="Q2051" s="107" t="s">
        <v>10225</v>
      </c>
      <c r="R2051" s="6"/>
    </row>
    <row r="2052" spans="1:18">
      <c r="A2052" s="71">
        <v>27</v>
      </c>
      <c r="B2052" s="2" t="s">
        <v>6012</v>
      </c>
      <c r="C2052" s="71">
        <v>98</v>
      </c>
      <c r="D2052" s="2" t="s">
        <v>10262</v>
      </c>
      <c r="E2052" s="74">
        <v>0</v>
      </c>
      <c r="F2052" s="71">
        <v>0</v>
      </c>
      <c r="G2052" s="2" t="s">
        <v>20</v>
      </c>
      <c r="H2052" s="73" t="s">
        <v>10267</v>
      </c>
      <c r="I2052" s="76" t="s">
        <v>10268</v>
      </c>
      <c r="J2052" s="2" t="s">
        <v>24</v>
      </c>
      <c r="K2052" s="2" t="s">
        <v>25</v>
      </c>
      <c r="L2052" s="2" t="s">
        <v>26</v>
      </c>
      <c r="M2052" s="2" t="s">
        <v>24</v>
      </c>
      <c r="N2052" s="2" t="s">
        <v>25</v>
      </c>
      <c r="O2052" s="2" t="s">
        <v>26</v>
      </c>
      <c r="P2052" s="51">
        <v>0</v>
      </c>
      <c r="Q2052" s="1" t="s">
        <v>10263</v>
      </c>
      <c r="R2052" s="6"/>
    </row>
    <row r="2053" spans="1:18">
      <c r="A2053" s="71">
        <v>27</v>
      </c>
      <c r="B2053" s="2" t="s">
        <v>6012</v>
      </c>
      <c r="C2053" s="71">
        <v>98</v>
      </c>
      <c r="D2053" s="2" t="s">
        <v>10262</v>
      </c>
      <c r="E2053" s="74">
        <v>0</v>
      </c>
      <c r="F2053" s="71">
        <v>1</v>
      </c>
      <c r="G2053" s="2" t="s">
        <v>6035</v>
      </c>
      <c r="H2053" s="73" t="s">
        <v>10269</v>
      </c>
      <c r="I2053" s="100" t="s">
        <v>10270</v>
      </c>
      <c r="J2053" s="2" t="s">
        <v>24</v>
      </c>
      <c r="K2053" s="2" t="s">
        <v>25</v>
      </c>
      <c r="L2053" s="2" t="s">
        <v>6037</v>
      </c>
      <c r="M2053" s="2" t="s">
        <v>24</v>
      </c>
      <c r="N2053" s="2" t="s">
        <v>25</v>
      </c>
      <c r="O2053" s="2" t="s">
        <v>6037</v>
      </c>
      <c r="P2053" s="51">
        <v>0</v>
      </c>
      <c r="Q2053" s="99" t="s">
        <v>6038</v>
      </c>
      <c r="R2053" s="6"/>
    </row>
    <row r="2054" spans="1:18">
      <c r="A2054" s="71">
        <v>27</v>
      </c>
      <c r="B2054" s="2" t="s">
        <v>6012</v>
      </c>
      <c r="C2054" s="71">
        <v>98</v>
      </c>
      <c r="D2054" s="2" t="s">
        <v>10262</v>
      </c>
      <c r="E2054" s="74">
        <v>0</v>
      </c>
      <c r="F2054" s="71">
        <v>2</v>
      </c>
      <c r="G2054" s="2" t="s">
        <v>6090</v>
      </c>
      <c r="H2054" s="73" t="s">
        <v>10271</v>
      </c>
      <c r="I2054" s="100" t="s">
        <v>10272</v>
      </c>
      <c r="J2054" s="2" t="s">
        <v>24</v>
      </c>
      <c r="K2054" s="2" t="s">
        <v>23</v>
      </c>
      <c r="M2054" s="2" t="s">
        <v>24</v>
      </c>
      <c r="N2054" s="2" t="s">
        <v>23</v>
      </c>
      <c r="P2054" s="51">
        <v>0</v>
      </c>
      <c r="Q2054" s="99" t="s">
        <v>8767</v>
      </c>
      <c r="R2054" s="6"/>
    </row>
    <row r="2055" spans="1:18">
      <c r="A2055" s="71">
        <v>27</v>
      </c>
      <c r="B2055" s="2" t="s">
        <v>6012</v>
      </c>
      <c r="C2055" s="71">
        <v>98</v>
      </c>
      <c r="D2055" s="2" t="s">
        <v>10262</v>
      </c>
      <c r="E2055" s="74">
        <v>0</v>
      </c>
      <c r="F2055" s="71">
        <v>3</v>
      </c>
      <c r="G2055" s="2" t="s">
        <v>10264</v>
      </c>
      <c r="H2055" s="73" t="s">
        <v>10273</v>
      </c>
      <c r="I2055" s="100" t="s">
        <v>10274</v>
      </c>
      <c r="J2055" s="2" t="s">
        <v>24</v>
      </c>
      <c r="K2055" s="2" t="s">
        <v>133</v>
      </c>
      <c r="M2055" s="2" t="s">
        <v>24</v>
      </c>
      <c r="N2055" s="2" t="s">
        <v>133</v>
      </c>
      <c r="P2055" s="51">
        <v>0</v>
      </c>
      <c r="Q2055" s="99" t="s">
        <v>8798</v>
      </c>
      <c r="R2055" s="6"/>
    </row>
    <row r="2056" spans="1:18">
      <c r="A2056" s="71">
        <v>27</v>
      </c>
      <c r="B2056" s="2" t="s">
        <v>6012</v>
      </c>
      <c r="C2056" s="71">
        <v>98</v>
      </c>
      <c r="D2056" s="2" t="s">
        <v>10262</v>
      </c>
      <c r="E2056" s="74">
        <v>0</v>
      </c>
      <c r="F2056" s="71">
        <v>4</v>
      </c>
      <c r="G2056" s="2" t="s">
        <v>8474</v>
      </c>
      <c r="H2056" s="73" t="s">
        <v>10275</v>
      </c>
      <c r="I2056" s="100" t="s">
        <v>10276</v>
      </c>
      <c r="J2056" s="2" t="s">
        <v>24</v>
      </c>
      <c r="K2056" s="2" t="s">
        <v>133</v>
      </c>
      <c r="M2056" s="2" t="s">
        <v>24</v>
      </c>
      <c r="N2056" s="2" t="s">
        <v>133</v>
      </c>
      <c r="P2056" s="51">
        <v>0</v>
      </c>
      <c r="Q2056" s="99" t="s">
        <v>10265</v>
      </c>
      <c r="R2056" s="6"/>
    </row>
    <row r="2057" spans="1:18">
      <c r="A2057" s="71">
        <v>27</v>
      </c>
      <c r="B2057" s="2" t="s">
        <v>6012</v>
      </c>
      <c r="C2057" s="71">
        <v>98</v>
      </c>
      <c r="D2057" s="2" t="s">
        <v>10262</v>
      </c>
      <c r="E2057" s="74">
        <v>0</v>
      </c>
      <c r="F2057" s="71">
        <v>5</v>
      </c>
      <c r="G2057" s="2" t="s">
        <v>8475</v>
      </c>
      <c r="H2057" s="73" t="s">
        <v>10277</v>
      </c>
      <c r="I2057" s="100" t="s">
        <v>10278</v>
      </c>
      <c r="J2057" s="2" t="s">
        <v>24</v>
      </c>
      <c r="K2057" s="2" t="s">
        <v>133</v>
      </c>
      <c r="M2057" s="2" t="s">
        <v>24</v>
      </c>
      <c r="N2057" s="2" t="s">
        <v>133</v>
      </c>
      <c r="P2057" s="51">
        <v>0</v>
      </c>
      <c r="Q2057" s="99" t="s">
        <v>10266</v>
      </c>
      <c r="R2057" s="6"/>
    </row>
    <row r="2058" spans="1:18">
      <c r="A2058" s="71">
        <v>27</v>
      </c>
      <c r="B2058" s="2" t="s">
        <v>6012</v>
      </c>
      <c r="C2058" s="71">
        <v>99</v>
      </c>
      <c r="D2058" s="2" t="s">
        <v>10279</v>
      </c>
      <c r="E2058" s="74">
        <v>0</v>
      </c>
      <c r="F2058" s="71">
        <v>0</v>
      </c>
      <c r="G2058" s="2" t="s">
        <v>20</v>
      </c>
      <c r="H2058" s="73" t="s">
        <v>10284</v>
      </c>
      <c r="I2058" s="76" t="s">
        <v>10285</v>
      </c>
      <c r="J2058" s="2" t="s">
        <v>24</v>
      </c>
      <c r="K2058" s="2" t="s">
        <v>25</v>
      </c>
      <c r="L2058" s="2" t="s">
        <v>26</v>
      </c>
      <c r="M2058" s="2" t="s">
        <v>24</v>
      </c>
      <c r="N2058" s="2" t="s">
        <v>25</v>
      </c>
      <c r="O2058" s="2" t="s">
        <v>26</v>
      </c>
      <c r="P2058" s="51">
        <v>0</v>
      </c>
      <c r="Q2058" s="1" t="s">
        <v>10280</v>
      </c>
      <c r="R2058" s="6"/>
    </row>
    <row r="2059" spans="1:18">
      <c r="A2059" s="71">
        <v>27</v>
      </c>
      <c r="B2059" s="2" t="s">
        <v>6012</v>
      </c>
      <c r="C2059" s="71">
        <v>99</v>
      </c>
      <c r="D2059" s="2" t="s">
        <v>10279</v>
      </c>
      <c r="E2059" s="74">
        <v>0</v>
      </c>
      <c r="F2059" s="71">
        <v>1</v>
      </c>
      <c r="G2059" s="2" t="s">
        <v>6035</v>
      </c>
      <c r="H2059" s="73" t="s">
        <v>10286</v>
      </c>
      <c r="I2059" s="100" t="s">
        <v>10287</v>
      </c>
      <c r="J2059" s="2" t="s">
        <v>24</v>
      </c>
      <c r="K2059" s="2" t="s">
        <v>25</v>
      </c>
      <c r="L2059" s="2" t="s">
        <v>6037</v>
      </c>
      <c r="M2059" s="2" t="s">
        <v>24</v>
      </c>
      <c r="N2059" s="2" t="s">
        <v>25</v>
      </c>
      <c r="O2059" s="2" t="s">
        <v>6037</v>
      </c>
      <c r="P2059" s="51">
        <v>0</v>
      </c>
      <c r="Q2059" s="99" t="s">
        <v>6038</v>
      </c>
      <c r="R2059" s="6"/>
    </row>
    <row r="2060" spans="1:18">
      <c r="A2060" s="71">
        <v>27</v>
      </c>
      <c r="B2060" s="2" t="s">
        <v>6012</v>
      </c>
      <c r="C2060" s="71">
        <v>99</v>
      </c>
      <c r="D2060" s="2" t="s">
        <v>10279</v>
      </c>
      <c r="E2060" s="74">
        <v>0</v>
      </c>
      <c r="F2060" s="71">
        <v>2</v>
      </c>
      <c r="G2060" s="2" t="s">
        <v>6090</v>
      </c>
      <c r="H2060" s="73" t="s">
        <v>10288</v>
      </c>
      <c r="I2060" s="100" t="s">
        <v>10289</v>
      </c>
      <c r="J2060" s="2" t="s">
        <v>24</v>
      </c>
      <c r="K2060" s="2" t="s">
        <v>23</v>
      </c>
      <c r="M2060" s="2" t="s">
        <v>24</v>
      </c>
      <c r="N2060" s="2" t="s">
        <v>23</v>
      </c>
      <c r="P2060" s="51">
        <v>0</v>
      </c>
      <c r="Q2060" s="99" t="s">
        <v>8767</v>
      </c>
      <c r="R2060" s="6"/>
    </row>
    <row r="2061" spans="1:18">
      <c r="A2061" s="71">
        <v>27</v>
      </c>
      <c r="B2061" s="2" t="s">
        <v>6012</v>
      </c>
      <c r="C2061" s="71">
        <v>99</v>
      </c>
      <c r="D2061" s="2" t="s">
        <v>10279</v>
      </c>
      <c r="E2061" s="74">
        <v>0</v>
      </c>
      <c r="F2061" s="71">
        <v>3</v>
      </c>
      <c r="G2061" s="2" t="s">
        <v>10281</v>
      </c>
      <c r="H2061" s="73" t="s">
        <v>10290</v>
      </c>
      <c r="I2061" s="100" t="s">
        <v>10291</v>
      </c>
      <c r="J2061" s="2" t="s">
        <v>24</v>
      </c>
      <c r="K2061" s="2" t="s">
        <v>121</v>
      </c>
      <c r="M2061" s="2" t="s">
        <v>24</v>
      </c>
      <c r="N2061" s="2" t="s">
        <v>121</v>
      </c>
      <c r="P2061" s="51">
        <v>0</v>
      </c>
      <c r="Q2061" s="99" t="s">
        <v>10282</v>
      </c>
      <c r="R2061" s="6"/>
    </row>
    <row r="2062" spans="1:18">
      <c r="A2062" s="71">
        <v>27</v>
      </c>
      <c r="B2062" s="2" t="s">
        <v>6012</v>
      </c>
      <c r="C2062" s="71">
        <v>99</v>
      </c>
      <c r="D2062" s="2" t="s">
        <v>10279</v>
      </c>
      <c r="E2062" s="74">
        <v>0</v>
      </c>
      <c r="F2062" s="71">
        <v>4</v>
      </c>
      <c r="G2062" s="2" t="s">
        <v>10283</v>
      </c>
      <c r="H2062" s="73" t="s">
        <v>10292</v>
      </c>
      <c r="I2062" s="100" t="s">
        <v>10293</v>
      </c>
      <c r="J2062" s="2" t="s">
        <v>24</v>
      </c>
      <c r="K2062" s="2" t="s">
        <v>116</v>
      </c>
      <c r="L2062" s="16" t="s">
        <v>10293</v>
      </c>
      <c r="M2062" s="2" t="s">
        <v>24</v>
      </c>
      <c r="N2062" s="2" t="s">
        <v>116</v>
      </c>
      <c r="O2062" s="16" t="s">
        <v>10293</v>
      </c>
      <c r="P2062" s="51">
        <v>0</v>
      </c>
      <c r="Q2062" s="99" t="s">
        <v>8784</v>
      </c>
      <c r="R2062" s="6"/>
    </row>
    <row r="2063" spans="1:18">
      <c r="A2063" s="71">
        <v>27</v>
      </c>
      <c r="B2063" s="2" t="s">
        <v>6012</v>
      </c>
      <c r="C2063" s="71">
        <v>99</v>
      </c>
      <c r="D2063" s="2" t="s">
        <v>10279</v>
      </c>
      <c r="E2063" s="74">
        <v>0</v>
      </c>
      <c r="F2063" s="71">
        <v>5</v>
      </c>
      <c r="G2063" s="2" t="s">
        <v>10294</v>
      </c>
      <c r="H2063" s="73" t="s">
        <v>10305</v>
      </c>
      <c r="I2063" s="100" t="s">
        <v>10306</v>
      </c>
      <c r="J2063" s="2" t="s">
        <v>24</v>
      </c>
      <c r="K2063" s="2" t="s">
        <v>133</v>
      </c>
      <c r="M2063" s="2" t="s">
        <v>24</v>
      </c>
      <c r="N2063" s="2" t="s">
        <v>133</v>
      </c>
      <c r="P2063" s="51">
        <v>0</v>
      </c>
      <c r="Q2063" s="99" t="s">
        <v>8801</v>
      </c>
      <c r="R2063" s="6"/>
    </row>
    <row r="2064" spans="1:18" ht="60">
      <c r="A2064" s="71">
        <v>27</v>
      </c>
      <c r="B2064" s="2" t="s">
        <v>6012</v>
      </c>
      <c r="C2064" s="71">
        <v>99</v>
      </c>
      <c r="D2064" s="2" t="s">
        <v>10279</v>
      </c>
      <c r="E2064" s="74">
        <v>0</v>
      </c>
      <c r="F2064" s="71">
        <v>6</v>
      </c>
      <c r="G2064" s="2" t="s">
        <v>10295</v>
      </c>
      <c r="H2064" s="73" t="s">
        <v>10307</v>
      </c>
      <c r="I2064" s="100" t="s">
        <v>10308</v>
      </c>
      <c r="J2064" s="2" t="s">
        <v>24</v>
      </c>
      <c r="K2064" s="2" t="s">
        <v>263</v>
      </c>
      <c r="M2064" s="2" t="s">
        <v>24</v>
      </c>
      <c r="N2064" s="2" t="s">
        <v>263</v>
      </c>
      <c r="P2064" s="51">
        <v>0</v>
      </c>
      <c r="Q2064" s="99" t="s">
        <v>10296</v>
      </c>
      <c r="R2064" s="6" t="s">
        <v>10297</v>
      </c>
    </row>
    <row r="2065" spans="1:18">
      <c r="A2065" s="71">
        <v>27</v>
      </c>
      <c r="B2065" s="2" t="s">
        <v>6012</v>
      </c>
      <c r="C2065" s="71">
        <v>100</v>
      </c>
      <c r="D2065" s="2" t="s">
        <v>10298</v>
      </c>
      <c r="E2065" s="74">
        <v>0</v>
      </c>
      <c r="F2065" s="71">
        <v>0</v>
      </c>
      <c r="G2065" s="2" t="s">
        <v>20</v>
      </c>
      <c r="H2065" s="73" t="s">
        <v>10309</v>
      </c>
      <c r="I2065" s="76" t="s">
        <v>10310</v>
      </c>
      <c r="J2065" s="2" t="s">
        <v>24</v>
      </c>
      <c r="K2065" s="2" t="s">
        <v>25</v>
      </c>
      <c r="L2065" s="2" t="s">
        <v>26</v>
      </c>
      <c r="M2065" s="2" t="s">
        <v>24</v>
      </c>
      <c r="N2065" s="2" t="s">
        <v>25</v>
      </c>
      <c r="O2065" s="2" t="s">
        <v>26</v>
      </c>
      <c r="P2065" s="51">
        <v>0</v>
      </c>
      <c r="Q2065" s="1" t="s">
        <v>10299</v>
      </c>
      <c r="R2065" s="6"/>
    </row>
    <row r="2066" spans="1:18">
      <c r="A2066" s="71">
        <v>27</v>
      </c>
      <c r="B2066" s="2" t="s">
        <v>6012</v>
      </c>
      <c r="C2066" s="71">
        <v>100</v>
      </c>
      <c r="D2066" s="2" t="s">
        <v>10298</v>
      </c>
      <c r="E2066" s="74">
        <v>0</v>
      </c>
      <c r="F2066" s="71">
        <v>1</v>
      </c>
      <c r="G2066" s="2" t="s">
        <v>6035</v>
      </c>
      <c r="H2066" s="73" t="s">
        <v>10311</v>
      </c>
      <c r="I2066" s="100" t="s">
        <v>10312</v>
      </c>
      <c r="J2066" s="2" t="s">
        <v>24</v>
      </c>
      <c r="K2066" s="2" t="s">
        <v>25</v>
      </c>
      <c r="L2066" s="2" t="s">
        <v>6037</v>
      </c>
      <c r="M2066" s="2" t="s">
        <v>24</v>
      </c>
      <c r="N2066" s="2" t="s">
        <v>25</v>
      </c>
      <c r="O2066" s="2" t="s">
        <v>6037</v>
      </c>
      <c r="P2066" s="51">
        <v>0</v>
      </c>
      <c r="Q2066" s="99" t="s">
        <v>6038</v>
      </c>
      <c r="R2066" s="6"/>
    </row>
    <row r="2067" spans="1:18">
      <c r="A2067" s="71">
        <v>27</v>
      </c>
      <c r="B2067" s="2" t="s">
        <v>6012</v>
      </c>
      <c r="C2067" s="71">
        <v>100</v>
      </c>
      <c r="D2067" s="2" t="s">
        <v>10298</v>
      </c>
      <c r="E2067" s="74">
        <v>0</v>
      </c>
      <c r="F2067" s="71">
        <v>2</v>
      </c>
      <c r="G2067" s="2" t="s">
        <v>6090</v>
      </c>
      <c r="H2067" s="73" t="s">
        <v>10313</v>
      </c>
      <c r="I2067" s="100" t="s">
        <v>10314</v>
      </c>
      <c r="J2067" s="2" t="s">
        <v>24</v>
      </c>
      <c r="K2067" s="2" t="s">
        <v>23</v>
      </c>
      <c r="M2067" s="2" t="s">
        <v>24</v>
      </c>
      <c r="N2067" s="2" t="s">
        <v>23</v>
      </c>
      <c r="P2067" s="51">
        <v>0</v>
      </c>
      <c r="Q2067" s="99" t="s">
        <v>8767</v>
      </c>
      <c r="R2067" s="6"/>
    </row>
    <row r="2068" spans="1:18">
      <c r="A2068" s="71">
        <v>27</v>
      </c>
      <c r="B2068" s="2" t="s">
        <v>6012</v>
      </c>
      <c r="C2068" s="71">
        <v>100</v>
      </c>
      <c r="D2068" s="2" t="s">
        <v>10298</v>
      </c>
      <c r="E2068" s="74">
        <v>0</v>
      </c>
      <c r="F2068" s="71">
        <v>3</v>
      </c>
      <c r="G2068" s="2" t="s">
        <v>6660</v>
      </c>
      <c r="H2068" s="73" t="s">
        <v>10315</v>
      </c>
      <c r="I2068" s="100" t="s">
        <v>10316</v>
      </c>
      <c r="J2068" s="2" t="s">
        <v>24</v>
      </c>
      <c r="K2068" s="2" t="s">
        <v>133</v>
      </c>
      <c r="M2068" s="2" t="s">
        <v>24</v>
      </c>
      <c r="N2068" s="2" t="s">
        <v>133</v>
      </c>
      <c r="P2068" s="51">
        <v>0</v>
      </c>
      <c r="Q2068" s="99" t="s">
        <v>10304</v>
      </c>
      <c r="R2068" s="6"/>
    </row>
    <row r="2069" spans="1:18">
      <c r="A2069" s="71">
        <v>27</v>
      </c>
      <c r="B2069" s="2" t="s">
        <v>6012</v>
      </c>
      <c r="C2069" s="71">
        <v>100</v>
      </c>
      <c r="D2069" s="2" t="s">
        <v>10298</v>
      </c>
      <c r="E2069" s="74">
        <v>0</v>
      </c>
      <c r="F2069" s="71">
        <v>4</v>
      </c>
      <c r="G2069" s="2" t="s">
        <v>8443</v>
      </c>
      <c r="H2069" s="73" t="s">
        <v>10317</v>
      </c>
      <c r="I2069" s="100" t="s">
        <v>10318</v>
      </c>
      <c r="J2069" s="2" t="s">
        <v>24</v>
      </c>
      <c r="K2069" s="2" t="s">
        <v>23</v>
      </c>
      <c r="M2069" s="2" t="s">
        <v>24</v>
      </c>
      <c r="N2069" s="2" t="s">
        <v>23</v>
      </c>
      <c r="P2069" s="51">
        <v>0</v>
      </c>
      <c r="Q2069" s="99" t="s">
        <v>10400</v>
      </c>
      <c r="R2069" s="6"/>
    </row>
    <row r="2070" spans="1:18">
      <c r="A2070" s="71">
        <v>27</v>
      </c>
      <c r="B2070" s="2" t="s">
        <v>6012</v>
      </c>
      <c r="C2070" s="71">
        <v>100</v>
      </c>
      <c r="D2070" s="2" t="s">
        <v>10298</v>
      </c>
      <c r="E2070" s="74">
        <v>0</v>
      </c>
      <c r="F2070" s="71">
        <v>5</v>
      </c>
      <c r="G2070" s="2" t="s">
        <v>10300</v>
      </c>
      <c r="H2070" s="73" t="s">
        <v>10319</v>
      </c>
      <c r="I2070" s="100" t="s">
        <v>10320</v>
      </c>
      <c r="J2070" s="2" t="s">
        <v>24</v>
      </c>
      <c r="K2070" s="2" t="s">
        <v>335</v>
      </c>
      <c r="M2070" s="2" t="s">
        <v>24</v>
      </c>
      <c r="N2070" s="2" t="s">
        <v>335</v>
      </c>
      <c r="P2070" s="51">
        <v>0</v>
      </c>
      <c r="Q2070" s="99" t="s">
        <v>10303</v>
      </c>
      <c r="R2070" s="6"/>
    </row>
    <row r="2071" spans="1:18">
      <c r="A2071" s="71">
        <v>27</v>
      </c>
      <c r="B2071" s="2" t="s">
        <v>6012</v>
      </c>
      <c r="C2071" s="71">
        <v>100</v>
      </c>
      <c r="D2071" s="2" t="s">
        <v>10298</v>
      </c>
      <c r="E2071" s="74">
        <v>0</v>
      </c>
      <c r="F2071" s="71">
        <v>6</v>
      </c>
      <c r="G2071" s="2" t="s">
        <v>10301</v>
      </c>
      <c r="H2071" s="73" t="s">
        <v>10321</v>
      </c>
      <c r="I2071" s="100" t="s">
        <v>10322</v>
      </c>
      <c r="J2071" s="2" t="s">
        <v>24</v>
      </c>
      <c r="K2071" s="2" t="s">
        <v>121</v>
      </c>
      <c r="M2071" s="2" t="s">
        <v>24</v>
      </c>
      <c r="N2071" s="2" t="s">
        <v>121</v>
      </c>
      <c r="P2071" s="51">
        <v>0</v>
      </c>
      <c r="Q2071" s="99" t="s">
        <v>10302</v>
      </c>
      <c r="R2071" s="6"/>
    </row>
    <row r="2072" spans="1:18">
      <c r="A2072" s="71">
        <v>27</v>
      </c>
      <c r="B2072" s="2" t="s">
        <v>6012</v>
      </c>
      <c r="C2072" s="71">
        <v>101</v>
      </c>
      <c r="D2072" s="2" t="s">
        <v>10323</v>
      </c>
      <c r="E2072" s="74">
        <v>0</v>
      </c>
      <c r="F2072" s="71">
        <v>0</v>
      </c>
      <c r="G2072" s="2" t="s">
        <v>20</v>
      </c>
      <c r="H2072" s="73" t="s">
        <v>10325</v>
      </c>
      <c r="I2072" s="76" t="s">
        <v>10326</v>
      </c>
      <c r="J2072" s="2" t="s">
        <v>24</v>
      </c>
      <c r="K2072" s="2" t="s">
        <v>25</v>
      </c>
      <c r="L2072" s="2" t="s">
        <v>26</v>
      </c>
      <c r="M2072" s="2" t="s">
        <v>24</v>
      </c>
      <c r="N2072" s="2" t="s">
        <v>25</v>
      </c>
      <c r="O2072" s="2" t="s">
        <v>26</v>
      </c>
      <c r="P2072" s="51">
        <v>0</v>
      </c>
      <c r="Q2072" s="1" t="s">
        <v>10324</v>
      </c>
      <c r="R2072" s="6"/>
    </row>
    <row r="2073" spans="1:18">
      <c r="A2073" s="71">
        <v>27</v>
      </c>
      <c r="B2073" s="2" t="s">
        <v>6012</v>
      </c>
      <c r="C2073" s="71">
        <v>101</v>
      </c>
      <c r="D2073" s="2" t="s">
        <v>10323</v>
      </c>
      <c r="E2073" s="74">
        <v>0</v>
      </c>
      <c r="F2073" s="71">
        <v>1</v>
      </c>
      <c r="G2073" s="2" t="s">
        <v>6035</v>
      </c>
      <c r="H2073" s="73" t="s">
        <v>10327</v>
      </c>
      <c r="I2073" s="100" t="s">
        <v>10328</v>
      </c>
      <c r="J2073" s="2" t="s">
        <v>24</v>
      </c>
      <c r="K2073" s="2" t="s">
        <v>25</v>
      </c>
      <c r="L2073" s="2" t="s">
        <v>6037</v>
      </c>
      <c r="M2073" s="2" t="s">
        <v>24</v>
      </c>
      <c r="N2073" s="2" t="s">
        <v>25</v>
      </c>
      <c r="O2073" s="2" t="s">
        <v>6037</v>
      </c>
      <c r="P2073" s="51">
        <v>0</v>
      </c>
      <c r="Q2073" s="99" t="s">
        <v>6038</v>
      </c>
      <c r="R2073" s="6"/>
    </row>
    <row r="2074" spans="1:18">
      <c r="A2074" s="71">
        <v>27</v>
      </c>
      <c r="B2074" s="2" t="s">
        <v>6012</v>
      </c>
      <c r="C2074" s="71">
        <v>101</v>
      </c>
      <c r="D2074" s="2" t="s">
        <v>10323</v>
      </c>
      <c r="E2074" s="74">
        <v>0</v>
      </c>
      <c r="F2074" s="71">
        <v>2</v>
      </c>
      <c r="G2074" s="2" t="s">
        <v>6090</v>
      </c>
      <c r="H2074" s="73" t="s">
        <v>10329</v>
      </c>
      <c r="I2074" s="100" t="s">
        <v>10330</v>
      </c>
      <c r="J2074" s="2" t="s">
        <v>24</v>
      </c>
      <c r="K2074" s="2" t="s">
        <v>23</v>
      </c>
      <c r="M2074" s="2" t="s">
        <v>24</v>
      </c>
      <c r="N2074" s="2" t="s">
        <v>23</v>
      </c>
      <c r="P2074" s="51">
        <v>0</v>
      </c>
      <c r="Q2074" s="99" t="s">
        <v>8767</v>
      </c>
      <c r="R2074" s="6"/>
    </row>
    <row r="2075" spans="1:18">
      <c r="A2075" s="71">
        <v>27</v>
      </c>
      <c r="B2075" s="2" t="s">
        <v>6012</v>
      </c>
      <c r="C2075" s="71">
        <v>101</v>
      </c>
      <c r="D2075" s="2" t="s">
        <v>10323</v>
      </c>
      <c r="E2075" s="74">
        <v>0</v>
      </c>
      <c r="F2075" s="71">
        <v>3</v>
      </c>
      <c r="G2075" s="2" t="s">
        <v>10331</v>
      </c>
      <c r="H2075" s="73" t="s">
        <v>10339</v>
      </c>
      <c r="I2075" s="100" t="s">
        <v>10340</v>
      </c>
      <c r="J2075" s="2" t="s">
        <v>24</v>
      </c>
      <c r="K2075" s="2" t="s">
        <v>23</v>
      </c>
      <c r="M2075" s="2" t="s">
        <v>24</v>
      </c>
      <c r="N2075" s="2" t="s">
        <v>23</v>
      </c>
      <c r="P2075" s="51">
        <v>0</v>
      </c>
      <c r="Q2075" s="99" t="s">
        <v>10332</v>
      </c>
      <c r="R2075" s="6"/>
    </row>
    <row r="2076" spans="1:18">
      <c r="A2076" s="71">
        <v>27</v>
      </c>
      <c r="B2076" s="2" t="s">
        <v>6012</v>
      </c>
      <c r="C2076" s="71">
        <v>101</v>
      </c>
      <c r="D2076" s="2" t="s">
        <v>10323</v>
      </c>
      <c r="E2076" s="74">
        <v>0</v>
      </c>
      <c r="F2076" s="71">
        <v>4</v>
      </c>
      <c r="G2076" s="2" t="s">
        <v>10333</v>
      </c>
      <c r="H2076" s="73" t="s">
        <v>10341</v>
      </c>
      <c r="I2076" s="100" t="s">
        <v>10342</v>
      </c>
      <c r="J2076" s="2" t="s">
        <v>24</v>
      </c>
      <c r="K2076" s="2" t="s">
        <v>23</v>
      </c>
      <c r="M2076" s="2" t="s">
        <v>24</v>
      </c>
      <c r="N2076" s="2" t="s">
        <v>23</v>
      </c>
      <c r="P2076" s="51">
        <v>0</v>
      </c>
      <c r="Q2076" s="99" t="s">
        <v>8795</v>
      </c>
      <c r="R2076" s="6"/>
    </row>
    <row r="2077" spans="1:18">
      <c r="A2077" s="71">
        <v>27</v>
      </c>
      <c r="B2077" s="2" t="s">
        <v>6012</v>
      </c>
      <c r="C2077" s="71">
        <v>101</v>
      </c>
      <c r="D2077" s="2" t="s">
        <v>10323</v>
      </c>
      <c r="E2077" s="74">
        <v>0</v>
      </c>
      <c r="F2077" s="71">
        <v>5</v>
      </c>
      <c r="G2077" s="2" t="s">
        <v>8471</v>
      </c>
      <c r="H2077" s="73" t="s">
        <v>10343</v>
      </c>
      <c r="I2077" s="100" t="s">
        <v>10344</v>
      </c>
      <c r="J2077" s="2" t="s">
        <v>24</v>
      </c>
      <c r="K2077" s="2" t="s">
        <v>23</v>
      </c>
      <c r="M2077" s="2" t="s">
        <v>24</v>
      </c>
      <c r="N2077" s="2" t="s">
        <v>23</v>
      </c>
      <c r="P2077" s="51">
        <v>0</v>
      </c>
      <c r="Q2077" s="99" t="s">
        <v>10334</v>
      </c>
      <c r="R2077" s="6"/>
    </row>
    <row r="2078" spans="1:18">
      <c r="A2078" s="71">
        <v>27</v>
      </c>
      <c r="B2078" s="2" t="s">
        <v>6012</v>
      </c>
      <c r="C2078" s="71">
        <v>101</v>
      </c>
      <c r="D2078" s="2" t="s">
        <v>10323</v>
      </c>
      <c r="E2078" s="74">
        <v>0</v>
      </c>
      <c r="F2078" s="71">
        <v>6</v>
      </c>
      <c r="G2078" s="2" t="s">
        <v>10335</v>
      </c>
      <c r="H2078" s="73" t="s">
        <v>10345</v>
      </c>
      <c r="I2078" s="100" t="s">
        <v>10346</v>
      </c>
      <c r="J2078" s="2" t="s">
        <v>24</v>
      </c>
      <c r="K2078" s="2" t="s">
        <v>133</v>
      </c>
      <c r="M2078" s="2" t="s">
        <v>24</v>
      </c>
      <c r="N2078" s="2" t="s">
        <v>133</v>
      </c>
      <c r="P2078" s="51">
        <v>0</v>
      </c>
      <c r="Q2078" s="99" t="s">
        <v>8726</v>
      </c>
      <c r="R2078" s="6"/>
    </row>
    <row r="2079" spans="1:18">
      <c r="A2079" s="71">
        <v>27</v>
      </c>
      <c r="B2079" s="2" t="s">
        <v>6012</v>
      </c>
      <c r="C2079" s="71">
        <v>101</v>
      </c>
      <c r="D2079" s="2" t="s">
        <v>10323</v>
      </c>
      <c r="E2079" s="74">
        <v>0</v>
      </c>
      <c r="F2079" s="71">
        <v>7</v>
      </c>
      <c r="G2079" s="2" t="s">
        <v>10336</v>
      </c>
      <c r="H2079" s="73" t="s">
        <v>10347</v>
      </c>
      <c r="I2079" s="100" t="s">
        <v>10348</v>
      </c>
      <c r="J2079" s="2" t="s">
        <v>24</v>
      </c>
      <c r="K2079" s="2" t="s">
        <v>133</v>
      </c>
      <c r="M2079" s="2" t="s">
        <v>24</v>
      </c>
      <c r="N2079" s="2" t="s">
        <v>133</v>
      </c>
      <c r="P2079" s="51">
        <v>0</v>
      </c>
      <c r="Q2079" s="99" t="s">
        <v>8727</v>
      </c>
      <c r="R2079" s="6"/>
    </row>
    <row r="2080" spans="1:18">
      <c r="A2080" s="71">
        <v>27</v>
      </c>
      <c r="B2080" s="2" t="s">
        <v>6012</v>
      </c>
      <c r="C2080" s="71">
        <v>101</v>
      </c>
      <c r="D2080" s="2" t="s">
        <v>10323</v>
      </c>
      <c r="E2080" s="74">
        <v>0</v>
      </c>
      <c r="F2080" s="71">
        <v>8</v>
      </c>
      <c r="G2080" s="2" t="s">
        <v>10337</v>
      </c>
      <c r="H2080" s="73" t="s">
        <v>10349</v>
      </c>
      <c r="I2080" s="100" t="s">
        <v>10350</v>
      </c>
      <c r="J2080" s="2" t="s">
        <v>24</v>
      </c>
      <c r="K2080" s="2" t="s">
        <v>133</v>
      </c>
      <c r="M2080" s="2" t="s">
        <v>24</v>
      </c>
      <c r="N2080" s="2" t="s">
        <v>133</v>
      </c>
      <c r="P2080" s="51">
        <v>0</v>
      </c>
      <c r="Q2080" s="99" t="s">
        <v>8793</v>
      </c>
      <c r="R2080" s="6"/>
    </row>
    <row r="2081" spans="1:18">
      <c r="A2081" s="71">
        <v>27</v>
      </c>
      <c r="B2081" s="2" t="s">
        <v>6012</v>
      </c>
      <c r="C2081" s="71">
        <v>101</v>
      </c>
      <c r="D2081" s="2" t="s">
        <v>10323</v>
      </c>
      <c r="E2081" s="74">
        <v>0</v>
      </c>
      <c r="F2081" s="71">
        <v>9</v>
      </c>
      <c r="G2081" s="2" t="s">
        <v>10338</v>
      </c>
      <c r="H2081" s="73" t="s">
        <v>10351</v>
      </c>
      <c r="I2081" s="100" t="s">
        <v>10352</v>
      </c>
      <c r="J2081" s="2" t="s">
        <v>24</v>
      </c>
      <c r="K2081" s="2" t="s">
        <v>133</v>
      </c>
      <c r="M2081" s="2" t="s">
        <v>24</v>
      </c>
      <c r="N2081" s="2" t="s">
        <v>133</v>
      </c>
      <c r="P2081" s="51">
        <v>0</v>
      </c>
      <c r="Q2081" s="99" t="s">
        <v>8794</v>
      </c>
      <c r="R2081" s="6"/>
    </row>
    <row r="2082" spans="1:18">
      <c r="A2082" s="71">
        <v>27</v>
      </c>
      <c r="B2082" s="2" t="s">
        <v>6012</v>
      </c>
      <c r="C2082" s="71">
        <v>101</v>
      </c>
      <c r="D2082" s="2" t="s">
        <v>10323</v>
      </c>
      <c r="E2082" s="74">
        <v>0</v>
      </c>
      <c r="F2082" s="71">
        <v>10</v>
      </c>
      <c r="G2082" s="2" t="s">
        <v>10353</v>
      </c>
      <c r="H2082" s="73" t="s">
        <v>10357</v>
      </c>
      <c r="I2082" s="100" t="s">
        <v>10358</v>
      </c>
      <c r="J2082" s="2" t="s">
        <v>24</v>
      </c>
      <c r="K2082" s="2" t="s">
        <v>133</v>
      </c>
      <c r="M2082" s="2" t="s">
        <v>24</v>
      </c>
      <c r="N2082" s="2" t="s">
        <v>133</v>
      </c>
      <c r="P2082" s="51">
        <v>0</v>
      </c>
      <c r="Q2082" s="99" t="s">
        <v>10355</v>
      </c>
      <c r="R2082" s="6"/>
    </row>
    <row r="2083" spans="1:18">
      <c r="A2083" s="71">
        <v>27</v>
      </c>
      <c r="B2083" s="2" t="s">
        <v>6012</v>
      </c>
      <c r="C2083" s="71">
        <v>101</v>
      </c>
      <c r="D2083" s="2" t="s">
        <v>10323</v>
      </c>
      <c r="E2083" s="74">
        <v>0</v>
      </c>
      <c r="F2083" s="71">
        <v>11</v>
      </c>
      <c r="G2083" s="2" t="s">
        <v>10354</v>
      </c>
      <c r="H2083" s="73" t="s">
        <v>10359</v>
      </c>
      <c r="I2083" s="100" t="s">
        <v>10360</v>
      </c>
      <c r="J2083" s="2" t="s">
        <v>24</v>
      </c>
      <c r="K2083" s="2" t="s">
        <v>133</v>
      </c>
      <c r="M2083" s="2" t="s">
        <v>24</v>
      </c>
      <c r="N2083" s="2" t="s">
        <v>133</v>
      </c>
      <c r="P2083" s="51">
        <v>0</v>
      </c>
      <c r="Q2083" s="99" t="s">
        <v>10356</v>
      </c>
      <c r="R2083" s="6"/>
    </row>
    <row r="2084" spans="1:18">
      <c r="A2084" s="71">
        <v>27</v>
      </c>
      <c r="B2084" s="2" t="s">
        <v>6012</v>
      </c>
      <c r="C2084" s="71">
        <v>102</v>
      </c>
      <c r="D2084" s="2" t="s">
        <v>10361</v>
      </c>
      <c r="E2084" s="74">
        <v>0</v>
      </c>
      <c r="F2084" s="71">
        <v>0</v>
      </c>
      <c r="G2084" s="2" t="s">
        <v>20</v>
      </c>
      <c r="H2084" s="73" t="s">
        <v>10363</v>
      </c>
      <c r="I2084" s="76" t="s">
        <v>10364</v>
      </c>
      <c r="J2084" s="2" t="s">
        <v>24</v>
      </c>
      <c r="K2084" s="2" t="s">
        <v>25</v>
      </c>
      <c r="L2084" s="2" t="s">
        <v>26</v>
      </c>
      <c r="M2084" s="2" t="s">
        <v>24</v>
      </c>
      <c r="N2084" s="2" t="s">
        <v>25</v>
      </c>
      <c r="O2084" s="2" t="s">
        <v>26</v>
      </c>
      <c r="P2084" s="51">
        <v>0</v>
      </c>
      <c r="Q2084" s="1" t="s">
        <v>10362</v>
      </c>
      <c r="R2084" s="6"/>
    </row>
    <row r="2085" spans="1:18">
      <c r="A2085" s="71">
        <v>27</v>
      </c>
      <c r="B2085" s="2" t="s">
        <v>6012</v>
      </c>
      <c r="C2085" s="71">
        <v>102</v>
      </c>
      <c r="D2085" s="2" t="s">
        <v>10361</v>
      </c>
      <c r="E2085" s="74">
        <v>0</v>
      </c>
      <c r="F2085" s="71">
        <v>1</v>
      </c>
      <c r="G2085" s="2" t="s">
        <v>6035</v>
      </c>
      <c r="H2085" s="73" t="s">
        <v>10365</v>
      </c>
      <c r="I2085" s="100" t="s">
        <v>10366</v>
      </c>
      <c r="J2085" s="2" t="s">
        <v>24</v>
      </c>
      <c r="K2085" s="2" t="s">
        <v>25</v>
      </c>
      <c r="L2085" s="2" t="s">
        <v>6037</v>
      </c>
      <c r="M2085" s="2" t="s">
        <v>24</v>
      </c>
      <c r="N2085" s="2" t="s">
        <v>25</v>
      </c>
      <c r="O2085" s="2" t="s">
        <v>6037</v>
      </c>
      <c r="P2085" s="51">
        <v>0</v>
      </c>
      <c r="Q2085" s="99" t="s">
        <v>6038</v>
      </c>
      <c r="R2085" s="6"/>
    </row>
    <row r="2086" spans="1:18">
      <c r="A2086" s="71">
        <v>27</v>
      </c>
      <c r="B2086" s="2" t="s">
        <v>6012</v>
      </c>
      <c r="C2086" s="71">
        <v>102</v>
      </c>
      <c r="D2086" s="2" t="s">
        <v>10361</v>
      </c>
      <c r="E2086" s="74">
        <v>0</v>
      </c>
      <c r="F2086" s="71">
        <v>2</v>
      </c>
      <c r="G2086" s="2" t="s">
        <v>6090</v>
      </c>
      <c r="H2086" s="73" t="s">
        <v>10367</v>
      </c>
      <c r="I2086" s="100" t="s">
        <v>10368</v>
      </c>
      <c r="J2086" s="2" t="s">
        <v>24</v>
      </c>
      <c r="K2086" s="2" t="s">
        <v>23</v>
      </c>
      <c r="M2086" s="2" t="s">
        <v>24</v>
      </c>
      <c r="N2086" s="2" t="s">
        <v>23</v>
      </c>
      <c r="P2086" s="51">
        <v>0</v>
      </c>
      <c r="Q2086" s="99" t="s">
        <v>8767</v>
      </c>
      <c r="R2086" s="6"/>
    </row>
    <row r="2087" spans="1:18">
      <c r="A2087" s="71">
        <v>27</v>
      </c>
      <c r="B2087" s="2" t="s">
        <v>6012</v>
      </c>
      <c r="C2087" s="71">
        <v>102</v>
      </c>
      <c r="D2087" s="2" t="s">
        <v>10361</v>
      </c>
      <c r="E2087" s="74">
        <v>0</v>
      </c>
      <c r="F2087" s="71">
        <v>3</v>
      </c>
      <c r="G2087" s="2" t="s">
        <v>10369</v>
      </c>
      <c r="H2087" s="73" t="s">
        <v>10375</v>
      </c>
      <c r="I2087" s="100" t="s">
        <v>10376</v>
      </c>
      <c r="J2087" s="2" t="s">
        <v>24</v>
      </c>
      <c r="K2087" s="2" t="s">
        <v>139</v>
      </c>
      <c r="M2087" s="2" t="s">
        <v>24</v>
      </c>
      <c r="N2087" s="2" t="s">
        <v>139</v>
      </c>
      <c r="P2087" s="51">
        <v>0</v>
      </c>
      <c r="Q2087" s="99" t="s">
        <v>10372</v>
      </c>
      <c r="R2087" s="6"/>
    </row>
    <row r="2088" spans="1:18">
      <c r="A2088" s="71">
        <v>27</v>
      </c>
      <c r="B2088" s="2" t="s">
        <v>6012</v>
      </c>
      <c r="C2088" s="71">
        <v>102</v>
      </c>
      <c r="D2088" s="2" t="s">
        <v>10361</v>
      </c>
      <c r="E2088" s="74">
        <v>0</v>
      </c>
      <c r="F2088" s="71">
        <v>4</v>
      </c>
      <c r="G2088" s="2" t="s">
        <v>10370</v>
      </c>
      <c r="H2088" s="73" t="s">
        <v>10377</v>
      </c>
      <c r="I2088" s="100" t="s">
        <v>10378</v>
      </c>
      <c r="J2088" s="2" t="s">
        <v>24</v>
      </c>
      <c r="K2088" s="2" t="s">
        <v>139</v>
      </c>
      <c r="M2088" s="2" t="s">
        <v>24</v>
      </c>
      <c r="N2088" s="2" t="s">
        <v>139</v>
      </c>
      <c r="P2088" s="51">
        <v>0</v>
      </c>
      <c r="Q2088" s="99" t="s">
        <v>10374</v>
      </c>
      <c r="R2088" s="6"/>
    </row>
    <row r="2089" spans="1:18">
      <c r="A2089" s="71">
        <v>27</v>
      </c>
      <c r="B2089" s="2" t="s">
        <v>6012</v>
      </c>
      <c r="C2089" s="71">
        <v>102</v>
      </c>
      <c r="D2089" s="2" t="s">
        <v>10361</v>
      </c>
      <c r="E2089" s="74">
        <v>0</v>
      </c>
      <c r="F2089" s="71">
        <v>5</v>
      </c>
      <c r="G2089" s="2" t="s">
        <v>10371</v>
      </c>
      <c r="H2089" s="73" t="s">
        <v>10379</v>
      </c>
      <c r="I2089" s="100" t="s">
        <v>10380</v>
      </c>
      <c r="J2089" s="2" t="s">
        <v>24</v>
      </c>
      <c r="K2089" s="2" t="s">
        <v>139</v>
      </c>
      <c r="M2089" s="2" t="s">
        <v>24</v>
      </c>
      <c r="N2089" s="2" t="s">
        <v>139</v>
      </c>
      <c r="P2089" s="51">
        <v>0</v>
      </c>
      <c r="Q2089" s="99" t="s">
        <v>10373</v>
      </c>
      <c r="R2089" s="6"/>
    </row>
    <row r="2090" spans="1:18">
      <c r="A2090" s="71">
        <v>27</v>
      </c>
      <c r="B2090" s="2" t="s">
        <v>6012</v>
      </c>
      <c r="C2090" s="71">
        <v>103</v>
      </c>
      <c r="D2090" s="2" t="s">
        <v>10381</v>
      </c>
      <c r="E2090" s="74">
        <v>0</v>
      </c>
      <c r="F2090" s="71">
        <v>0</v>
      </c>
      <c r="G2090" s="2" t="s">
        <v>20</v>
      </c>
      <c r="H2090" s="73" t="s">
        <v>10386</v>
      </c>
      <c r="I2090" s="76" t="s">
        <v>10387</v>
      </c>
      <c r="J2090" s="2" t="s">
        <v>24</v>
      </c>
      <c r="K2090" s="2" t="s">
        <v>25</v>
      </c>
      <c r="L2090" s="2" t="s">
        <v>26</v>
      </c>
      <c r="M2090" s="2" t="s">
        <v>24</v>
      </c>
      <c r="N2090" s="2" t="s">
        <v>25</v>
      </c>
      <c r="O2090" s="2" t="s">
        <v>26</v>
      </c>
      <c r="P2090" s="51">
        <v>0</v>
      </c>
      <c r="Q2090" s="1" t="s">
        <v>10382</v>
      </c>
      <c r="R2090" s="6"/>
    </row>
    <row r="2091" spans="1:18">
      <c r="A2091" s="71">
        <v>27</v>
      </c>
      <c r="B2091" s="2" t="s">
        <v>6012</v>
      </c>
      <c r="C2091" s="71">
        <v>103</v>
      </c>
      <c r="D2091" s="2" t="s">
        <v>10381</v>
      </c>
      <c r="E2091" s="74">
        <v>0</v>
      </c>
      <c r="F2091" s="71">
        <v>1</v>
      </c>
      <c r="G2091" s="2" t="s">
        <v>6035</v>
      </c>
      <c r="H2091" s="73" t="s">
        <v>10388</v>
      </c>
      <c r="I2091" s="100" t="s">
        <v>10389</v>
      </c>
      <c r="J2091" s="2" t="s">
        <v>24</v>
      </c>
      <c r="K2091" s="2" t="s">
        <v>25</v>
      </c>
      <c r="L2091" s="2" t="s">
        <v>6037</v>
      </c>
      <c r="M2091" s="2" t="s">
        <v>24</v>
      </c>
      <c r="N2091" s="2" t="s">
        <v>25</v>
      </c>
      <c r="O2091" s="2" t="s">
        <v>6037</v>
      </c>
      <c r="P2091" s="51">
        <v>0</v>
      </c>
      <c r="Q2091" s="99" t="s">
        <v>6038</v>
      </c>
      <c r="R2091" s="6"/>
    </row>
    <row r="2092" spans="1:18">
      <c r="A2092" s="71">
        <v>27</v>
      </c>
      <c r="B2092" s="2" t="s">
        <v>6012</v>
      </c>
      <c r="C2092" s="71">
        <v>103</v>
      </c>
      <c r="D2092" s="2" t="s">
        <v>10381</v>
      </c>
      <c r="E2092" s="74">
        <v>0</v>
      </c>
      <c r="F2092" s="71">
        <v>2</v>
      </c>
      <c r="G2092" s="2" t="s">
        <v>6090</v>
      </c>
      <c r="H2092" s="73" t="s">
        <v>10390</v>
      </c>
      <c r="I2092" s="100" t="s">
        <v>10391</v>
      </c>
      <c r="J2092" s="2" t="s">
        <v>24</v>
      </c>
      <c r="K2092" s="2" t="s">
        <v>23</v>
      </c>
      <c r="M2092" s="2" t="s">
        <v>24</v>
      </c>
      <c r="N2092" s="2" t="s">
        <v>23</v>
      </c>
      <c r="P2092" s="51">
        <v>0</v>
      </c>
      <c r="Q2092" s="99" t="s">
        <v>8767</v>
      </c>
      <c r="R2092" s="6"/>
    </row>
    <row r="2093" spans="1:18">
      <c r="A2093" s="71">
        <v>27</v>
      </c>
      <c r="B2093" s="2" t="s">
        <v>6012</v>
      </c>
      <c r="C2093" s="71">
        <v>103</v>
      </c>
      <c r="D2093" s="2" t="s">
        <v>10381</v>
      </c>
      <c r="E2093" s="74">
        <v>0</v>
      </c>
      <c r="F2093" s="71">
        <v>3</v>
      </c>
      <c r="G2093" s="2" t="s">
        <v>10383</v>
      </c>
      <c r="H2093" s="73" t="s">
        <v>10392</v>
      </c>
      <c r="I2093" s="100" t="s">
        <v>10393</v>
      </c>
      <c r="J2093" s="2" t="s">
        <v>24</v>
      </c>
      <c r="K2093" s="2" t="s">
        <v>139</v>
      </c>
      <c r="M2093" s="2" t="s">
        <v>24</v>
      </c>
      <c r="N2093" s="2" t="s">
        <v>139</v>
      </c>
      <c r="P2093" s="51">
        <v>0</v>
      </c>
      <c r="Q2093" s="99" t="s">
        <v>10398</v>
      </c>
      <c r="R2093" s="6"/>
    </row>
    <row r="2094" spans="1:18">
      <c r="A2094" s="71">
        <v>27</v>
      </c>
      <c r="B2094" s="2" t="s">
        <v>6012</v>
      </c>
      <c r="C2094" s="71">
        <v>103</v>
      </c>
      <c r="D2094" s="2" t="s">
        <v>10381</v>
      </c>
      <c r="E2094" s="74">
        <v>0</v>
      </c>
      <c r="F2094" s="71">
        <v>4</v>
      </c>
      <c r="G2094" s="2" t="s">
        <v>10384</v>
      </c>
      <c r="H2094" s="73" t="s">
        <v>10394</v>
      </c>
      <c r="I2094" s="100" t="s">
        <v>10395</v>
      </c>
      <c r="J2094" s="2" t="s">
        <v>24</v>
      </c>
      <c r="K2094" s="2" t="s">
        <v>139</v>
      </c>
      <c r="M2094" s="2" t="s">
        <v>24</v>
      </c>
      <c r="N2094" s="2" t="s">
        <v>139</v>
      </c>
      <c r="P2094" s="51">
        <v>0</v>
      </c>
      <c r="Q2094" s="99" t="s">
        <v>10399</v>
      </c>
      <c r="R2094" s="6"/>
    </row>
    <row r="2095" spans="1:18">
      <c r="A2095" s="71">
        <v>27</v>
      </c>
      <c r="B2095" s="2" t="s">
        <v>6012</v>
      </c>
      <c r="C2095" s="71">
        <v>103</v>
      </c>
      <c r="D2095" s="2" t="s">
        <v>10381</v>
      </c>
      <c r="E2095" s="74">
        <v>0</v>
      </c>
      <c r="F2095" s="71">
        <v>5</v>
      </c>
      <c r="G2095" s="2" t="s">
        <v>10385</v>
      </c>
      <c r="H2095" s="73" t="s">
        <v>10396</v>
      </c>
      <c r="I2095" s="100" t="s">
        <v>10397</v>
      </c>
      <c r="J2095" s="2" t="s">
        <v>24</v>
      </c>
      <c r="K2095" s="2" t="s">
        <v>139</v>
      </c>
      <c r="M2095" s="2" t="s">
        <v>24</v>
      </c>
      <c r="N2095" s="2" t="s">
        <v>139</v>
      </c>
      <c r="P2095" s="51">
        <v>0</v>
      </c>
      <c r="Q2095" s="99" t="s">
        <v>6243</v>
      </c>
      <c r="R2095" s="6"/>
    </row>
    <row r="2096" spans="1:18">
      <c r="A2096" s="71">
        <v>27</v>
      </c>
      <c r="B2096" s="2" t="s">
        <v>6012</v>
      </c>
      <c r="C2096" s="71">
        <v>104</v>
      </c>
      <c r="D2096" s="2" t="s">
        <v>10402</v>
      </c>
      <c r="E2096" s="74">
        <v>0</v>
      </c>
      <c r="F2096" s="71">
        <v>0</v>
      </c>
      <c r="G2096" s="2" t="s">
        <v>20</v>
      </c>
      <c r="H2096" s="73" t="s">
        <v>10404</v>
      </c>
      <c r="I2096" s="76" t="s">
        <v>10405</v>
      </c>
      <c r="J2096" s="2" t="s">
        <v>24</v>
      </c>
      <c r="K2096" s="2" t="s">
        <v>25</v>
      </c>
      <c r="L2096" s="2" t="s">
        <v>26</v>
      </c>
      <c r="M2096" s="2" t="s">
        <v>24</v>
      </c>
      <c r="N2096" s="2" t="s">
        <v>25</v>
      </c>
      <c r="O2096" s="2" t="s">
        <v>26</v>
      </c>
      <c r="P2096" s="51">
        <v>0</v>
      </c>
      <c r="Q2096" s="1" t="s">
        <v>10403</v>
      </c>
      <c r="R2096" s="6"/>
    </row>
    <row r="2097" spans="1:18">
      <c r="A2097" s="71">
        <v>27</v>
      </c>
      <c r="B2097" s="2" t="s">
        <v>6012</v>
      </c>
      <c r="C2097" s="71">
        <v>104</v>
      </c>
      <c r="D2097" s="2" t="s">
        <v>10402</v>
      </c>
      <c r="E2097" s="74">
        <v>0</v>
      </c>
      <c r="F2097" s="71">
        <v>1</v>
      </c>
      <c r="G2097" s="2" t="s">
        <v>6035</v>
      </c>
      <c r="H2097" s="73" t="s">
        <v>10406</v>
      </c>
      <c r="I2097" s="100" t="s">
        <v>10407</v>
      </c>
      <c r="J2097" s="2" t="s">
        <v>24</v>
      </c>
      <c r="K2097" s="2" t="s">
        <v>25</v>
      </c>
      <c r="L2097" s="2" t="s">
        <v>6037</v>
      </c>
      <c r="M2097" s="2" t="s">
        <v>24</v>
      </c>
      <c r="N2097" s="2" t="s">
        <v>25</v>
      </c>
      <c r="O2097" s="2" t="s">
        <v>6037</v>
      </c>
      <c r="P2097" s="51">
        <v>0</v>
      </c>
      <c r="Q2097" s="99" t="s">
        <v>6038</v>
      </c>
      <c r="R2097" s="6"/>
    </row>
    <row r="2098" spans="1:18">
      <c r="A2098" s="71">
        <v>27</v>
      </c>
      <c r="B2098" s="2" t="s">
        <v>6012</v>
      </c>
      <c r="C2098" s="71">
        <v>104</v>
      </c>
      <c r="D2098" s="2" t="s">
        <v>10402</v>
      </c>
      <c r="E2098" s="74">
        <v>0</v>
      </c>
      <c r="F2098" s="71">
        <v>2</v>
      </c>
      <c r="G2098" s="2" t="s">
        <v>6090</v>
      </c>
      <c r="H2098" s="73" t="s">
        <v>10408</v>
      </c>
      <c r="I2098" s="100" t="s">
        <v>10409</v>
      </c>
      <c r="J2098" s="2" t="s">
        <v>24</v>
      </c>
      <c r="K2098" s="2" t="s">
        <v>23</v>
      </c>
      <c r="M2098" s="2" t="s">
        <v>24</v>
      </c>
      <c r="N2098" s="2" t="s">
        <v>23</v>
      </c>
      <c r="P2098" s="51">
        <v>0</v>
      </c>
      <c r="Q2098" s="99" t="s">
        <v>8767</v>
      </c>
      <c r="R2098" s="6"/>
    </row>
    <row r="2099" spans="1:18">
      <c r="A2099" s="71">
        <v>27</v>
      </c>
      <c r="B2099" s="2" t="s">
        <v>6012</v>
      </c>
      <c r="C2099" s="71">
        <v>104</v>
      </c>
      <c r="D2099" s="2" t="s">
        <v>10402</v>
      </c>
      <c r="E2099" s="74">
        <v>0</v>
      </c>
      <c r="F2099" s="71">
        <v>3</v>
      </c>
      <c r="G2099" s="2" t="s">
        <v>6660</v>
      </c>
      <c r="H2099" s="73" t="s">
        <v>10411</v>
      </c>
      <c r="I2099" s="100" t="s">
        <v>10412</v>
      </c>
      <c r="J2099" s="2" t="s">
        <v>24</v>
      </c>
      <c r="K2099" s="2" t="s">
        <v>133</v>
      </c>
      <c r="M2099" s="2" t="s">
        <v>24</v>
      </c>
      <c r="N2099" s="2" t="s">
        <v>133</v>
      </c>
      <c r="P2099" s="51">
        <v>0</v>
      </c>
      <c r="Q2099" s="99" t="s">
        <v>2574</v>
      </c>
      <c r="R2099" s="6"/>
    </row>
    <row r="2100" spans="1:18">
      <c r="A2100" s="71">
        <v>27</v>
      </c>
      <c r="B2100" s="2" t="s">
        <v>6012</v>
      </c>
      <c r="C2100" s="71">
        <v>104</v>
      </c>
      <c r="D2100" s="2" t="s">
        <v>10402</v>
      </c>
      <c r="E2100" s="74">
        <v>0</v>
      </c>
      <c r="F2100" s="71">
        <v>4</v>
      </c>
      <c r="G2100" s="2" t="s">
        <v>6860</v>
      </c>
      <c r="H2100" s="73" t="s">
        <v>10413</v>
      </c>
      <c r="I2100" s="100" t="s">
        <v>10414</v>
      </c>
      <c r="J2100" s="2" t="s">
        <v>24</v>
      </c>
      <c r="K2100" s="2" t="s">
        <v>263</v>
      </c>
      <c r="M2100" s="2" t="s">
        <v>24</v>
      </c>
      <c r="N2100" s="2" t="s">
        <v>263</v>
      </c>
      <c r="P2100" s="51">
        <v>0</v>
      </c>
      <c r="Q2100" s="99" t="s">
        <v>2579</v>
      </c>
      <c r="R2100" s="6" t="s">
        <v>10410</v>
      </c>
    </row>
    <row r="2101" spans="1:18" ht="30">
      <c r="A2101" s="71">
        <v>27</v>
      </c>
      <c r="B2101" s="2" t="s">
        <v>6012</v>
      </c>
      <c r="C2101" s="71">
        <v>105</v>
      </c>
      <c r="D2101" s="2" t="s">
        <v>10436</v>
      </c>
      <c r="E2101" s="74">
        <v>0</v>
      </c>
      <c r="F2101" s="71">
        <v>0</v>
      </c>
      <c r="G2101" s="2" t="s">
        <v>20</v>
      </c>
      <c r="H2101" s="73" t="s">
        <v>10418</v>
      </c>
      <c r="I2101" s="76" t="s">
        <v>10437</v>
      </c>
      <c r="J2101" s="2" t="s">
        <v>24</v>
      </c>
      <c r="K2101" s="2" t="s">
        <v>25</v>
      </c>
      <c r="L2101" s="2" t="s">
        <v>26</v>
      </c>
      <c r="M2101" s="2" t="s">
        <v>24</v>
      </c>
      <c r="N2101" s="2" t="s">
        <v>25</v>
      </c>
      <c r="O2101" s="2" t="s">
        <v>26</v>
      </c>
      <c r="P2101" s="51">
        <v>0</v>
      </c>
      <c r="Q2101" s="1" t="s">
        <v>10415</v>
      </c>
      <c r="R2101" s="6" t="s">
        <v>10416</v>
      </c>
    </row>
    <row r="2102" spans="1:18">
      <c r="A2102" s="71">
        <v>27</v>
      </c>
      <c r="B2102" s="2" t="s">
        <v>6012</v>
      </c>
      <c r="C2102" s="71">
        <v>105</v>
      </c>
      <c r="D2102" s="2" t="s">
        <v>10436</v>
      </c>
      <c r="E2102" s="74">
        <v>0</v>
      </c>
      <c r="F2102" s="71">
        <v>1</v>
      </c>
      <c r="G2102" s="2" t="s">
        <v>6035</v>
      </c>
      <c r="H2102" s="73" t="s">
        <v>10419</v>
      </c>
      <c r="I2102" s="100" t="s">
        <v>10438</v>
      </c>
      <c r="J2102" s="2" t="s">
        <v>24</v>
      </c>
      <c r="K2102" s="2" t="s">
        <v>25</v>
      </c>
      <c r="L2102" s="2" t="s">
        <v>6037</v>
      </c>
      <c r="M2102" s="2" t="s">
        <v>24</v>
      </c>
      <c r="N2102" s="2" t="s">
        <v>25</v>
      </c>
      <c r="O2102" s="2" t="s">
        <v>6037</v>
      </c>
      <c r="P2102" s="51">
        <v>0</v>
      </c>
      <c r="Q2102" s="99" t="s">
        <v>6038</v>
      </c>
      <c r="R2102" s="6"/>
    </row>
    <row r="2103" spans="1:18">
      <c r="A2103" s="71">
        <v>27</v>
      </c>
      <c r="B2103" s="2" t="s">
        <v>6012</v>
      </c>
      <c r="C2103" s="71">
        <v>105</v>
      </c>
      <c r="D2103" s="2" t="s">
        <v>10436</v>
      </c>
      <c r="E2103" s="74">
        <v>0</v>
      </c>
      <c r="F2103" s="71">
        <v>2</v>
      </c>
      <c r="G2103" s="2" t="s">
        <v>6090</v>
      </c>
      <c r="H2103" s="73" t="s">
        <v>10420</v>
      </c>
      <c r="I2103" s="100" t="s">
        <v>10439</v>
      </c>
      <c r="J2103" s="2" t="s">
        <v>24</v>
      </c>
      <c r="K2103" s="2" t="s">
        <v>23</v>
      </c>
      <c r="M2103" s="2" t="s">
        <v>24</v>
      </c>
      <c r="N2103" s="2" t="s">
        <v>23</v>
      </c>
      <c r="P2103" s="51">
        <v>0</v>
      </c>
      <c r="Q2103" s="99" t="s">
        <v>10417</v>
      </c>
      <c r="R2103" s="6"/>
    </row>
    <row r="2104" spans="1:18" ht="60">
      <c r="A2104" s="71">
        <v>27</v>
      </c>
      <c r="B2104" s="2" t="s">
        <v>6012</v>
      </c>
      <c r="C2104" s="71">
        <v>105</v>
      </c>
      <c r="D2104" s="2" t="s">
        <v>10436</v>
      </c>
      <c r="E2104" s="74">
        <v>0</v>
      </c>
      <c r="F2104" s="71">
        <v>3</v>
      </c>
      <c r="G2104" s="2" t="s">
        <v>5712</v>
      </c>
      <c r="H2104" s="73" t="s">
        <v>10426</v>
      </c>
      <c r="I2104" s="100" t="s">
        <v>10440</v>
      </c>
      <c r="J2104" s="2" t="s">
        <v>24</v>
      </c>
      <c r="K2104" s="2" t="s">
        <v>23</v>
      </c>
      <c r="M2104" s="2" t="s">
        <v>24</v>
      </c>
      <c r="N2104" s="2" t="s">
        <v>23</v>
      </c>
      <c r="P2104" s="51">
        <v>0</v>
      </c>
      <c r="Q2104" s="99" t="s">
        <v>10421</v>
      </c>
      <c r="R2104" s="6" t="s">
        <v>10422</v>
      </c>
    </row>
    <row r="2105" spans="1:18">
      <c r="A2105" s="71">
        <v>27</v>
      </c>
      <c r="B2105" s="2" t="s">
        <v>6012</v>
      </c>
      <c r="C2105" s="71">
        <v>105</v>
      </c>
      <c r="D2105" s="2" t="s">
        <v>10436</v>
      </c>
      <c r="E2105" s="74">
        <v>0</v>
      </c>
      <c r="F2105" s="71">
        <v>4</v>
      </c>
      <c r="G2105" s="2" t="s">
        <v>10073</v>
      </c>
      <c r="H2105" s="73" t="s">
        <v>10427</v>
      </c>
      <c r="I2105" s="100" t="s">
        <v>10441</v>
      </c>
      <c r="J2105" s="2" t="s">
        <v>24</v>
      </c>
      <c r="K2105" s="2" t="s">
        <v>25</v>
      </c>
      <c r="L2105" s="2" t="s">
        <v>10074</v>
      </c>
      <c r="M2105" s="2" t="s">
        <v>24</v>
      </c>
      <c r="N2105" s="2" t="s">
        <v>25</v>
      </c>
      <c r="O2105" s="2" t="s">
        <v>10074</v>
      </c>
      <c r="P2105" s="51">
        <v>0</v>
      </c>
      <c r="Q2105" s="99" t="s">
        <v>10075</v>
      </c>
      <c r="R2105" s="6"/>
    </row>
    <row r="2106" spans="1:18">
      <c r="A2106" s="71">
        <v>27</v>
      </c>
      <c r="B2106" s="2" t="s">
        <v>6012</v>
      </c>
      <c r="C2106" s="71">
        <v>105</v>
      </c>
      <c r="D2106" s="2" t="s">
        <v>10436</v>
      </c>
      <c r="E2106" s="74">
        <v>0</v>
      </c>
      <c r="F2106" s="71">
        <v>5</v>
      </c>
      <c r="G2106" s="2" t="s">
        <v>10423</v>
      </c>
      <c r="H2106" s="73" t="s">
        <v>10428</v>
      </c>
      <c r="I2106" s="100" t="s">
        <v>10442</v>
      </c>
      <c r="J2106" s="2" t="s">
        <v>24</v>
      </c>
      <c r="K2106" s="2" t="s">
        <v>25</v>
      </c>
      <c r="L2106" s="2" t="s">
        <v>10424</v>
      </c>
      <c r="M2106" s="2" t="s">
        <v>24</v>
      </c>
      <c r="N2106" s="2" t="s">
        <v>25</v>
      </c>
      <c r="O2106" s="2" t="s">
        <v>10424</v>
      </c>
      <c r="P2106" s="51">
        <v>0</v>
      </c>
      <c r="Q2106" s="99" t="s">
        <v>10425</v>
      </c>
      <c r="R2106" s="6"/>
    </row>
    <row r="2107" spans="1:18">
      <c r="A2107" s="71">
        <v>27</v>
      </c>
      <c r="B2107" s="2" t="s">
        <v>6012</v>
      </c>
      <c r="C2107" s="71">
        <v>105</v>
      </c>
      <c r="D2107" s="2" t="s">
        <v>10436</v>
      </c>
      <c r="E2107" s="74">
        <v>0</v>
      </c>
      <c r="F2107" s="71">
        <v>6</v>
      </c>
      <c r="G2107" s="2" t="s">
        <v>6660</v>
      </c>
      <c r="H2107" s="73" t="s">
        <v>10429</v>
      </c>
      <c r="I2107" s="100" t="s">
        <v>10443</v>
      </c>
      <c r="J2107" s="2" t="s">
        <v>24</v>
      </c>
      <c r="K2107" s="2" t="s">
        <v>133</v>
      </c>
      <c r="M2107" s="2" t="s">
        <v>24</v>
      </c>
      <c r="N2107" s="2" t="s">
        <v>133</v>
      </c>
      <c r="P2107" s="51">
        <v>0</v>
      </c>
      <c r="Q2107" s="99" t="s">
        <v>8746</v>
      </c>
      <c r="R2107" s="6"/>
    </row>
    <row r="2108" spans="1:18">
      <c r="A2108" s="71">
        <v>27</v>
      </c>
      <c r="B2108" s="2" t="s">
        <v>6012</v>
      </c>
      <c r="C2108" s="71">
        <v>105</v>
      </c>
      <c r="D2108" s="2" t="s">
        <v>10436</v>
      </c>
      <c r="E2108" s="74">
        <v>0</v>
      </c>
      <c r="F2108" s="71">
        <v>7</v>
      </c>
      <c r="G2108" s="2" t="s">
        <v>6860</v>
      </c>
      <c r="H2108" s="73" t="s">
        <v>10430</v>
      </c>
      <c r="I2108" s="100" t="s">
        <v>10444</v>
      </c>
      <c r="J2108" s="2" t="s">
        <v>24</v>
      </c>
      <c r="K2108" s="2" t="s">
        <v>263</v>
      </c>
      <c r="M2108" s="2" t="s">
        <v>24</v>
      </c>
      <c r="N2108" s="2" t="s">
        <v>263</v>
      </c>
      <c r="P2108" s="51">
        <v>0</v>
      </c>
      <c r="Q2108" s="99" t="s">
        <v>8748</v>
      </c>
      <c r="R2108" s="6"/>
    </row>
    <row r="2109" spans="1:18">
      <c r="A2109" s="71">
        <v>27</v>
      </c>
      <c r="B2109" s="2" t="s">
        <v>6012</v>
      </c>
      <c r="C2109" s="71">
        <v>105</v>
      </c>
      <c r="D2109" s="2" t="s">
        <v>10436</v>
      </c>
      <c r="E2109" s="74">
        <v>0</v>
      </c>
      <c r="F2109" s="71">
        <v>8</v>
      </c>
      <c r="G2109" s="2" t="s">
        <v>8443</v>
      </c>
      <c r="H2109" s="73" t="s">
        <v>10431</v>
      </c>
      <c r="I2109" s="100" t="s">
        <v>10445</v>
      </c>
      <c r="J2109" s="2" t="s">
        <v>24</v>
      </c>
      <c r="K2109" s="2" t="s">
        <v>23</v>
      </c>
      <c r="M2109" s="2" t="s">
        <v>24</v>
      </c>
      <c r="N2109" s="2" t="s">
        <v>23</v>
      </c>
      <c r="P2109" s="51">
        <v>0</v>
      </c>
      <c r="Q2109" s="99" t="s">
        <v>8751</v>
      </c>
      <c r="R2109" s="6" t="s">
        <v>9879</v>
      </c>
    </row>
    <row r="2110" spans="1:18">
      <c r="A2110" s="71">
        <v>27</v>
      </c>
      <c r="B2110" s="2" t="s">
        <v>6012</v>
      </c>
      <c r="C2110" s="71">
        <v>105</v>
      </c>
      <c r="D2110" s="2" t="s">
        <v>10436</v>
      </c>
      <c r="E2110" s="74">
        <v>0</v>
      </c>
      <c r="F2110" s="71">
        <v>9</v>
      </c>
      <c r="G2110" s="2" t="s">
        <v>9881</v>
      </c>
      <c r="H2110" s="73" t="s">
        <v>10432</v>
      </c>
      <c r="I2110" s="100" t="s">
        <v>10446</v>
      </c>
      <c r="J2110" s="2" t="s">
        <v>24</v>
      </c>
      <c r="K2110" s="2" t="s">
        <v>25</v>
      </c>
      <c r="M2110" s="2" t="s">
        <v>24</v>
      </c>
      <c r="N2110" s="2" t="s">
        <v>25</v>
      </c>
      <c r="P2110" s="51">
        <v>0</v>
      </c>
      <c r="Q2110" s="99" t="s">
        <v>9901</v>
      </c>
      <c r="R2110" s="6"/>
    </row>
    <row r="2111" spans="1:18">
      <c r="A2111" s="71">
        <v>27</v>
      </c>
      <c r="B2111" s="2" t="s">
        <v>6012</v>
      </c>
      <c r="C2111" s="71">
        <v>105</v>
      </c>
      <c r="D2111" s="2" t="s">
        <v>10436</v>
      </c>
      <c r="E2111" s="74">
        <v>0</v>
      </c>
      <c r="F2111" s="71">
        <v>10</v>
      </c>
      <c r="G2111" s="2" t="s">
        <v>9882</v>
      </c>
      <c r="H2111" s="73" t="s">
        <v>10433</v>
      </c>
      <c r="I2111" s="100" t="s">
        <v>10447</v>
      </c>
      <c r="J2111" s="2" t="s">
        <v>24</v>
      </c>
      <c r="K2111" s="2" t="s">
        <v>25</v>
      </c>
      <c r="M2111" s="2" t="s">
        <v>24</v>
      </c>
      <c r="N2111" s="2" t="s">
        <v>25</v>
      </c>
      <c r="P2111" s="51">
        <v>0</v>
      </c>
      <c r="Q2111" s="99" t="s">
        <v>9902</v>
      </c>
      <c r="R2111" s="6"/>
    </row>
    <row r="2112" spans="1:18">
      <c r="A2112" s="71">
        <v>27</v>
      </c>
      <c r="B2112" s="2" t="s">
        <v>6012</v>
      </c>
      <c r="C2112" s="71">
        <v>105</v>
      </c>
      <c r="D2112" s="2" t="s">
        <v>10436</v>
      </c>
      <c r="E2112" s="74">
        <v>0</v>
      </c>
      <c r="F2112" s="71">
        <v>11</v>
      </c>
      <c r="G2112" s="2" t="s">
        <v>8451</v>
      </c>
      <c r="H2112" s="73" t="s">
        <v>10434</v>
      </c>
      <c r="I2112" s="100" t="s">
        <v>10448</v>
      </c>
      <c r="J2112" s="2" t="s">
        <v>24</v>
      </c>
      <c r="K2112" s="2" t="s">
        <v>25</v>
      </c>
      <c r="M2112" s="2" t="s">
        <v>24</v>
      </c>
      <c r="N2112" s="2" t="s">
        <v>25</v>
      </c>
      <c r="P2112" s="51">
        <v>0</v>
      </c>
      <c r="Q2112" s="99" t="s">
        <v>9903</v>
      </c>
      <c r="R2112" s="6"/>
    </row>
    <row r="2113" spans="1:18">
      <c r="A2113" s="71">
        <v>27</v>
      </c>
      <c r="B2113" s="2" t="s">
        <v>6012</v>
      </c>
      <c r="C2113" s="71">
        <v>105</v>
      </c>
      <c r="D2113" s="2" t="s">
        <v>10436</v>
      </c>
      <c r="E2113" s="74">
        <v>0</v>
      </c>
      <c r="F2113" s="71">
        <v>12</v>
      </c>
      <c r="G2113" s="2" t="s">
        <v>9880</v>
      </c>
      <c r="H2113" s="73" t="s">
        <v>10435</v>
      </c>
      <c r="I2113" s="100" t="s">
        <v>10449</v>
      </c>
      <c r="J2113" s="2" t="s">
        <v>24</v>
      </c>
      <c r="K2113" s="2" t="s">
        <v>25</v>
      </c>
      <c r="M2113" s="2" t="s">
        <v>24</v>
      </c>
      <c r="N2113" s="2" t="s">
        <v>25</v>
      </c>
      <c r="P2113" s="51">
        <v>0</v>
      </c>
      <c r="Q2113" s="99" t="s">
        <v>9904</v>
      </c>
      <c r="R2113" s="6"/>
    </row>
    <row r="2114" spans="1:18" ht="30">
      <c r="A2114" s="71">
        <v>27</v>
      </c>
      <c r="B2114" s="2" t="s">
        <v>6012</v>
      </c>
      <c r="C2114" s="71">
        <v>106</v>
      </c>
      <c r="D2114" s="2" t="s">
        <v>10456</v>
      </c>
      <c r="E2114" s="74">
        <v>0</v>
      </c>
      <c r="F2114" s="71">
        <v>0</v>
      </c>
      <c r="G2114" s="2" t="s">
        <v>20</v>
      </c>
      <c r="H2114" s="73" t="s">
        <v>10450</v>
      </c>
      <c r="I2114" s="76" t="s">
        <v>10457</v>
      </c>
      <c r="J2114" s="2" t="s">
        <v>24</v>
      </c>
      <c r="K2114" s="2" t="s">
        <v>25</v>
      </c>
      <c r="L2114" s="2" t="s">
        <v>26</v>
      </c>
      <c r="M2114" s="2" t="s">
        <v>24</v>
      </c>
      <c r="N2114" s="2" t="s">
        <v>25</v>
      </c>
      <c r="O2114" s="2" t="s">
        <v>26</v>
      </c>
      <c r="P2114" s="51">
        <v>0</v>
      </c>
      <c r="Q2114" s="1" t="s">
        <v>10468</v>
      </c>
      <c r="R2114" s="6" t="s">
        <v>10416</v>
      </c>
    </row>
    <row r="2115" spans="1:18">
      <c r="A2115" s="71">
        <v>27</v>
      </c>
      <c r="B2115" s="2" t="s">
        <v>6012</v>
      </c>
      <c r="C2115" s="71">
        <v>106</v>
      </c>
      <c r="D2115" s="2" t="s">
        <v>10456</v>
      </c>
      <c r="E2115" s="74">
        <v>0</v>
      </c>
      <c r="F2115" s="71">
        <v>1</v>
      </c>
      <c r="G2115" s="2" t="s">
        <v>6035</v>
      </c>
      <c r="H2115" s="73" t="s">
        <v>10458</v>
      </c>
      <c r="I2115" s="100" t="s">
        <v>10459</v>
      </c>
      <c r="J2115" s="2" t="s">
        <v>24</v>
      </c>
      <c r="K2115" s="2" t="s">
        <v>25</v>
      </c>
      <c r="L2115" s="2" t="s">
        <v>6037</v>
      </c>
      <c r="M2115" s="2" t="s">
        <v>24</v>
      </c>
      <c r="N2115" s="2" t="s">
        <v>25</v>
      </c>
      <c r="O2115" s="2" t="s">
        <v>6037</v>
      </c>
      <c r="P2115" s="51">
        <v>0</v>
      </c>
      <c r="Q2115" s="99" t="s">
        <v>6038</v>
      </c>
      <c r="R2115" s="6"/>
    </row>
    <row r="2116" spans="1:18">
      <c r="A2116" s="71">
        <v>27</v>
      </c>
      <c r="B2116" s="2" t="s">
        <v>6012</v>
      </c>
      <c r="C2116" s="71">
        <v>106</v>
      </c>
      <c r="D2116" s="2" t="s">
        <v>10456</v>
      </c>
      <c r="E2116" s="74">
        <v>0</v>
      </c>
      <c r="F2116" s="71">
        <v>2</v>
      </c>
      <c r="G2116" s="2" t="s">
        <v>6090</v>
      </c>
      <c r="H2116" s="73" t="s">
        <v>10460</v>
      </c>
      <c r="I2116" s="100" t="s">
        <v>10461</v>
      </c>
      <c r="J2116" s="2" t="s">
        <v>24</v>
      </c>
      <c r="K2116" s="2" t="s">
        <v>23</v>
      </c>
      <c r="M2116" s="2" t="s">
        <v>24</v>
      </c>
      <c r="N2116" s="2" t="s">
        <v>23</v>
      </c>
      <c r="P2116" s="51">
        <v>0</v>
      </c>
      <c r="Q2116" s="99" t="s">
        <v>10417</v>
      </c>
      <c r="R2116" s="6"/>
    </row>
    <row r="2117" spans="1:18" ht="60">
      <c r="A2117" s="71">
        <v>27</v>
      </c>
      <c r="B2117" s="2" t="s">
        <v>6012</v>
      </c>
      <c r="C2117" s="71">
        <v>106</v>
      </c>
      <c r="D2117" s="2" t="s">
        <v>10456</v>
      </c>
      <c r="E2117" s="74">
        <v>0</v>
      </c>
      <c r="F2117" s="71">
        <v>3</v>
      </c>
      <c r="G2117" s="2" t="s">
        <v>5712</v>
      </c>
      <c r="H2117" s="73" t="s">
        <v>10462</v>
      </c>
      <c r="I2117" s="100" t="s">
        <v>10463</v>
      </c>
      <c r="J2117" s="2" t="s">
        <v>24</v>
      </c>
      <c r="K2117" s="2" t="s">
        <v>23</v>
      </c>
      <c r="M2117" s="2" t="s">
        <v>24</v>
      </c>
      <c r="N2117" s="2" t="s">
        <v>23</v>
      </c>
      <c r="P2117" s="51">
        <v>0</v>
      </c>
      <c r="Q2117" s="99" t="s">
        <v>10421</v>
      </c>
      <c r="R2117" s="6" t="s">
        <v>10422</v>
      </c>
    </row>
    <row r="2118" spans="1:18">
      <c r="A2118" s="71">
        <v>27</v>
      </c>
      <c r="B2118" s="2" t="s">
        <v>6012</v>
      </c>
      <c r="C2118" s="71">
        <v>106</v>
      </c>
      <c r="D2118" s="2" t="s">
        <v>10456</v>
      </c>
      <c r="E2118" s="74">
        <v>0</v>
      </c>
      <c r="F2118" s="71">
        <v>4</v>
      </c>
      <c r="G2118" s="2" t="s">
        <v>10073</v>
      </c>
      <c r="H2118" s="73" t="s">
        <v>10464</v>
      </c>
      <c r="I2118" s="100" t="s">
        <v>10465</v>
      </c>
      <c r="J2118" s="2" t="s">
        <v>24</v>
      </c>
      <c r="K2118" s="2" t="s">
        <v>25</v>
      </c>
      <c r="L2118" s="2" t="s">
        <v>10074</v>
      </c>
      <c r="M2118" s="2" t="s">
        <v>24</v>
      </c>
      <c r="N2118" s="2" t="s">
        <v>25</v>
      </c>
      <c r="O2118" s="2" t="s">
        <v>10074</v>
      </c>
      <c r="P2118" s="51">
        <v>0</v>
      </c>
      <c r="Q2118" s="99" t="s">
        <v>10075</v>
      </c>
      <c r="R2118" s="6"/>
    </row>
    <row r="2119" spans="1:18">
      <c r="A2119" s="71">
        <v>27</v>
      </c>
      <c r="B2119" s="2" t="s">
        <v>6012</v>
      </c>
      <c r="C2119" s="71">
        <v>106</v>
      </c>
      <c r="D2119" s="2" t="s">
        <v>10456</v>
      </c>
      <c r="E2119" s="74">
        <v>0</v>
      </c>
      <c r="F2119" s="71">
        <v>5</v>
      </c>
      <c r="G2119" s="2" t="s">
        <v>10423</v>
      </c>
      <c r="H2119" s="73" t="s">
        <v>10466</v>
      </c>
      <c r="I2119" s="100" t="s">
        <v>10467</v>
      </c>
      <c r="J2119" s="2" t="s">
        <v>24</v>
      </c>
      <c r="K2119" s="2" t="s">
        <v>25</v>
      </c>
      <c r="L2119" s="2" t="s">
        <v>10424</v>
      </c>
      <c r="M2119" s="2" t="s">
        <v>24</v>
      </c>
      <c r="N2119" s="2" t="s">
        <v>25</v>
      </c>
      <c r="O2119" s="2" t="s">
        <v>10424</v>
      </c>
      <c r="P2119" s="51">
        <v>0</v>
      </c>
      <c r="Q2119" s="99" t="s">
        <v>10425</v>
      </c>
      <c r="R2119" s="6"/>
    </row>
    <row r="2120" spans="1:18">
      <c r="A2120" s="71">
        <v>27</v>
      </c>
      <c r="B2120" s="2" t="s">
        <v>6012</v>
      </c>
      <c r="C2120" s="71">
        <v>106</v>
      </c>
      <c r="D2120" s="2" t="s">
        <v>10456</v>
      </c>
      <c r="E2120" s="74">
        <v>0</v>
      </c>
      <c r="F2120" s="71">
        <v>6</v>
      </c>
      <c r="G2120" s="2" t="s">
        <v>9912</v>
      </c>
      <c r="H2120" s="73" t="s">
        <v>10469</v>
      </c>
      <c r="I2120" s="100" t="s">
        <v>10470</v>
      </c>
      <c r="J2120" s="2" t="s">
        <v>24</v>
      </c>
      <c r="K2120" s="2" t="s">
        <v>133</v>
      </c>
      <c r="M2120" s="2" t="s">
        <v>24</v>
      </c>
      <c r="N2120" s="2" t="s">
        <v>133</v>
      </c>
      <c r="P2120" s="51">
        <v>0</v>
      </c>
      <c r="Q2120" s="99" t="s">
        <v>8749</v>
      </c>
      <c r="R2120" s="6"/>
    </row>
    <row r="2121" spans="1:18">
      <c r="A2121" s="71">
        <v>27</v>
      </c>
      <c r="B2121" s="2" t="s">
        <v>6012</v>
      </c>
      <c r="C2121" s="71">
        <v>106</v>
      </c>
      <c r="D2121" s="2" t="s">
        <v>10456</v>
      </c>
      <c r="E2121" s="74">
        <v>0</v>
      </c>
      <c r="F2121" s="71">
        <v>7</v>
      </c>
      <c r="G2121" s="2" t="s">
        <v>9913</v>
      </c>
      <c r="H2121" s="73" t="s">
        <v>10471</v>
      </c>
      <c r="I2121" s="100" t="s">
        <v>10472</v>
      </c>
      <c r="J2121" s="2" t="s">
        <v>24</v>
      </c>
      <c r="K2121" s="2" t="s">
        <v>263</v>
      </c>
      <c r="M2121" s="2" t="s">
        <v>24</v>
      </c>
      <c r="N2121" s="2" t="s">
        <v>263</v>
      </c>
      <c r="P2121" s="51">
        <v>0</v>
      </c>
      <c r="Q2121" s="99" t="s">
        <v>8750</v>
      </c>
      <c r="R2121" s="6"/>
    </row>
    <row r="2122" spans="1:18">
      <c r="A2122" s="71">
        <v>27</v>
      </c>
      <c r="B2122" s="2" t="s">
        <v>6012</v>
      </c>
      <c r="C2122" s="71">
        <v>106</v>
      </c>
      <c r="D2122" s="2" t="s">
        <v>10456</v>
      </c>
      <c r="E2122" s="74">
        <v>0</v>
      </c>
      <c r="F2122" s="71">
        <v>8</v>
      </c>
      <c r="G2122" s="2" t="s">
        <v>6333</v>
      </c>
      <c r="H2122" s="73" t="s">
        <v>10473</v>
      </c>
      <c r="I2122" s="100" t="s">
        <v>10474</v>
      </c>
      <c r="J2122" s="2" t="s">
        <v>24</v>
      </c>
      <c r="K2122" s="2" t="s">
        <v>263</v>
      </c>
      <c r="M2122" s="2" t="s">
        <v>24</v>
      </c>
      <c r="N2122" s="2" t="s">
        <v>263</v>
      </c>
      <c r="P2122" s="51">
        <v>0</v>
      </c>
      <c r="Q2122" s="99" t="s">
        <v>9914</v>
      </c>
      <c r="R2122" s="6"/>
    </row>
    <row r="2123" spans="1:18" ht="30">
      <c r="A2123" s="71">
        <v>27</v>
      </c>
      <c r="B2123" s="2" t="s">
        <v>6012</v>
      </c>
      <c r="C2123" s="71">
        <v>106</v>
      </c>
      <c r="D2123" s="2" t="s">
        <v>10456</v>
      </c>
      <c r="E2123" s="74">
        <v>0</v>
      </c>
      <c r="F2123" s="71">
        <v>9</v>
      </c>
      <c r="G2123" s="2" t="s">
        <v>6896</v>
      </c>
      <c r="H2123" s="73" t="s">
        <v>10475</v>
      </c>
      <c r="I2123" s="100" t="s">
        <v>10476</v>
      </c>
      <c r="J2123" s="2" t="s">
        <v>24</v>
      </c>
      <c r="K2123" s="2" t="s">
        <v>263</v>
      </c>
      <c r="M2123" s="2" t="s">
        <v>24</v>
      </c>
      <c r="N2123" s="2" t="s">
        <v>263</v>
      </c>
      <c r="P2123" s="51">
        <v>0</v>
      </c>
      <c r="Q2123" s="99" t="s">
        <v>9915</v>
      </c>
      <c r="R2123" s="6" t="s">
        <v>9916</v>
      </c>
    </row>
    <row r="2124" spans="1:18" ht="30">
      <c r="A2124" s="71">
        <v>27</v>
      </c>
      <c r="B2124" s="2" t="s">
        <v>6012</v>
      </c>
      <c r="C2124" s="71">
        <v>107</v>
      </c>
      <c r="D2124" s="2" t="s">
        <v>10477</v>
      </c>
      <c r="E2124" s="74">
        <v>0</v>
      </c>
      <c r="F2124" s="71">
        <v>0</v>
      </c>
      <c r="G2124" s="2" t="s">
        <v>20</v>
      </c>
      <c r="H2124" s="73" t="s">
        <v>10451</v>
      </c>
      <c r="I2124" s="76" t="s">
        <v>10479</v>
      </c>
      <c r="J2124" s="2" t="s">
        <v>24</v>
      </c>
      <c r="K2124" s="2" t="s">
        <v>25</v>
      </c>
      <c r="L2124" s="2" t="s">
        <v>26</v>
      </c>
      <c r="M2124" s="2" t="s">
        <v>24</v>
      </c>
      <c r="N2124" s="2" t="s">
        <v>25</v>
      </c>
      <c r="O2124" s="2" t="s">
        <v>26</v>
      </c>
      <c r="P2124" s="51">
        <v>0</v>
      </c>
      <c r="Q2124" s="1" t="s">
        <v>10478</v>
      </c>
      <c r="R2124" s="6" t="s">
        <v>10416</v>
      </c>
    </row>
    <row r="2125" spans="1:18">
      <c r="A2125" s="71">
        <v>27</v>
      </c>
      <c r="B2125" s="2" t="s">
        <v>6012</v>
      </c>
      <c r="C2125" s="71">
        <v>107</v>
      </c>
      <c r="D2125" s="2" t="s">
        <v>10477</v>
      </c>
      <c r="E2125" s="74">
        <v>0</v>
      </c>
      <c r="F2125" s="71">
        <v>1</v>
      </c>
      <c r="G2125" s="2" t="s">
        <v>6035</v>
      </c>
      <c r="H2125" s="73" t="s">
        <v>10452</v>
      </c>
      <c r="I2125" s="100" t="s">
        <v>10480</v>
      </c>
      <c r="J2125" s="2" t="s">
        <v>24</v>
      </c>
      <c r="K2125" s="2" t="s">
        <v>25</v>
      </c>
      <c r="L2125" s="2" t="s">
        <v>6037</v>
      </c>
      <c r="M2125" s="2" t="s">
        <v>24</v>
      </c>
      <c r="N2125" s="2" t="s">
        <v>25</v>
      </c>
      <c r="O2125" s="2" t="s">
        <v>6037</v>
      </c>
      <c r="P2125" s="51">
        <v>0</v>
      </c>
      <c r="Q2125" s="99" t="s">
        <v>6038</v>
      </c>
      <c r="R2125" s="6"/>
    </row>
    <row r="2126" spans="1:18">
      <c r="A2126" s="71">
        <v>27</v>
      </c>
      <c r="B2126" s="2" t="s">
        <v>6012</v>
      </c>
      <c r="C2126" s="71">
        <v>107</v>
      </c>
      <c r="D2126" s="2" t="s">
        <v>10477</v>
      </c>
      <c r="E2126" s="74">
        <v>0</v>
      </c>
      <c r="F2126" s="71">
        <v>2</v>
      </c>
      <c r="G2126" s="2" t="s">
        <v>6090</v>
      </c>
      <c r="H2126" s="73" t="s">
        <v>10453</v>
      </c>
      <c r="I2126" s="100" t="s">
        <v>10481</v>
      </c>
      <c r="J2126" s="2" t="s">
        <v>24</v>
      </c>
      <c r="K2126" s="2" t="s">
        <v>23</v>
      </c>
      <c r="M2126" s="2" t="s">
        <v>24</v>
      </c>
      <c r="N2126" s="2" t="s">
        <v>23</v>
      </c>
      <c r="P2126" s="51">
        <v>0</v>
      </c>
      <c r="Q2126" s="99" t="s">
        <v>10417</v>
      </c>
      <c r="R2126" s="6"/>
    </row>
    <row r="2127" spans="1:18" ht="60">
      <c r="A2127" s="71">
        <v>27</v>
      </c>
      <c r="B2127" s="2" t="s">
        <v>6012</v>
      </c>
      <c r="C2127" s="71">
        <v>107</v>
      </c>
      <c r="D2127" s="2" t="s">
        <v>10477</v>
      </c>
      <c r="E2127" s="74">
        <v>0</v>
      </c>
      <c r="F2127" s="71">
        <v>3</v>
      </c>
      <c r="G2127" s="2" t="s">
        <v>5712</v>
      </c>
      <c r="H2127" s="73" t="s">
        <v>10454</v>
      </c>
      <c r="I2127" s="100" t="s">
        <v>10482</v>
      </c>
      <c r="J2127" s="2" t="s">
        <v>24</v>
      </c>
      <c r="K2127" s="2" t="s">
        <v>23</v>
      </c>
      <c r="M2127" s="2" t="s">
        <v>24</v>
      </c>
      <c r="N2127" s="2" t="s">
        <v>23</v>
      </c>
      <c r="P2127" s="51">
        <v>0</v>
      </c>
      <c r="Q2127" s="99" t="s">
        <v>10421</v>
      </c>
      <c r="R2127" s="6" t="s">
        <v>10422</v>
      </c>
    </row>
    <row r="2128" spans="1:18">
      <c r="A2128" s="71">
        <v>27</v>
      </c>
      <c r="B2128" s="2" t="s">
        <v>6012</v>
      </c>
      <c r="C2128" s="71">
        <v>107</v>
      </c>
      <c r="D2128" s="2" t="s">
        <v>10477</v>
      </c>
      <c r="E2128" s="74">
        <v>0</v>
      </c>
      <c r="F2128" s="71">
        <v>4</v>
      </c>
      <c r="G2128" s="2" t="s">
        <v>10073</v>
      </c>
      <c r="H2128" s="73" t="s">
        <v>10455</v>
      </c>
      <c r="I2128" s="100" t="s">
        <v>10483</v>
      </c>
      <c r="J2128" s="2" t="s">
        <v>24</v>
      </c>
      <c r="K2128" s="2" t="s">
        <v>25</v>
      </c>
      <c r="L2128" s="2" t="s">
        <v>10074</v>
      </c>
      <c r="M2128" s="2" t="s">
        <v>24</v>
      </c>
      <c r="N2128" s="2" t="s">
        <v>25</v>
      </c>
      <c r="O2128" s="2" t="s">
        <v>10074</v>
      </c>
      <c r="P2128" s="51">
        <v>0</v>
      </c>
      <c r="Q2128" s="99" t="s">
        <v>10075</v>
      </c>
      <c r="R2128" s="6"/>
    </row>
    <row r="2129" spans="1:18">
      <c r="A2129" s="71">
        <v>27</v>
      </c>
      <c r="B2129" s="2" t="s">
        <v>6012</v>
      </c>
      <c r="C2129" s="71">
        <v>107</v>
      </c>
      <c r="D2129" s="2" t="s">
        <v>10477</v>
      </c>
      <c r="E2129" s="74">
        <v>0</v>
      </c>
      <c r="F2129" s="71">
        <v>5</v>
      </c>
      <c r="G2129" s="2" t="s">
        <v>10423</v>
      </c>
      <c r="H2129" s="73" t="s">
        <v>10484</v>
      </c>
      <c r="I2129" s="100" t="s">
        <v>10485</v>
      </c>
      <c r="J2129" s="2" t="s">
        <v>24</v>
      </c>
      <c r="K2129" s="2" t="s">
        <v>25</v>
      </c>
      <c r="L2129" s="2" t="s">
        <v>10424</v>
      </c>
      <c r="M2129" s="2" t="s">
        <v>24</v>
      </c>
      <c r="N2129" s="2" t="s">
        <v>25</v>
      </c>
      <c r="O2129" s="2" t="s">
        <v>10424</v>
      </c>
      <c r="P2129" s="51">
        <v>0</v>
      </c>
      <c r="Q2129" s="99" t="s">
        <v>10425</v>
      </c>
      <c r="R2129" s="6"/>
    </row>
    <row r="2130" spans="1:18" ht="30">
      <c r="A2130" s="71">
        <v>27</v>
      </c>
      <c r="B2130" s="2" t="s">
        <v>6012</v>
      </c>
      <c r="C2130" s="71">
        <v>107</v>
      </c>
      <c r="D2130" s="2" t="s">
        <v>10477</v>
      </c>
      <c r="E2130" s="74">
        <v>0</v>
      </c>
      <c r="F2130" s="71">
        <v>6</v>
      </c>
      <c r="G2130" s="2" t="s">
        <v>9940</v>
      </c>
      <c r="H2130" s="73" t="s">
        <v>10486</v>
      </c>
      <c r="I2130" s="100" t="s">
        <v>10487</v>
      </c>
      <c r="J2130" s="2" t="s">
        <v>24</v>
      </c>
      <c r="K2130" s="2" t="s">
        <v>25</v>
      </c>
      <c r="L2130" s="2" t="s">
        <v>9941</v>
      </c>
      <c r="M2130" s="2" t="s">
        <v>24</v>
      </c>
      <c r="N2130" s="2" t="s">
        <v>25</v>
      </c>
      <c r="O2130" s="2" t="s">
        <v>9941</v>
      </c>
      <c r="P2130" s="51">
        <v>0</v>
      </c>
      <c r="Q2130" s="99" t="s">
        <v>8811</v>
      </c>
      <c r="R2130" s="6" t="s">
        <v>9942</v>
      </c>
    </row>
    <row r="2131" spans="1:18" ht="90">
      <c r="A2131" s="71">
        <v>27</v>
      </c>
      <c r="B2131" s="2" t="s">
        <v>6012</v>
      </c>
      <c r="C2131" s="71">
        <v>107</v>
      </c>
      <c r="D2131" s="2" t="s">
        <v>10477</v>
      </c>
      <c r="E2131" s="74">
        <v>0</v>
      </c>
      <c r="F2131" s="71">
        <v>7</v>
      </c>
      <c r="G2131" s="2" t="s">
        <v>8477</v>
      </c>
      <c r="H2131" s="73" t="s">
        <v>10488</v>
      </c>
      <c r="I2131" s="100" t="s">
        <v>10489</v>
      </c>
      <c r="J2131" s="2" t="s">
        <v>24</v>
      </c>
      <c r="K2131" s="2" t="s">
        <v>116</v>
      </c>
      <c r="L2131" s="16" t="s">
        <v>10054</v>
      </c>
      <c r="M2131" s="2" t="s">
        <v>24</v>
      </c>
      <c r="N2131" s="2" t="s">
        <v>116</v>
      </c>
      <c r="O2131" s="16" t="s">
        <v>10054</v>
      </c>
      <c r="P2131" s="51">
        <v>0</v>
      </c>
      <c r="Q2131" s="99" t="s">
        <v>8808</v>
      </c>
      <c r="R2131" s="6" t="s">
        <v>9947</v>
      </c>
    </row>
    <row r="2132" spans="1:18">
      <c r="A2132" s="71">
        <v>27</v>
      </c>
      <c r="B2132" s="2" t="s">
        <v>6012</v>
      </c>
      <c r="C2132" s="71">
        <v>107</v>
      </c>
      <c r="D2132" s="2" t="s">
        <v>10477</v>
      </c>
      <c r="E2132" s="74">
        <v>0</v>
      </c>
      <c r="F2132" s="71">
        <v>8</v>
      </c>
      <c r="G2132" s="2" t="s">
        <v>9948</v>
      </c>
      <c r="H2132" s="73" t="s">
        <v>10490</v>
      </c>
      <c r="I2132" s="100" t="s">
        <v>10491</v>
      </c>
      <c r="J2132" s="2" t="s">
        <v>24</v>
      </c>
      <c r="K2132" s="2" t="s">
        <v>335</v>
      </c>
      <c r="M2132" s="2" t="s">
        <v>24</v>
      </c>
      <c r="N2132" s="2" t="s">
        <v>335</v>
      </c>
      <c r="P2132" s="51">
        <v>0</v>
      </c>
      <c r="Q2132" s="99" t="s">
        <v>9949</v>
      </c>
      <c r="R2132" s="6"/>
    </row>
    <row r="2133" spans="1:18">
      <c r="A2133" s="71">
        <v>27</v>
      </c>
      <c r="B2133" s="2" t="s">
        <v>6012</v>
      </c>
      <c r="C2133" s="71">
        <v>107</v>
      </c>
      <c r="D2133" s="2" t="s">
        <v>10477</v>
      </c>
      <c r="E2133" s="74">
        <v>0</v>
      </c>
      <c r="F2133" s="71">
        <v>9</v>
      </c>
      <c r="G2133" s="2" t="s">
        <v>9950</v>
      </c>
      <c r="H2133" s="73" t="s">
        <v>10492</v>
      </c>
      <c r="I2133" s="100" t="s">
        <v>10493</v>
      </c>
      <c r="J2133" s="2" t="s">
        <v>24</v>
      </c>
      <c r="K2133" s="2" t="s">
        <v>335</v>
      </c>
      <c r="M2133" s="2" t="s">
        <v>24</v>
      </c>
      <c r="N2133" s="2" t="s">
        <v>335</v>
      </c>
      <c r="P2133" s="51">
        <v>0</v>
      </c>
      <c r="Q2133" s="99" t="s">
        <v>9951</v>
      </c>
      <c r="R2133" s="6" t="s">
        <v>9952</v>
      </c>
    </row>
    <row r="2134" spans="1:18">
      <c r="A2134" s="71">
        <v>27</v>
      </c>
      <c r="B2134" s="2" t="s">
        <v>6012</v>
      </c>
      <c r="C2134" s="71">
        <v>107</v>
      </c>
      <c r="D2134" s="2" t="s">
        <v>10477</v>
      </c>
      <c r="E2134" s="74">
        <v>0</v>
      </c>
      <c r="F2134" s="71">
        <v>10</v>
      </c>
      <c r="G2134" s="2" t="s">
        <v>9953</v>
      </c>
      <c r="H2134" s="73" t="s">
        <v>10494</v>
      </c>
      <c r="I2134" s="100" t="s">
        <v>10495</v>
      </c>
      <c r="J2134" s="2" t="s">
        <v>24</v>
      </c>
      <c r="K2134" s="2" t="s">
        <v>206</v>
      </c>
      <c r="M2134" s="2" t="s">
        <v>24</v>
      </c>
      <c r="N2134" s="2" t="s">
        <v>206</v>
      </c>
      <c r="P2134" s="51">
        <v>0</v>
      </c>
      <c r="Q2134" s="99" t="s">
        <v>9954</v>
      </c>
      <c r="R2134" s="6"/>
    </row>
    <row r="2135" spans="1:18">
      <c r="A2135" s="71">
        <v>27</v>
      </c>
      <c r="B2135" s="2" t="s">
        <v>6012</v>
      </c>
      <c r="C2135" s="71">
        <v>107</v>
      </c>
      <c r="D2135" s="2" t="s">
        <v>10477</v>
      </c>
      <c r="E2135" s="74">
        <v>0</v>
      </c>
      <c r="F2135" s="71">
        <v>11</v>
      </c>
      <c r="G2135" s="2" t="s">
        <v>9955</v>
      </c>
      <c r="H2135" s="73" t="s">
        <v>10496</v>
      </c>
      <c r="I2135" s="100" t="s">
        <v>10497</v>
      </c>
      <c r="J2135" s="2" t="s">
        <v>24</v>
      </c>
      <c r="K2135" s="2" t="s">
        <v>23</v>
      </c>
      <c r="M2135" s="2" t="s">
        <v>24</v>
      </c>
      <c r="N2135" s="2" t="s">
        <v>23</v>
      </c>
      <c r="P2135" s="51">
        <v>0</v>
      </c>
      <c r="Q2135" s="99" t="s">
        <v>9956</v>
      </c>
      <c r="R2135" s="6" t="s">
        <v>9957</v>
      </c>
    </row>
    <row r="2136" spans="1:18" ht="30">
      <c r="A2136" s="71">
        <v>27</v>
      </c>
      <c r="B2136" s="2" t="s">
        <v>6012</v>
      </c>
      <c r="C2136" s="71">
        <v>108</v>
      </c>
      <c r="D2136" s="2" t="s">
        <v>10498</v>
      </c>
      <c r="E2136" s="74">
        <v>0</v>
      </c>
      <c r="F2136" s="71">
        <v>0</v>
      </c>
      <c r="G2136" s="2" t="s">
        <v>20</v>
      </c>
      <c r="H2136" s="73" t="s">
        <v>10500</v>
      </c>
      <c r="I2136" s="76" t="s">
        <v>10501</v>
      </c>
      <c r="J2136" s="2" t="s">
        <v>24</v>
      </c>
      <c r="K2136" s="2" t="s">
        <v>25</v>
      </c>
      <c r="L2136" s="2" t="s">
        <v>26</v>
      </c>
      <c r="M2136" s="2" t="s">
        <v>24</v>
      </c>
      <c r="N2136" s="2" t="s">
        <v>25</v>
      </c>
      <c r="O2136" s="2" t="s">
        <v>26</v>
      </c>
      <c r="P2136" s="51">
        <v>0</v>
      </c>
      <c r="Q2136" s="1" t="s">
        <v>10499</v>
      </c>
      <c r="R2136" s="6" t="s">
        <v>10416</v>
      </c>
    </row>
    <row r="2137" spans="1:18">
      <c r="A2137" s="71">
        <v>27</v>
      </c>
      <c r="B2137" s="2" t="s">
        <v>6012</v>
      </c>
      <c r="C2137" s="71">
        <v>108</v>
      </c>
      <c r="D2137" s="2" t="s">
        <v>10498</v>
      </c>
      <c r="E2137" s="74">
        <v>0</v>
      </c>
      <c r="F2137" s="71">
        <v>1</v>
      </c>
      <c r="G2137" s="2" t="s">
        <v>6035</v>
      </c>
      <c r="H2137" s="73" t="s">
        <v>10502</v>
      </c>
      <c r="I2137" s="100" t="s">
        <v>10503</v>
      </c>
      <c r="J2137" s="2" t="s">
        <v>24</v>
      </c>
      <c r="K2137" s="2" t="s">
        <v>25</v>
      </c>
      <c r="L2137" s="2" t="s">
        <v>6037</v>
      </c>
      <c r="M2137" s="2" t="s">
        <v>24</v>
      </c>
      <c r="N2137" s="2" t="s">
        <v>25</v>
      </c>
      <c r="O2137" s="2" t="s">
        <v>6037</v>
      </c>
      <c r="P2137" s="51">
        <v>0</v>
      </c>
      <c r="Q2137" s="99" t="s">
        <v>6038</v>
      </c>
      <c r="R2137" s="6"/>
    </row>
    <row r="2138" spans="1:18">
      <c r="A2138" s="71">
        <v>27</v>
      </c>
      <c r="B2138" s="2" t="s">
        <v>6012</v>
      </c>
      <c r="C2138" s="71">
        <v>108</v>
      </c>
      <c r="D2138" s="2" t="s">
        <v>10498</v>
      </c>
      <c r="E2138" s="74">
        <v>0</v>
      </c>
      <c r="F2138" s="71">
        <v>2</v>
      </c>
      <c r="G2138" s="2" t="s">
        <v>6090</v>
      </c>
      <c r="H2138" s="73" t="s">
        <v>10504</v>
      </c>
      <c r="I2138" s="100" t="s">
        <v>10505</v>
      </c>
      <c r="J2138" s="2" t="s">
        <v>24</v>
      </c>
      <c r="K2138" s="2" t="s">
        <v>23</v>
      </c>
      <c r="M2138" s="2" t="s">
        <v>24</v>
      </c>
      <c r="N2138" s="2" t="s">
        <v>23</v>
      </c>
      <c r="P2138" s="51">
        <v>0</v>
      </c>
      <c r="Q2138" s="99" t="s">
        <v>10417</v>
      </c>
      <c r="R2138" s="6"/>
    </row>
    <row r="2139" spans="1:18" ht="60">
      <c r="A2139" s="71">
        <v>27</v>
      </c>
      <c r="B2139" s="2" t="s">
        <v>6012</v>
      </c>
      <c r="C2139" s="71">
        <v>108</v>
      </c>
      <c r="D2139" s="2" t="s">
        <v>10498</v>
      </c>
      <c r="E2139" s="74">
        <v>0</v>
      </c>
      <c r="F2139" s="71">
        <v>3</v>
      </c>
      <c r="G2139" s="2" t="s">
        <v>5712</v>
      </c>
      <c r="H2139" s="73" t="s">
        <v>10506</v>
      </c>
      <c r="I2139" s="100" t="s">
        <v>10507</v>
      </c>
      <c r="J2139" s="2" t="s">
        <v>24</v>
      </c>
      <c r="K2139" s="2" t="s">
        <v>23</v>
      </c>
      <c r="M2139" s="2" t="s">
        <v>24</v>
      </c>
      <c r="N2139" s="2" t="s">
        <v>23</v>
      </c>
      <c r="P2139" s="51">
        <v>0</v>
      </c>
      <c r="Q2139" s="99" t="s">
        <v>10421</v>
      </c>
      <c r="R2139" s="6" t="s">
        <v>10422</v>
      </c>
    </row>
    <row r="2140" spans="1:18">
      <c r="A2140" s="71">
        <v>27</v>
      </c>
      <c r="B2140" s="2" t="s">
        <v>6012</v>
      </c>
      <c r="C2140" s="71">
        <v>108</v>
      </c>
      <c r="D2140" s="2" t="s">
        <v>10498</v>
      </c>
      <c r="E2140" s="74">
        <v>0</v>
      </c>
      <c r="F2140" s="71">
        <v>4</v>
      </c>
      <c r="G2140" s="2" t="s">
        <v>10073</v>
      </c>
      <c r="H2140" s="73" t="s">
        <v>10508</v>
      </c>
      <c r="I2140" s="100" t="s">
        <v>10509</v>
      </c>
      <c r="J2140" s="2" t="s">
        <v>24</v>
      </c>
      <c r="K2140" s="2" t="s">
        <v>25</v>
      </c>
      <c r="L2140" s="2" t="s">
        <v>10074</v>
      </c>
      <c r="M2140" s="2" t="s">
        <v>24</v>
      </c>
      <c r="N2140" s="2" t="s">
        <v>25</v>
      </c>
      <c r="O2140" s="2" t="s">
        <v>10074</v>
      </c>
      <c r="P2140" s="51">
        <v>0</v>
      </c>
      <c r="Q2140" s="99" t="s">
        <v>10075</v>
      </c>
      <c r="R2140" s="6"/>
    </row>
    <row r="2141" spans="1:18">
      <c r="A2141" s="71">
        <v>27</v>
      </c>
      <c r="B2141" s="2" t="s">
        <v>6012</v>
      </c>
      <c r="C2141" s="71">
        <v>108</v>
      </c>
      <c r="D2141" s="2" t="s">
        <v>10498</v>
      </c>
      <c r="E2141" s="74">
        <v>0</v>
      </c>
      <c r="F2141" s="71">
        <v>5</v>
      </c>
      <c r="G2141" s="2" t="s">
        <v>10423</v>
      </c>
      <c r="H2141" s="73" t="s">
        <v>10510</v>
      </c>
      <c r="I2141" s="100" t="s">
        <v>10511</v>
      </c>
      <c r="J2141" s="2" t="s">
        <v>24</v>
      </c>
      <c r="K2141" s="2" t="s">
        <v>25</v>
      </c>
      <c r="L2141" s="2" t="s">
        <v>10424</v>
      </c>
      <c r="M2141" s="2" t="s">
        <v>24</v>
      </c>
      <c r="N2141" s="2" t="s">
        <v>25</v>
      </c>
      <c r="O2141" s="2" t="s">
        <v>10424</v>
      </c>
      <c r="P2141" s="51">
        <v>0</v>
      </c>
      <c r="Q2141" s="99" t="s">
        <v>10425</v>
      </c>
      <c r="R2141" s="6"/>
    </row>
    <row r="2142" spans="1:18" ht="105">
      <c r="A2142" s="71">
        <v>27</v>
      </c>
      <c r="B2142" s="2" t="s">
        <v>6012</v>
      </c>
      <c r="C2142" s="71">
        <v>108</v>
      </c>
      <c r="D2142" s="2" t="s">
        <v>10498</v>
      </c>
      <c r="E2142" s="74">
        <v>0</v>
      </c>
      <c r="F2142" s="71">
        <v>6</v>
      </c>
      <c r="G2142" s="2" t="s">
        <v>9975</v>
      </c>
      <c r="H2142" s="73" t="s">
        <v>10512</v>
      </c>
      <c r="I2142" s="100" t="s">
        <v>10513</v>
      </c>
      <c r="J2142" s="2" t="s">
        <v>24</v>
      </c>
      <c r="K2142" s="2" t="s">
        <v>116</v>
      </c>
      <c r="L2142" s="16" t="s">
        <v>10060</v>
      </c>
      <c r="M2142" s="2" t="s">
        <v>24</v>
      </c>
      <c r="N2142" s="2" t="s">
        <v>116</v>
      </c>
      <c r="O2142" s="16" t="s">
        <v>10060</v>
      </c>
      <c r="P2142" s="51">
        <v>0</v>
      </c>
      <c r="Q2142" s="99" t="s">
        <v>9976</v>
      </c>
      <c r="R2142" s="6" t="s">
        <v>9977</v>
      </c>
    </row>
    <row r="2143" spans="1:18" ht="30">
      <c r="A2143" s="71">
        <v>27</v>
      </c>
      <c r="B2143" s="2" t="s">
        <v>6012</v>
      </c>
      <c r="C2143" s="71">
        <v>108</v>
      </c>
      <c r="D2143" s="2" t="s">
        <v>10498</v>
      </c>
      <c r="E2143" s="74">
        <v>0</v>
      </c>
      <c r="F2143" s="71">
        <v>7</v>
      </c>
      <c r="G2143" s="2" t="s">
        <v>9978</v>
      </c>
      <c r="H2143" s="73" t="s">
        <v>10514</v>
      </c>
      <c r="I2143" s="100" t="s">
        <v>10515</v>
      </c>
      <c r="J2143" s="2" t="s">
        <v>24</v>
      </c>
      <c r="K2143" s="2" t="s">
        <v>25</v>
      </c>
      <c r="M2143" s="2" t="s">
        <v>24</v>
      </c>
      <c r="N2143" s="2" t="s">
        <v>25</v>
      </c>
      <c r="P2143" s="51">
        <v>0</v>
      </c>
      <c r="Q2143" s="99" t="s">
        <v>9979</v>
      </c>
      <c r="R2143" s="6" t="s">
        <v>9980</v>
      </c>
    </row>
    <row r="2144" spans="1:18" ht="30">
      <c r="A2144" s="71">
        <v>27</v>
      </c>
      <c r="B2144" s="2" t="s">
        <v>6012</v>
      </c>
      <c r="C2144" s="71">
        <v>108</v>
      </c>
      <c r="D2144" s="2" t="s">
        <v>10498</v>
      </c>
      <c r="E2144" s="74">
        <v>0</v>
      </c>
      <c r="F2144" s="71">
        <v>8</v>
      </c>
      <c r="G2144" s="2" t="s">
        <v>9981</v>
      </c>
      <c r="H2144" s="73" t="s">
        <v>10516</v>
      </c>
      <c r="I2144" s="100" t="s">
        <v>10517</v>
      </c>
      <c r="J2144" s="2" t="s">
        <v>24</v>
      </c>
      <c r="K2144" s="2" t="s">
        <v>25</v>
      </c>
      <c r="M2144" s="2" t="s">
        <v>24</v>
      </c>
      <c r="N2144" s="2" t="s">
        <v>25</v>
      </c>
      <c r="P2144" s="51">
        <v>0</v>
      </c>
      <c r="Q2144" s="99" t="s">
        <v>9982</v>
      </c>
      <c r="R2144" s="6" t="s">
        <v>9983</v>
      </c>
    </row>
    <row r="2145" spans="1:18" ht="30">
      <c r="A2145" s="71">
        <v>27</v>
      </c>
      <c r="B2145" s="2" t="s">
        <v>6012</v>
      </c>
      <c r="C2145" s="71">
        <v>108</v>
      </c>
      <c r="D2145" s="2" t="s">
        <v>10498</v>
      </c>
      <c r="E2145" s="74">
        <v>0</v>
      </c>
      <c r="F2145" s="71">
        <v>9</v>
      </c>
      <c r="G2145" s="2" t="s">
        <v>9984</v>
      </c>
      <c r="H2145" s="73" t="s">
        <v>10518</v>
      </c>
      <c r="I2145" s="100" t="s">
        <v>10519</v>
      </c>
      <c r="J2145" s="2" t="s">
        <v>24</v>
      </c>
      <c r="K2145" s="2" t="s">
        <v>25</v>
      </c>
      <c r="M2145" s="2" t="s">
        <v>24</v>
      </c>
      <c r="N2145" s="2" t="s">
        <v>25</v>
      </c>
      <c r="P2145" s="51">
        <v>0</v>
      </c>
      <c r="Q2145" s="99" t="s">
        <v>9985</v>
      </c>
      <c r="R2145" s="6" t="s">
        <v>9986</v>
      </c>
    </row>
    <row r="2146" spans="1:18" ht="30">
      <c r="A2146" s="71">
        <v>27</v>
      </c>
      <c r="B2146" s="2" t="s">
        <v>6012</v>
      </c>
      <c r="C2146" s="71">
        <v>108</v>
      </c>
      <c r="D2146" s="2" t="s">
        <v>10498</v>
      </c>
      <c r="E2146" s="74">
        <v>0</v>
      </c>
      <c r="F2146" s="71">
        <v>10</v>
      </c>
      <c r="G2146" s="2" t="s">
        <v>7171</v>
      </c>
      <c r="H2146" s="73" t="s">
        <v>10520</v>
      </c>
      <c r="I2146" s="100" t="s">
        <v>10521</v>
      </c>
      <c r="J2146" s="2" t="s">
        <v>24</v>
      </c>
      <c r="K2146" s="2" t="s">
        <v>25</v>
      </c>
      <c r="M2146" s="2" t="s">
        <v>24</v>
      </c>
      <c r="N2146" s="2" t="s">
        <v>25</v>
      </c>
      <c r="P2146" s="51">
        <v>0</v>
      </c>
      <c r="Q2146" s="99" t="s">
        <v>9987</v>
      </c>
      <c r="R2146" s="6" t="s">
        <v>9988</v>
      </c>
    </row>
    <row r="2147" spans="1:18" ht="75">
      <c r="A2147" s="71">
        <v>27</v>
      </c>
      <c r="B2147" s="2" t="s">
        <v>6012</v>
      </c>
      <c r="C2147" s="71">
        <v>108</v>
      </c>
      <c r="D2147" s="2" t="s">
        <v>10498</v>
      </c>
      <c r="E2147" s="74">
        <v>0</v>
      </c>
      <c r="F2147" s="71">
        <v>11</v>
      </c>
      <c r="G2147" s="2" t="s">
        <v>9989</v>
      </c>
      <c r="H2147" s="73" t="s">
        <v>10522</v>
      </c>
      <c r="I2147" s="100" t="s">
        <v>10523</v>
      </c>
      <c r="J2147" s="2" t="s">
        <v>24</v>
      </c>
      <c r="K2147" s="2" t="s">
        <v>116</v>
      </c>
      <c r="L2147" s="16" t="s">
        <v>10068</v>
      </c>
      <c r="M2147" s="2" t="s">
        <v>24</v>
      </c>
      <c r="N2147" s="2" t="s">
        <v>116</v>
      </c>
      <c r="O2147" s="16" t="s">
        <v>10068</v>
      </c>
      <c r="P2147" s="51">
        <v>0</v>
      </c>
      <c r="Q2147" s="99" t="s">
        <v>9990</v>
      </c>
      <c r="R2147" s="6" t="s">
        <v>9991</v>
      </c>
    </row>
    <row r="2148" spans="1:18">
      <c r="A2148" s="71">
        <v>27</v>
      </c>
      <c r="B2148" s="2" t="s">
        <v>6012</v>
      </c>
      <c r="C2148" s="71">
        <v>109</v>
      </c>
      <c r="D2148" s="2" t="s">
        <v>10524</v>
      </c>
      <c r="E2148" s="74">
        <v>0</v>
      </c>
      <c r="F2148" s="71">
        <v>0</v>
      </c>
      <c r="G2148" s="2" t="s">
        <v>20</v>
      </c>
      <c r="H2148" s="73" t="s">
        <v>10527</v>
      </c>
      <c r="I2148" s="76" t="s">
        <v>10528</v>
      </c>
      <c r="J2148" s="2" t="s">
        <v>24</v>
      </c>
      <c r="K2148" s="2" t="s">
        <v>25</v>
      </c>
      <c r="L2148" s="2" t="s">
        <v>26</v>
      </c>
      <c r="M2148" s="2" t="s">
        <v>24</v>
      </c>
      <c r="N2148" s="2" t="s">
        <v>25</v>
      </c>
      <c r="O2148" s="2" t="s">
        <v>26</v>
      </c>
      <c r="P2148" s="51">
        <v>0</v>
      </c>
      <c r="Q2148" s="1" t="s">
        <v>10525</v>
      </c>
      <c r="R2148" s="6" t="s">
        <v>10526</v>
      </c>
    </row>
    <row r="2149" spans="1:18">
      <c r="A2149" s="71">
        <v>27</v>
      </c>
      <c r="B2149" s="2" t="s">
        <v>6012</v>
      </c>
      <c r="C2149" s="71">
        <v>109</v>
      </c>
      <c r="D2149" s="2" t="s">
        <v>10524</v>
      </c>
      <c r="E2149" s="74">
        <v>0</v>
      </c>
      <c r="F2149" s="71">
        <v>1</v>
      </c>
      <c r="G2149" s="2" t="s">
        <v>6035</v>
      </c>
      <c r="H2149" s="73" t="s">
        <v>10529</v>
      </c>
      <c r="I2149" s="100" t="s">
        <v>10530</v>
      </c>
      <c r="J2149" s="2" t="s">
        <v>24</v>
      </c>
      <c r="K2149" s="2" t="s">
        <v>25</v>
      </c>
      <c r="L2149" s="2" t="s">
        <v>6037</v>
      </c>
      <c r="M2149" s="2" t="s">
        <v>24</v>
      </c>
      <c r="N2149" s="2" t="s">
        <v>25</v>
      </c>
      <c r="O2149" s="2" t="s">
        <v>6037</v>
      </c>
      <c r="P2149" s="51">
        <v>0</v>
      </c>
      <c r="Q2149" s="99" t="s">
        <v>6038</v>
      </c>
      <c r="R2149" s="6"/>
    </row>
    <row r="2150" spans="1:18">
      <c r="A2150" s="71">
        <v>27</v>
      </c>
      <c r="B2150" s="2" t="s">
        <v>6012</v>
      </c>
      <c r="C2150" s="71">
        <v>109</v>
      </c>
      <c r="D2150" s="2" t="s">
        <v>10524</v>
      </c>
      <c r="E2150" s="74">
        <v>0</v>
      </c>
      <c r="F2150" s="71">
        <v>2</v>
      </c>
      <c r="G2150" s="2" t="s">
        <v>6090</v>
      </c>
      <c r="H2150" s="73" t="s">
        <v>10531</v>
      </c>
      <c r="I2150" s="100" t="s">
        <v>10532</v>
      </c>
      <c r="J2150" s="2" t="s">
        <v>24</v>
      </c>
      <c r="K2150" s="2" t="s">
        <v>23</v>
      </c>
      <c r="M2150" s="2" t="s">
        <v>24</v>
      </c>
      <c r="N2150" s="2" t="s">
        <v>23</v>
      </c>
      <c r="P2150" s="51">
        <v>0</v>
      </c>
      <c r="Q2150" s="99" t="s">
        <v>10417</v>
      </c>
      <c r="R2150" s="6"/>
    </row>
    <row r="2151" spans="1:18">
      <c r="A2151" s="71">
        <v>27</v>
      </c>
      <c r="B2151" s="2" t="s">
        <v>6012</v>
      </c>
      <c r="C2151" s="71">
        <v>109</v>
      </c>
      <c r="D2151" s="2" t="s">
        <v>10524</v>
      </c>
      <c r="E2151" s="74">
        <v>0</v>
      </c>
      <c r="F2151" s="71">
        <v>3</v>
      </c>
      <c r="G2151" s="2" t="s">
        <v>10011</v>
      </c>
      <c r="H2151" s="73" t="s">
        <v>10533</v>
      </c>
      <c r="I2151" s="100" t="s">
        <v>10534</v>
      </c>
      <c r="J2151" s="2" t="s">
        <v>24</v>
      </c>
      <c r="K2151" s="2" t="s">
        <v>133</v>
      </c>
      <c r="M2151" s="2" t="s">
        <v>24</v>
      </c>
      <c r="N2151" s="2" t="s">
        <v>133</v>
      </c>
      <c r="P2151" s="51">
        <v>0</v>
      </c>
      <c r="Q2151" s="99" t="s">
        <v>10009</v>
      </c>
      <c r="R2151" s="6"/>
    </row>
    <row r="2152" spans="1:18">
      <c r="A2152" s="71">
        <v>27</v>
      </c>
      <c r="B2152" s="2" t="s">
        <v>6012</v>
      </c>
      <c r="C2152" s="71">
        <v>109</v>
      </c>
      <c r="D2152" s="2" t="s">
        <v>10524</v>
      </c>
      <c r="E2152" s="74">
        <v>0</v>
      </c>
      <c r="F2152" s="71">
        <v>4</v>
      </c>
      <c r="G2152" s="2" t="s">
        <v>10007</v>
      </c>
      <c r="H2152" s="73" t="s">
        <v>10535</v>
      </c>
      <c r="I2152" s="100" t="s">
        <v>10536</v>
      </c>
      <c r="J2152" s="2" t="s">
        <v>24</v>
      </c>
      <c r="K2152" s="2" t="s">
        <v>133</v>
      </c>
      <c r="M2152" s="2" t="s">
        <v>24</v>
      </c>
      <c r="N2152" s="2" t="s">
        <v>133</v>
      </c>
      <c r="P2152" s="51">
        <v>0</v>
      </c>
      <c r="Q2152" s="99" t="s">
        <v>10010</v>
      </c>
      <c r="R2152" s="6"/>
    </row>
    <row r="2153" spans="1:18">
      <c r="A2153" s="71">
        <v>27</v>
      </c>
      <c r="B2153" s="2" t="s">
        <v>6012</v>
      </c>
      <c r="C2153" s="71">
        <v>109</v>
      </c>
      <c r="D2153" s="2" t="s">
        <v>10524</v>
      </c>
      <c r="E2153" s="74">
        <v>0</v>
      </c>
      <c r="F2153" s="71">
        <v>5</v>
      </c>
      <c r="G2153" s="2" t="s">
        <v>10008</v>
      </c>
      <c r="H2153" s="73" t="s">
        <v>10537</v>
      </c>
      <c r="I2153" s="100" t="s">
        <v>10538</v>
      </c>
      <c r="J2153" s="2" t="s">
        <v>24</v>
      </c>
      <c r="K2153" s="2" t="s">
        <v>133</v>
      </c>
      <c r="M2153" s="2" t="s">
        <v>24</v>
      </c>
      <c r="N2153" s="2" t="s">
        <v>133</v>
      </c>
      <c r="P2153" s="51">
        <v>0</v>
      </c>
      <c r="Q2153" s="99" t="s">
        <v>10013</v>
      </c>
      <c r="R2153" s="6"/>
    </row>
    <row r="2154" spans="1:18">
      <c r="A2154" s="71">
        <v>27</v>
      </c>
      <c r="B2154" s="2" t="s">
        <v>6012</v>
      </c>
      <c r="C2154" s="71">
        <v>109</v>
      </c>
      <c r="D2154" s="2" t="s">
        <v>10524</v>
      </c>
      <c r="E2154" s="74">
        <v>0</v>
      </c>
      <c r="F2154" s="71">
        <v>6</v>
      </c>
      <c r="G2154" s="2" t="s">
        <v>10012</v>
      </c>
      <c r="H2154" s="73" t="s">
        <v>10539</v>
      </c>
      <c r="I2154" s="100" t="s">
        <v>10540</v>
      </c>
      <c r="J2154" s="2" t="s">
        <v>24</v>
      </c>
      <c r="K2154" s="2" t="s">
        <v>133</v>
      </c>
      <c r="M2154" s="2" t="s">
        <v>24</v>
      </c>
      <c r="N2154" s="2" t="s">
        <v>133</v>
      </c>
      <c r="P2154" s="51">
        <v>0</v>
      </c>
      <c r="Q2154" s="99" t="s">
        <v>10014</v>
      </c>
      <c r="R2154" s="6"/>
    </row>
    <row r="2155" spans="1:18">
      <c r="A2155" s="71">
        <v>27</v>
      </c>
      <c r="B2155" s="2" t="s">
        <v>6012</v>
      </c>
      <c r="C2155" s="71">
        <v>109</v>
      </c>
      <c r="D2155" s="2" t="s">
        <v>10524</v>
      </c>
      <c r="E2155" s="74">
        <v>0</v>
      </c>
      <c r="F2155" s="71">
        <v>7</v>
      </c>
      <c r="G2155" s="2" t="s">
        <v>10015</v>
      </c>
      <c r="H2155" s="73" t="s">
        <v>10541</v>
      </c>
      <c r="I2155" s="100" t="s">
        <v>10542</v>
      </c>
      <c r="J2155" s="2" t="s">
        <v>24</v>
      </c>
      <c r="K2155" s="2" t="s">
        <v>121</v>
      </c>
      <c r="M2155" s="2" t="s">
        <v>24</v>
      </c>
      <c r="N2155" s="2" t="s">
        <v>121</v>
      </c>
      <c r="P2155" s="51">
        <v>0</v>
      </c>
      <c r="Q2155" s="99" t="s">
        <v>10016</v>
      </c>
      <c r="R2155" s="6" t="s">
        <v>10017</v>
      </c>
    </row>
    <row r="2156" spans="1:18" ht="30">
      <c r="A2156" s="71">
        <v>27</v>
      </c>
      <c r="B2156" s="2" t="s">
        <v>6012</v>
      </c>
      <c r="C2156" s="71">
        <v>109</v>
      </c>
      <c r="D2156" s="2" t="s">
        <v>10524</v>
      </c>
      <c r="E2156" s="74">
        <v>0</v>
      </c>
      <c r="F2156" s="71">
        <v>8</v>
      </c>
      <c r="G2156" s="2" t="s">
        <v>7171</v>
      </c>
      <c r="H2156" s="73" t="s">
        <v>10543</v>
      </c>
      <c r="I2156" s="100" t="s">
        <v>10544</v>
      </c>
      <c r="J2156" s="2" t="s">
        <v>24</v>
      </c>
      <c r="K2156" s="2" t="s">
        <v>25</v>
      </c>
      <c r="L2156" s="2" t="s">
        <v>10019</v>
      </c>
      <c r="M2156" s="2" t="s">
        <v>24</v>
      </c>
      <c r="N2156" s="2" t="s">
        <v>25</v>
      </c>
      <c r="O2156" s="2" t="s">
        <v>10019</v>
      </c>
      <c r="P2156" s="51">
        <v>0</v>
      </c>
      <c r="Q2156" s="99" t="s">
        <v>8753</v>
      </c>
      <c r="R2156" s="6" t="s">
        <v>10018</v>
      </c>
    </row>
    <row r="2157" spans="1:18">
      <c r="A2157" s="72"/>
      <c r="C2157" s="72"/>
      <c r="E2157" s="86"/>
      <c r="F2157" s="72"/>
      <c r="H2157" s="87" t="s">
        <v>234</v>
      </c>
      <c r="I2157" s="105"/>
      <c r="P2157" s="7"/>
      <c r="Q2157" s="99"/>
    </row>
    <row r="2158" spans="1:18">
      <c r="A2158" s="21">
        <v>28</v>
      </c>
      <c r="B2158" s="2" t="s">
        <v>8214</v>
      </c>
      <c r="C2158" s="21">
        <v>0</v>
      </c>
      <c r="D2158" s="2" t="s">
        <v>8215</v>
      </c>
      <c r="E2158" s="21">
        <v>0</v>
      </c>
      <c r="F2158" s="21">
        <v>0</v>
      </c>
      <c r="G2158" s="2" t="s">
        <v>20</v>
      </c>
      <c r="H2158" s="23" t="s">
        <v>8231</v>
      </c>
      <c r="I2158" s="34" t="s">
        <v>8216</v>
      </c>
      <c r="J2158" s="2" t="s">
        <v>23</v>
      </c>
      <c r="K2158" s="2" t="s">
        <v>23</v>
      </c>
      <c r="M2158" s="2" t="s">
        <v>24</v>
      </c>
      <c r="N2158" s="2" t="s">
        <v>25</v>
      </c>
      <c r="O2158" s="2" t="s">
        <v>26</v>
      </c>
      <c r="P2158" s="7">
        <v>1</v>
      </c>
      <c r="Q2158" s="1" t="s">
        <v>8217</v>
      </c>
      <c r="R2158" s="2" t="s">
        <v>8218</v>
      </c>
    </row>
    <row r="2159" spans="1:18">
      <c r="A2159" s="21">
        <v>28</v>
      </c>
      <c r="B2159" s="2" t="s">
        <v>8214</v>
      </c>
      <c r="C2159" s="21">
        <v>0</v>
      </c>
      <c r="D2159" s="2" t="s">
        <v>8215</v>
      </c>
      <c r="E2159" s="21">
        <v>0</v>
      </c>
      <c r="F2159" s="21">
        <v>1</v>
      </c>
      <c r="G2159" s="2" t="s">
        <v>181</v>
      </c>
      <c r="H2159" s="23" t="s">
        <v>8232</v>
      </c>
      <c r="I2159" s="101" t="s">
        <v>8219</v>
      </c>
      <c r="J2159" s="2" t="s">
        <v>38</v>
      </c>
      <c r="K2159" s="2" t="s">
        <v>23</v>
      </c>
      <c r="M2159" s="2" t="s">
        <v>38</v>
      </c>
      <c r="N2159" s="2" t="s">
        <v>23</v>
      </c>
      <c r="P2159" s="7">
        <v>1</v>
      </c>
      <c r="Q2159" s="102" t="s">
        <v>184</v>
      </c>
    </row>
    <row r="2160" spans="1:18">
      <c r="A2160" s="21">
        <v>28</v>
      </c>
      <c r="B2160" s="2" t="s">
        <v>8214</v>
      </c>
      <c r="C2160" s="21">
        <v>0</v>
      </c>
      <c r="D2160" s="2" t="s">
        <v>8215</v>
      </c>
      <c r="E2160" s="21">
        <v>0</v>
      </c>
      <c r="F2160" s="21">
        <v>2</v>
      </c>
      <c r="G2160" s="2" t="s">
        <v>2975</v>
      </c>
      <c r="H2160" s="23" t="s">
        <v>8233</v>
      </c>
      <c r="I2160" s="101" t="s">
        <v>8220</v>
      </c>
      <c r="J2160" s="2" t="s">
        <v>38</v>
      </c>
      <c r="K2160" s="2" t="s">
        <v>23</v>
      </c>
      <c r="M2160" s="2" t="s">
        <v>38</v>
      </c>
      <c r="N2160" s="2" t="s">
        <v>23</v>
      </c>
      <c r="P2160" s="7">
        <v>1</v>
      </c>
      <c r="Q2160" s="99" t="s">
        <v>95</v>
      </c>
    </row>
    <row r="2161" spans="1:18">
      <c r="A2161" s="21">
        <v>28</v>
      </c>
      <c r="B2161" s="2" t="s">
        <v>8214</v>
      </c>
      <c r="C2161" s="21">
        <v>0</v>
      </c>
      <c r="D2161" s="2" t="s">
        <v>8215</v>
      </c>
      <c r="E2161" s="21">
        <v>0</v>
      </c>
      <c r="F2161" s="21">
        <v>3</v>
      </c>
      <c r="G2161" s="2" t="s">
        <v>96</v>
      </c>
      <c r="H2161" s="23" t="s">
        <v>8234</v>
      </c>
      <c r="I2161" s="101" t="s">
        <v>8221</v>
      </c>
      <c r="J2161" s="2" t="s">
        <v>38</v>
      </c>
      <c r="K2161" s="2" t="s">
        <v>23</v>
      </c>
      <c r="M2161" s="2" t="s">
        <v>38</v>
      </c>
      <c r="N2161" s="2" t="s">
        <v>23</v>
      </c>
      <c r="P2161" s="7">
        <v>1</v>
      </c>
      <c r="Q2161" s="99" t="s">
        <v>99</v>
      </c>
    </row>
    <row r="2162" spans="1:18">
      <c r="A2162" s="21">
        <v>28</v>
      </c>
      <c r="B2162" s="2" t="s">
        <v>8214</v>
      </c>
      <c r="C2162" s="21">
        <v>0</v>
      </c>
      <c r="D2162" s="2" t="s">
        <v>8215</v>
      </c>
      <c r="E2162" s="21">
        <v>0</v>
      </c>
      <c r="F2162" s="21">
        <v>4</v>
      </c>
      <c r="G2162" s="2" t="s">
        <v>100</v>
      </c>
      <c r="H2162" s="23" t="s">
        <v>8235</v>
      </c>
      <c r="I2162" s="101" t="s">
        <v>8222</v>
      </c>
      <c r="J2162" s="2" t="s">
        <v>38</v>
      </c>
      <c r="K2162" s="2" t="s">
        <v>23</v>
      </c>
      <c r="M2162" s="2" t="s">
        <v>38</v>
      </c>
      <c r="N2162" s="2" t="s">
        <v>23</v>
      </c>
      <c r="P2162" s="7">
        <v>1</v>
      </c>
      <c r="Q2162" s="99" t="s">
        <v>103</v>
      </c>
    </row>
    <row r="2163" spans="1:18">
      <c r="A2163" s="21">
        <v>28</v>
      </c>
      <c r="B2163" s="2" t="s">
        <v>8214</v>
      </c>
      <c r="C2163" s="21">
        <v>0</v>
      </c>
      <c r="D2163" s="2" t="s">
        <v>8215</v>
      </c>
      <c r="E2163" s="21">
        <v>0</v>
      </c>
      <c r="F2163" s="21">
        <v>5</v>
      </c>
      <c r="G2163" s="2" t="s">
        <v>882</v>
      </c>
      <c r="H2163" s="23" t="s">
        <v>8236</v>
      </c>
      <c r="I2163" s="101" t="s">
        <v>8292</v>
      </c>
      <c r="J2163" s="2" t="s">
        <v>38</v>
      </c>
      <c r="K2163" s="2" t="s">
        <v>23</v>
      </c>
      <c r="M2163" s="2" t="s">
        <v>38</v>
      </c>
      <c r="N2163" s="2" t="s">
        <v>23</v>
      </c>
      <c r="P2163" s="7">
        <v>1</v>
      </c>
      <c r="Q2163" s="99" t="s">
        <v>885</v>
      </c>
    </row>
    <row r="2164" spans="1:18">
      <c r="A2164" s="21">
        <v>28</v>
      </c>
      <c r="B2164" s="2" t="s">
        <v>8214</v>
      </c>
      <c r="C2164" s="21">
        <v>0</v>
      </c>
      <c r="D2164" s="2" t="s">
        <v>8215</v>
      </c>
      <c r="E2164" s="21">
        <v>0</v>
      </c>
      <c r="F2164" s="21">
        <v>6</v>
      </c>
      <c r="G2164" s="2" t="s">
        <v>8290</v>
      </c>
      <c r="H2164" s="23" t="s">
        <v>8237</v>
      </c>
      <c r="I2164" s="101" t="s">
        <v>8293</v>
      </c>
      <c r="J2164" s="2" t="s">
        <v>38</v>
      </c>
      <c r="K2164" s="2" t="s">
        <v>23</v>
      </c>
      <c r="M2164" s="2" t="s">
        <v>38</v>
      </c>
      <c r="N2164" s="2" t="s">
        <v>23</v>
      </c>
      <c r="P2164" s="7">
        <v>1</v>
      </c>
      <c r="Q2164" s="99" t="s">
        <v>8291</v>
      </c>
    </row>
    <row r="2165" spans="1:18">
      <c r="A2165" s="21">
        <v>28</v>
      </c>
      <c r="B2165" s="2" t="s">
        <v>8214</v>
      </c>
      <c r="C2165" s="21">
        <v>0</v>
      </c>
      <c r="D2165" s="2" t="s">
        <v>8215</v>
      </c>
      <c r="E2165" s="14">
        <v>0</v>
      </c>
      <c r="F2165" s="21">
        <v>7</v>
      </c>
      <c r="G2165" s="2" t="s">
        <v>342</v>
      </c>
      <c r="H2165" s="23" t="s">
        <v>8238</v>
      </c>
      <c r="I2165" s="101" t="s">
        <v>8223</v>
      </c>
      <c r="J2165" s="2" t="s">
        <v>38</v>
      </c>
      <c r="K2165" s="2" t="s">
        <v>23</v>
      </c>
      <c r="M2165" s="2" t="s">
        <v>38</v>
      </c>
      <c r="N2165" s="2" t="s">
        <v>23</v>
      </c>
      <c r="P2165" s="7">
        <v>1</v>
      </c>
      <c r="Q2165" s="103" t="s">
        <v>3014</v>
      </c>
      <c r="R2165" s="2" t="s">
        <v>8224</v>
      </c>
    </row>
    <row r="2166" spans="1:18">
      <c r="A2166" s="71">
        <v>28</v>
      </c>
      <c r="B2166" s="2" t="s">
        <v>8214</v>
      </c>
      <c r="C2166" s="71">
        <v>0</v>
      </c>
      <c r="D2166" s="2" t="s">
        <v>8215</v>
      </c>
      <c r="E2166" s="74">
        <v>0</v>
      </c>
      <c r="F2166" s="71">
        <v>8</v>
      </c>
      <c r="G2166" s="2" t="s">
        <v>8225</v>
      </c>
      <c r="H2166" s="73" t="s">
        <v>8294</v>
      </c>
      <c r="I2166" s="100" t="s">
        <v>8226</v>
      </c>
      <c r="J2166" s="2" t="s">
        <v>38</v>
      </c>
      <c r="K2166" s="2" t="s">
        <v>23</v>
      </c>
      <c r="M2166" s="2" t="s">
        <v>38</v>
      </c>
      <c r="N2166" s="2" t="s">
        <v>23</v>
      </c>
      <c r="P2166" s="7">
        <v>0</v>
      </c>
      <c r="Q2166" s="99" t="s">
        <v>3018</v>
      </c>
    </row>
    <row r="2167" spans="1:18">
      <c r="A2167" s="71">
        <v>28</v>
      </c>
      <c r="B2167" s="2" t="s">
        <v>8214</v>
      </c>
      <c r="C2167" s="71">
        <v>0</v>
      </c>
      <c r="D2167" s="2" t="s">
        <v>8215</v>
      </c>
      <c r="E2167" s="74">
        <v>0</v>
      </c>
      <c r="F2167" s="71">
        <v>9</v>
      </c>
      <c r="G2167" s="2" t="s">
        <v>8227</v>
      </c>
      <c r="H2167" s="73" t="s">
        <v>8295</v>
      </c>
      <c r="I2167" s="100" t="s">
        <v>8228</v>
      </c>
      <c r="J2167" s="2" t="s">
        <v>23</v>
      </c>
      <c r="K2167" s="2" t="s">
        <v>23</v>
      </c>
      <c r="M2167" s="2" t="s">
        <v>38</v>
      </c>
      <c r="N2167" s="2" t="s">
        <v>23</v>
      </c>
      <c r="P2167" s="7">
        <v>0</v>
      </c>
      <c r="Q2167" s="99" t="s">
        <v>8229</v>
      </c>
      <c r="R2167" s="2" t="s">
        <v>8230</v>
      </c>
    </row>
    <row r="2168" spans="1:18">
      <c r="A2168" s="21">
        <v>28</v>
      </c>
      <c r="B2168" s="2" t="s">
        <v>8214</v>
      </c>
      <c r="C2168" s="21">
        <v>0</v>
      </c>
      <c r="D2168" s="2" t="s">
        <v>8215</v>
      </c>
      <c r="E2168" s="14">
        <v>0</v>
      </c>
      <c r="F2168" s="21">
        <v>10</v>
      </c>
      <c r="G2168" s="2" t="s">
        <v>8920</v>
      </c>
      <c r="H2168" s="23" t="s">
        <v>8922</v>
      </c>
      <c r="I2168" s="101" t="s">
        <v>8923</v>
      </c>
      <c r="J2168" s="2" t="s">
        <v>8105</v>
      </c>
      <c r="K2168" s="2" t="s">
        <v>4275</v>
      </c>
      <c r="L2168" s="16" t="s">
        <v>9342</v>
      </c>
      <c r="M2168" s="2" t="s">
        <v>8105</v>
      </c>
      <c r="N2168" s="2" t="s">
        <v>4275</v>
      </c>
      <c r="O2168" s="16" t="s">
        <v>8847</v>
      </c>
      <c r="P2168" s="7">
        <v>1</v>
      </c>
      <c r="Q2168" s="99" t="s">
        <v>8921</v>
      </c>
    </row>
    <row r="2169" spans="1:18">
      <c r="A2169" s="71">
        <v>28</v>
      </c>
      <c r="B2169" s="2" t="s">
        <v>8214</v>
      </c>
      <c r="C2169" s="71">
        <v>0</v>
      </c>
      <c r="D2169" s="2" t="s">
        <v>8215</v>
      </c>
      <c r="E2169" s="74">
        <v>0</v>
      </c>
      <c r="F2169" s="71">
        <v>11</v>
      </c>
      <c r="G2169" s="2" t="s">
        <v>9039</v>
      </c>
      <c r="H2169" s="73" t="s">
        <v>9042</v>
      </c>
      <c r="I2169" s="100" t="s">
        <v>9043</v>
      </c>
      <c r="J2169" s="2" t="s">
        <v>23</v>
      </c>
      <c r="K2169" s="2" t="s">
        <v>23</v>
      </c>
      <c r="M2169" s="2" t="s">
        <v>38</v>
      </c>
      <c r="N2169" s="2" t="s">
        <v>23</v>
      </c>
      <c r="O2169" s="16"/>
      <c r="P2169" s="7">
        <v>0</v>
      </c>
      <c r="Q2169" s="99" t="s">
        <v>9040</v>
      </c>
      <c r="R2169" s="2" t="s">
        <v>9041</v>
      </c>
    </row>
    <row r="2170" spans="1:18">
      <c r="A2170" s="71">
        <v>28</v>
      </c>
      <c r="B2170" s="2" t="s">
        <v>8214</v>
      </c>
      <c r="C2170" s="71">
        <v>0</v>
      </c>
      <c r="D2170" s="2" t="s">
        <v>8215</v>
      </c>
      <c r="E2170" s="74">
        <v>0</v>
      </c>
      <c r="F2170" s="71">
        <v>12</v>
      </c>
      <c r="G2170" s="2" t="s">
        <v>9044</v>
      </c>
      <c r="H2170" s="73" t="s">
        <v>9046</v>
      </c>
      <c r="I2170" s="100" t="s">
        <v>9047</v>
      </c>
      <c r="J2170" s="2" t="s">
        <v>23</v>
      </c>
      <c r="K2170" s="2" t="s">
        <v>23</v>
      </c>
      <c r="L2170" s="16"/>
      <c r="M2170" s="2" t="s">
        <v>8105</v>
      </c>
      <c r="N2170" s="2" t="s">
        <v>23</v>
      </c>
      <c r="O2170" s="16" t="s">
        <v>9048</v>
      </c>
      <c r="P2170" s="7">
        <v>0</v>
      </c>
      <c r="Q2170" s="99" t="s">
        <v>9045</v>
      </c>
    </row>
    <row r="2171" spans="1:18">
      <c r="A2171" s="21">
        <v>28</v>
      </c>
      <c r="B2171" s="2" t="s">
        <v>8214</v>
      </c>
      <c r="C2171" s="21">
        <v>0</v>
      </c>
      <c r="D2171" s="2" t="s">
        <v>8215</v>
      </c>
      <c r="E2171" s="14">
        <v>0</v>
      </c>
      <c r="F2171" s="21">
        <v>13</v>
      </c>
      <c r="G2171" s="2" t="s">
        <v>9183</v>
      </c>
      <c r="H2171" s="23" t="s">
        <v>9184</v>
      </c>
      <c r="I2171" s="101" t="s">
        <v>9185</v>
      </c>
      <c r="J2171" s="2" t="s">
        <v>38</v>
      </c>
      <c r="K2171" s="2" t="s">
        <v>23</v>
      </c>
      <c r="L2171" s="16"/>
      <c r="M2171" s="2" t="s">
        <v>38</v>
      </c>
      <c r="N2171" s="2" t="s">
        <v>23</v>
      </c>
      <c r="O2171" s="16"/>
      <c r="P2171" s="7">
        <v>1</v>
      </c>
      <c r="Q2171" s="99" t="s">
        <v>2894</v>
      </c>
    </row>
    <row r="2172" spans="1:18">
      <c r="A2172" s="21">
        <v>28</v>
      </c>
      <c r="B2172" s="2" t="s">
        <v>8214</v>
      </c>
      <c r="C2172" s="21">
        <v>0</v>
      </c>
      <c r="D2172" s="2" t="s">
        <v>8215</v>
      </c>
      <c r="E2172" s="14">
        <v>0</v>
      </c>
      <c r="F2172" s="21">
        <v>14</v>
      </c>
      <c r="G2172" s="2" t="s">
        <v>10571</v>
      </c>
      <c r="H2172" s="23" t="s">
        <v>10675</v>
      </c>
      <c r="I2172" s="101" t="s">
        <v>10676</v>
      </c>
      <c r="J2172" s="2" t="s">
        <v>24</v>
      </c>
      <c r="K2172" s="2" t="s">
        <v>116</v>
      </c>
      <c r="L2172" s="16" t="s">
        <v>10676</v>
      </c>
      <c r="M2172" s="2" t="s">
        <v>24</v>
      </c>
      <c r="N2172" s="2" t="s">
        <v>116</v>
      </c>
      <c r="O2172" s="16" t="s">
        <v>10676</v>
      </c>
      <c r="P2172" s="7">
        <v>1</v>
      </c>
      <c r="Q2172" s="99" t="s">
        <v>10679</v>
      </c>
    </row>
    <row r="2173" spans="1:18">
      <c r="A2173" s="21">
        <v>28</v>
      </c>
      <c r="B2173" s="2" t="s">
        <v>8214</v>
      </c>
      <c r="C2173" s="21">
        <v>0</v>
      </c>
      <c r="D2173" s="2" t="s">
        <v>8215</v>
      </c>
      <c r="E2173" s="14">
        <v>0</v>
      </c>
      <c r="F2173" s="21">
        <v>15</v>
      </c>
      <c r="G2173" s="2" t="s">
        <v>10825</v>
      </c>
      <c r="H2173" s="23" t="s">
        <v>10828</v>
      </c>
      <c r="I2173" s="101" t="s">
        <v>10829</v>
      </c>
      <c r="J2173" s="2" t="s">
        <v>24</v>
      </c>
      <c r="K2173" s="2" t="s">
        <v>25</v>
      </c>
      <c r="L2173" s="16"/>
      <c r="M2173" s="2" t="s">
        <v>23</v>
      </c>
      <c r="N2173" s="2" t="s">
        <v>23</v>
      </c>
      <c r="O2173" s="16"/>
      <c r="P2173" s="7">
        <v>1</v>
      </c>
      <c r="Q2173" s="99" t="s">
        <v>10826</v>
      </c>
      <c r="R2173" s="2" t="s">
        <v>10827</v>
      </c>
    </row>
    <row r="2174" spans="1:18">
      <c r="A2174" s="21">
        <v>28</v>
      </c>
      <c r="B2174" s="2" t="s">
        <v>8214</v>
      </c>
      <c r="C2174" s="21">
        <v>0</v>
      </c>
      <c r="D2174" s="2" t="s">
        <v>8215</v>
      </c>
      <c r="E2174" s="14">
        <v>0</v>
      </c>
      <c r="F2174" s="21">
        <v>16</v>
      </c>
      <c r="G2174" s="2" t="s">
        <v>216</v>
      </c>
      <c r="H2174" s="23" t="s">
        <v>10867</v>
      </c>
      <c r="I2174" s="101" t="s">
        <v>10868</v>
      </c>
      <c r="J2174" s="2" t="s">
        <v>23</v>
      </c>
      <c r="K2174" s="2" t="s">
        <v>23</v>
      </c>
      <c r="L2174" s="16"/>
      <c r="M2174" s="2" t="s">
        <v>38</v>
      </c>
      <c r="N2174" s="2" t="s">
        <v>23</v>
      </c>
      <c r="O2174" s="16"/>
      <c r="P2174" s="7">
        <v>1</v>
      </c>
      <c r="Q2174" s="99" t="s">
        <v>10866</v>
      </c>
    </row>
    <row r="2175" spans="1:18">
      <c r="A2175" s="72"/>
      <c r="C2175" s="72"/>
      <c r="E2175" s="86"/>
      <c r="F2175" s="72"/>
      <c r="H2175" s="87" t="s">
        <v>234</v>
      </c>
      <c r="I2175" s="105"/>
      <c r="Q2175" s="99"/>
    </row>
    <row r="2176" spans="1:18">
      <c r="A2176" s="21">
        <v>29</v>
      </c>
      <c r="B2176" s="2" t="s">
        <v>8244</v>
      </c>
      <c r="C2176" s="21">
        <v>0</v>
      </c>
      <c r="D2176" s="2" t="s">
        <v>8245</v>
      </c>
      <c r="E2176" s="14">
        <v>0</v>
      </c>
      <c r="F2176" s="21">
        <v>0</v>
      </c>
      <c r="G2176" s="2" t="s">
        <v>20</v>
      </c>
      <c r="H2176" s="23" t="s">
        <v>8260</v>
      </c>
      <c r="I2176" s="34" t="s">
        <v>8261</v>
      </c>
      <c r="J2176" s="2" t="s">
        <v>23</v>
      </c>
      <c r="K2176" s="2" t="s">
        <v>23</v>
      </c>
      <c r="M2176" s="2" t="s">
        <v>24</v>
      </c>
      <c r="N2176" s="2" t="s">
        <v>25</v>
      </c>
      <c r="O2176" s="2" t="s">
        <v>26</v>
      </c>
      <c r="P2176" s="7">
        <v>1</v>
      </c>
      <c r="Q2176" s="1" t="s">
        <v>8246</v>
      </c>
    </row>
    <row r="2177" spans="1:18">
      <c r="A2177" s="71">
        <v>29</v>
      </c>
      <c r="B2177" s="2" t="s">
        <v>8244</v>
      </c>
      <c r="C2177" s="71">
        <v>0</v>
      </c>
      <c r="D2177" s="2" t="s">
        <v>8245</v>
      </c>
      <c r="E2177" s="74">
        <v>0</v>
      </c>
      <c r="F2177" s="71">
        <v>1</v>
      </c>
      <c r="G2177" s="2" t="s">
        <v>2901</v>
      </c>
      <c r="H2177" s="73" t="s">
        <v>8262</v>
      </c>
      <c r="I2177" s="100" t="s">
        <v>8263</v>
      </c>
      <c r="J2177" s="2" t="s">
        <v>23</v>
      </c>
      <c r="K2177" s="2" t="s">
        <v>23</v>
      </c>
      <c r="M2177" s="2" t="s">
        <v>24</v>
      </c>
      <c r="N2177" s="2" t="s">
        <v>23</v>
      </c>
      <c r="O2177" s="68" t="s">
        <v>2901</v>
      </c>
      <c r="P2177" s="7">
        <v>0</v>
      </c>
      <c r="Q2177" s="99" t="s">
        <v>8252</v>
      </c>
    </row>
    <row r="2178" spans="1:18">
      <c r="A2178" s="21">
        <v>29</v>
      </c>
      <c r="B2178" s="2" t="s">
        <v>8244</v>
      </c>
      <c r="C2178" s="21">
        <v>0</v>
      </c>
      <c r="D2178" s="2" t="s">
        <v>8245</v>
      </c>
      <c r="E2178" s="14">
        <v>0</v>
      </c>
      <c r="F2178" s="21">
        <v>2</v>
      </c>
      <c r="G2178" s="2" t="s">
        <v>8247</v>
      </c>
      <c r="H2178" s="23" t="s">
        <v>8264</v>
      </c>
      <c r="I2178" s="101" t="s">
        <v>8265</v>
      </c>
      <c r="J2178" s="2" t="s">
        <v>24</v>
      </c>
      <c r="K2178" s="2" t="s">
        <v>23</v>
      </c>
      <c r="L2178" s="68" t="s">
        <v>2901</v>
      </c>
      <c r="M2178" s="2" t="s">
        <v>24</v>
      </c>
      <c r="N2178" s="2" t="s">
        <v>23</v>
      </c>
      <c r="O2178" s="68" t="s">
        <v>2901</v>
      </c>
      <c r="P2178" s="7">
        <v>1</v>
      </c>
      <c r="Q2178" s="99" t="s">
        <v>8253</v>
      </c>
    </row>
    <row r="2179" spans="1:18">
      <c r="A2179" s="71">
        <v>29</v>
      </c>
      <c r="B2179" s="2" t="s">
        <v>8244</v>
      </c>
      <c r="C2179" s="71">
        <v>0</v>
      </c>
      <c r="D2179" s="2" t="s">
        <v>8245</v>
      </c>
      <c r="E2179" s="74">
        <v>0</v>
      </c>
      <c r="F2179" s="71">
        <v>3</v>
      </c>
      <c r="G2179" s="2" t="s">
        <v>854</v>
      </c>
      <c r="H2179" s="73" t="s">
        <v>8266</v>
      </c>
      <c r="I2179" s="100" t="s">
        <v>8267</v>
      </c>
      <c r="J2179" s="2" t="s">
        <v>24</v>
      </c>
      <c r="K2179" s="2" t="s">
        <v>116</v>
      </c>
      <c r="L2179" s="16" t="s">
        <v>8267</v>
      </c>
      <c r="M2179" s="2" t="s">
        <v>24</v>
      </c>
      <c r="N2179" s="2" t="s">
        <v>116</v>
      </c>
      <c r="O2179" s="16" t="s">
        <v>8267</v>
      </c>
      <c r="P2179" s="7">
        <v>0</v>
      </c>
      <c r="Q2179" s="99" t="s">
        <v>857</v>
      </c>
    </row>
    <row r="2180" spans="1:18">
      <c r="A2180" s="21">
        <v>29</v>
      </c>
      <c r="B2180" s="2" t="s">
        <v>8244</v>
      </c>
      <c r="C2180" s="21">
        <v>0</v>
      </c>
      <c r="D2180" s="2" t="s">
        <v>8245</v>
      </c>
      <c r="E2180" s="14">
        <v>0</v>
      </c>
      <c r="F2180" s="21">
        <v>4</v>
      </c>
      <c r="G2180" s="2" t="s">
        <v>8248</v>
      </c>
      <c r="H2180" s="23" t="s">
        <v>8268</v>
      </c>
      <c r="I2180" s="101" t="s">
        <v>8269</v>
      </c>
      <c r="J2180" s="2" t="s">
        <v>23</v>
      </c>
      <c r="K2180" s="2" t="s">
        <v>23</v>
      </c>
      <c r="M2180" s="2" t="s">
        <v>8105</v>
      </c>
      <c r="N2180" s="2" t="s">
        <v>23</v>
      </c>
      <c r="O2180" s="16" t="s">
        <v>8991</v>
      </c>
      <c r="P2180" s="7">
        <v>1</v>
      </c>
      <c r="Q2180" s="99" t="s">
        <v>8254</v>
      </c>
    </row>
    <row r="2181" spans="1:18">
      <c r="A2181" s="71">
        <v>29</v>
      </c>
      <c r="B2181" s="2" t="s">
        <v>8244</v>
      </c>
      <c r="C2181" s="71">
        <v>0</v>
      </c>
      <c r="D2181" s="2" t="s">
        <v>8245</v>
      </c>
      <c r="E2181" s="74">
        <v>0</v>
      </c>
      <c r="F2181" s="71">
        <v>5</v>
      </c>
      <c r="G2181" s="2" t="s">
        <v>8250</v>
      </c>
      <c r="H2181" s="73" t="s">
        <v>8270</v>
      </c>
      <c r="I2181" s="100" t="s">
        <v>8271</v>
      </c>
      <c r="J2181" s="2" t="s">
        <v>24</v>
      </c>
      <c r="K2181" s="2" t="s">
        <v>23</v>
      </c>
      <c r="L2181" s="68" t="s">
        <v>2901</v>
      </c>
      <c r="M2181" s="2" t="s">
        <v>38</v>
      </c>
      <c r="N2181" s="2" t="s">
        <v>8951</v>
      </c>
      <c r="O2181" s="2" t="s">
        <v>8256</v>
      </c>
      <c r="P2181" s="7">
        <v>0</v>
      </c>
      <c r="Q2181" s="99" t="s">
        <v>8255</v>
      </c>
    </row>
    <row r="2182" spans="1:18">
      <c r="A2182" s="71">
        <v>29</v>
      </c>
      <c r="B2182" s="2" t="s">
        <v>8244</v>
      </c>
      <c r="C2182" s="71">
        <v>0</v>
      </c>
      <c r="D2182" s="2" t="s">
        <v>8245</v>
      </c>
      <c r="E2182" s="74">
        <v>0</v>
      </c>
      <c r="F2182" s="71">
        <v>6</v>
      </c>
      <c r="G2182" s="2" t="s">
        <v>8251</v>
      </c>
      <c r="H2182" s="73" t="s">
        <v>8272</v>
      </c>
      <c r="I2182" s="100" t="s">
        <v>8273</v>
      </c>
      <c r="J2182" s="2" t="s">
        <v>8105</v>
      </c>
      <c r="K2182" s="2" t="s">
        <v>23</v>
      </c>
      <c r="L2182" s="16" t="s">
        <v>10607</v>
      </c>
      <c r="M2182" s="2" t="s">
        <v>24</v>
      </c>
      <c r="N2182" s="2" t="s">
        <v>23</v>
      </c>
      <c r="O2182" s="68" t="s">
        <v>2901</v>
      </c>
      <c r="P2182" s="7">
        <v>0</v>
      </c>
      <c r="Q2182" s="99" t="s">
        <v>8257</v>
      </c>
    </row>
    <row r="2183" spans="1:18">
      <c r="A2183" s="71">
        <v>29</v>
      </c>
      <c r="B2183" s="2" t="s">
        <v>8244</v>
      </c>
      <c r="C2183" s="71">
        <v>1</v>
      </c>
      <c r="D2183" s="2" t="s">
        <v>8258</v>
      </c>
      <c r="E2183" s="74">
        <v>0</v>
      </c>
      <c r="F2183" s="71">
        <v>0</v>
      </c>
      <c r="G2183" s="2" t="s">
        <v>20</v>
      </c>
      <c r="H2183" s="73" t="s">
        <v>8274</v>
      </c>
      <c r="I2183" s="76" t="s">
        <v>8275</v>
      </c>
      <c r="J2183" s="2" t="s">
        <v>23</v>
      </c>
      <c r="K2183" s="2" t="s">
        <v>23</v>
      </c>
      <c r="M2183" s="2" t="s">
        <v>24</v>
      </c>
      <c r="N2183" s="2" t="s">
        <v>25</v>
      </c>
      <c r="O2183" s="2" t="s">
        <v>26</v>
      </c>
      <c r="P2183" s="7">
        <v>0</v>
      </c>
      <c r="Q2183" s="1" t="s">
        <v>8259</v>
      </c>
    </row>
    <row r="2184" spans="1:18">
      <c r="A2184" s="71">
        <v>29</v>
      </c>
      <c r="B2184" s="2" t="s">
        <v>8244</v>
      </c>
      <c r="C2184" s="71">
        <v>1</v>
      </c>
      <c r="D2184" s="2" t="s">
        <v>8258</v>
      </c>
      <c r="E2184" s="74">
        <v>0</v>
      </c>
      <c r="F2184" s="71">
        <v>1</v>
      </c>
      <c r="G2184" s="2" t="s">
        <v>2901</v>
      </c>
      <c r="H2184" s="73" t="s">
        <v>8276</v>
      </c>
      <c r="I2184" s="100" t="s">
        <v>8277</v>
      </c>
      <c r="J2184" s="2" t="s">
        <v>23</v>
      </c>
      <c r="K2184" s="2" t="s">
        <v>23</v>
      </c>
      <c r="M2184" s="2" t="s">
        <v>24</v>
      </c>
      <c r="N2184" s="2" t="s">
        <v>23</v>
      </c>
      <c r="O2184" s="68" t="s">
        <v>2901</v>
      </c>
      <c r="P2184" s="7">
        <v>0</v>
      </c>
      <c r="Q2184" s="99" t="s">
        <v>8252</v>
      </c>
    </row>
    <row r="2185" spans="1:18">
      <c r="A2185" s="71">
        <v>29</v>
      </c>
      <c r="B2185" s="2" t="s">
        <v>8244</v>
      </c>
      <c r="C2185" s="71">
        <v>1</v>
      </c>
      <c r="D2185" s="2" t="s">
        <v>8258</v>
      </c>
      <c r="E2185" s="74">
        <v>0</v>
      </c>
      <c r="F2185" s="71">
        <v>2</v>
      </c>
      <c r="G2185" s="2" t="s">
        <v>8247</v>
      </c>
      <c r="H2185" s="73" t="s">
        <v>8278</v>
      </c>
      <c r="I2185" s="100" t="s">
        <v>8279</v>
      </c>
      <c r="J2185" s="2" t="s">
        <v>38</v>
      </c>
      <c r="K2185" s="2" t="s">
        <v>23</v>
      </c>
      <c r="L2185" s="68" t="s">
        <v>2901</v>
      </c>
      <c r="M2185" s="2" t="s">
        <v>38</v>
      </c>
      <c r="N2185" s="2" t="s">
        <v>23</v>
      </c>
      <c r="O2185" s="68" t="s">
        <v>2901</v>
      </c>
      <c r="P2185" s="7">
        <v>0</v>
      </c>
      <c r="Q2185" s="99" t="s">
        <v>8253</v>
      </c>
    </row>
    <row r="2186" spans="1:18">
      <c r="A2186" s="71">
        <v>29</v>
      </c>
      <c r="B2186" s="2" t="s">
        <v>8244</v>
      </c>
      <c r="C2186" s="71">
        <v>1</v>
      </c>
      <c r="D2186" s="2" t="s">
        <v>8258</v>
      </c>
      <c r="E2186" s="74">
        <v>0</v>
      </c>
      <c r="F2186" s="71">
        <v>3</v>
      </c>
      <c r="G2186" s="2" t="s">
        <v>8250</v>
      </c>
      <c r="H2186" s="73" t="s">
        <v>8280</v>
      </c>
      <c r="I2186" s="100" t="s">
        <v>8281</v>
      </c>
      <c r="J2186" s="2" t="s">
        <v>23</v>
      </c>
      <c r="K2186" s="2" t="s">
        <v>23</v>
      </c>
      <c r="L2186" s="68"/>
      <c r="M2186" s="2" t="s">
        <v>38</v>
      </c>
      <c r="N2186" s="2" t="s">
        <v>8951</v>
      </c>
      <c r="O2186" s="2" t="s">
        <v>8256</v>
      </c>
      <c r="P2186" s="7">
        <v>0</v>
      </c>
      <c r="Q2186" s="99" t="s">
        <v>8255</v>
      </c>
    </row>
    <row r="2187" spans="1:18">
      <c r="A2187" s="72"/>
      <c r="C2187" s="72"/>
      <c r="E2187" s="86"/>
      <c r="F2187" s="72"/>
      <c r="H2187" s="87" t="s">
        <v>234</v>
      </c>
      <c r="I2187" s="105"/>
      <c r="P2187" s="7"/>
      <c r="Q2187" s="99"/>
    </row>
    <row r="2188" spans="1:18">
      <c r="A2188" s="71">
        <v>30</v>
      </c>
      <c r="B2188" s="2" t="s">
        <v>8296</v>
      </c>
      <c r="C2188" s="71">
        <v>0</v>
      </c>
      <c r="D2188" s="2" t="s">
        <v>8297</v>
      </c>
      <c r="E2188" s="74">
        <v>0</v>
      </c>
      <c r="F2188" s="71">
        <v>0</v>
      </c>
      <c r="G2188" s="2" t="s">
        <v>20</v>
      </c>
      <c r="H2188" s="73" t="s">
        <v>8299</v>
      </c>
      <c r="I2188" s="76" t="s">
        <v>8300</v>
      </c>
      <c r="J2188" s="2" t="s">
        <v>23</v>
      </c>
      <c r="K2188" s="2" t="s">
        <v>23</v>
      </c>
      <c r="M2188" s="2" t="s">
        <v>24</v>
      </c>
      <c r="N2188" s="2" t="s">
        <v>25</v>
      </c>
      <c r="O2188" s="2" t="s">
        <v>26</v>
      </c>
      <c r="P2188" s="7">
        <v>0</v>
      </c>
      <c r="Q2188" s="1" t="s">
        <v>8298</v>
      </c>
    </row>
    <row r="2189" spans="1:18">
      <c r="A2189" s="71">
        <v>30</v>
      </c>
      <c r="B2189" s="2" t="s">
        <v>8296</v>
      </c>
      <c r="C2189" s="71">
        <v>0</v>
      </c>
      <c r="D2189" s="2" t="s">
        <v>8297</v>
      </c>
      <c r="E2189" s="74">
        <v>0</v>
      </c>
      <c r="F2189" s="71">
        <v>1</v>
      </c>
      <c r="G2189" s="2" t="s">
        <v>8843</v>
      </c>
      <c r="H2189" s="73" t="s">
        <v>8343</v>
      </c>
      <c r="I2189" s="100" t="s">
        <v>8845</v>
      </c>
      <c r="J2189" s="2" t="s">
        <v>8105</v>
      </c>
      <c r="K2189" s="2" t="s">
        <v>4275</v>
      </c>
      <c r="L2189" s="16" t="s">
        <v>9342</v>
      </c>
      <c r="M2189" s="2" t="s">
        <v>8105</v>
      </c>
      <c r="N2189" s="2" t="s">
        <v>4275</v>
      </c>
      <c r="O2189" s="16" t="s">
        <v>8847</v>
      </c>
      <c r="P2189" s="7">
        <v>0</v>
      </c>
      <c r="Q2189" s="99" t="s">
        <v>8844</v>
      </c>
    </row>
    <row r="2190" spans="1:18">
      <c r="A2190" s="71">
        <v>30</v>
      </c>
      <c r="B2190" s="2" t="s">
        <v>8296</v>
      </c>
      <c r="C2190" s="71">
        <v>0</v>
      </c>
      <c r="D2190" s="2" t="s">
        <v>8297</v>
      </c>
      <c r="E2190" s="74">
        <v>0</v>
      </c>
      <c r="F2190" s="71">
        <v>2</v>
      </c>
      <c r="G2190" s="2" t="s">
        <v>2392</v>
      </c>
      <c r="H2190" s="73" t="s">
        <v>8345</v>
      </c>
      <c r="I2190" s="100" t="s">
        <v>8344</v>
      </c>
      <c r="J2190" s="2" t="s">
        <v>24</v>
      </c>
      <c r="K2190" s="2" t="s">
        <v>116</v>
      </c>
      <c r="L2190" s="16" t="s">
        <v>8344</v>
      </c>
      <c r="M2190" s="2" t="s">
        <v>24</v>
      </c>
      <c r="N2190" s="2" t="s">
        <v>116</v>
      </c>
      <c r="O2190" s="16" t="s">
        <v>8344</v>
      </c>
      <c r="P2190" s="7">
        <v>0</v>
      </c>
      <c r="Q2190" s="99" t="s">
        <v>8316</v>
      </c>
    </row>
    <row r="2191" spans="1:18">
      <c r="A2191" s="71">
        <v>30</v>
      </c>
      <c r="B2191" s="2" t="s">
        <v>8296</v>
      </c>
      <c r="C2191" s="71">
        <v>0</v>
      </c>
      <c r="D2191" s="2" t="s">
        <v>8297</v>
      </c>
      <c r="E2191" s="74">
        <v>0</v>
      </c>
      <c r="F2191" s="71">
        <v>3</v>
      </c>
      <c r="G2191" s="2" t="s">
        <v>6090</v>
      </c>
      <c r="H2191" s="73" t="s">
        <v>8347</v>
      </c>
      <c r="I2191" s="100" t="s">
        <v>8346</v>
      </c>
      <c r="J2191" s="2" t="s">
        <v>24</v>
      </c>
      <c r="K2191" s="2" t="s">
        <v>23</v>
      </c>
      <c r="L2191" s="16"/>
      <c r="M2191" s="2" t="s">
        <v>24</v>
      </c>
      <c r="N2191" s="2" t="s">
        <v>23</v>
      </c>
      <c r="P2191" s="7">
        <v>0</v>
      </c>
      <c r="Q2191" s="99" t="s">
        <v>8317</v>
      </c>
    </row>
    <row r="2192" spans="1:18">
      <c r="A2192" s="71">
        <v>30</v>
      </c>
      <c r="B2192" s="2" t="s">
        <v>8296</v>
      </c>
      <c r="C2192" s="71">
        <v>0</v>
      </c>
      <c r="D2192" s="2" t="s">
        <v>8297</v>
      </c>
      <c r="E2192" s="74">
        <v>0</v>
      </c>
      <c r="F2192" s="71">
        <v>4</v>
      </c>
      <c r="G2192" s="2" t="s">
        <v>8301</v>
      </c>
      <c r="H2192" s="73" t="s">
        <v>8349</v>
      </c>
      <c r="I2192" s="100" t="s">
        <v>8348</v>
      </c>
      <c r="J2192" s="2" t="s">
        <v>24</v>
      </c>
      <c r="K2192" s="2" t="s">
        <v>23</v>
      </c>
      <c r="M2192" s="2" t="s">
        <v>24</v>
      </c>
      <c r="N2192" s="2" t="s">
        <v>23</v>
      </c>
      <c r="P2192" s="7">
        <v>0</v>
      </c>
      <c r="Q2192" s="99" t="s">
        <v>8318</v>
      </c>
      <c r="R2192" s="2" t="s">
        <v>8319</v>
      </c>
    </row>
    <row r="2193" spans="1:18">
      <c r="A2193" s="71">
        <v>30</v>
      </c>
      <c r="B2193" s="2" t="s">
        <v>8296</v>
      </c>
      <c r="C2193" s="71">
        <v>0</v>
      </c>
      <c r="D2193" s="2" t="s">
        <v>8297</v>
      </c>
      <c r="E2193" s="74">
        <v>0</v>
      </c>
      <c r="F2193" s="71">
        <v>5</v>
      </c>
      <c r="G2193" s="2" t="s">
        <v>6660</v>
      </c>
      <c r="H2193" s="73" t="s">
        <v>8351</v>
      </c>
      <c r="I2193" s="100" t="s">
        <v>8350</v>
      </c>
      <c r="J2193" s="2" t="s">
        <v>24</v>
      </c>
      <c r="K2193" s="2" t="s">
        <v>133</v>
      </c>
      <c r="M2193" s="2" t="s">
        <v>24</v>
      </c>
      <c r="N2193" s="2" t="s">
        <v>133</v>
      </c>
      <c r="P2193" s="7">
        <v>0</v>
      </c>
      <c r="Q2193" s="99" t="s">
        <v>8320</v>
      </c>
      <c r="R2193" s="6" t="s">
        <v>8321</v>
      </c>
    </row>
    <row r="2194" spans="1:18">
      <c r="A2194" s="71">
        <v>30</v>
      </c>
      <c r="B2194" s="2" t="s">
        <v>8296</v>
      </c>
      <c r="C2194" s="71">
        <v>0</v>
      </c>
      <c r="D2194" s="2" t="s">
        <v>8297</v>
      </c>
      <c r="E2194" s="74">
        <v>0</v>
      </c>
      <c r="F2194" s="71">
        <v>6</v>
      </c>
      <c r="G2194" s="2" t="s">
        <v>6860</v>
      </c>
      <c r="H2194" s="73" t="s">
        <v>8353</v>
      </c>
      <c r="I2194" s="100" t="s">
        <v>8352</v>
      </c>
      <c r="J2194" s="2" t="s">
        <v>24</v>
      </c>
      <c r="K2194" s="2" t="s">
        <v>263</v>
      </c>
      <c r="M2194" s="2" t="s">
        <v>24</v>
      </c>
      <c r="N2194" s="2" t="s">
        <v>263</v>
      </c>
      <c r="P2194" s="7">
        <v>0</v>
      </c>
      <c r="Q2194" s="99" t="s">
        <v>8322</v>
      </c>
      <c r="R2194" s="2" t="s">
        <v>8323</v>
      </c>
    </row>
    <row r="2195" spans="1:18">
      <c r="A2195" s="71">
        <v>30</v>
      </c>
      <c r="B2195" s="2" t="s">
        <v>8296</v>
      </c>
      <c r="C2195" s="71">
        <v>0</v>
      </c>
      <c r="D2195" s="2" t="s">
        <v>8297</v>
      </c>
      <c r="E2195" s="74">
        <v>0</v>
      </c>
      <c r="F2195" s="71">
        <v>7</v>
      </c>
      <c r="G2195" s="2" t="s">
        <v>6830</v>
      </c>
      <c r="H2195" s="73" t="s">
        <v>8355</v>
      </c>
      <c r="I2195" s="100" t="s">
        <v>8354</v>
      </c>
      <c r="J2195" s="2" t="s">
        <v>24</v>
      </c>
      <c r="K2195" s="2" t="s">
        <v>116</v>
      </c>
      <c r="L2195" s="16" t="s">
        <v>8354</v>
      </c>
      <c r="M2195" s="2" t="s">
        <v>24</v>
      </c>
      <c r="N2195" s="2" t="s">
        <v>116</v>
      </c>
      <c r="O2195" s="16" t="s">
        <v>8354</v>
      </c>
      <c r="P2195" s="7">
        <v>0</v>
      </c>
      <c r="Q2195" s="99" t="s">
        <v>2518</v>
      </c>
    </row>
    <row r="2196" spans="1:18">
      <c r="A2196" s="71">
        <v>30</v>
      </c>
      <c r="B2196" s="2" t="s">
        <v>8296</v>
      </c>
      <c r="C2196" s="71">
        <v>0</v>
      </c>
      <c r="D2196" s="2" t="s">
        <v>8297</v>
      </c>
      <c r="E2196" s="74">
        <v>0</v>
      </c>
      <c r="F2196" s="71">
        <v>8</v>
      </c>
      <c r="G2196" s="2" t="s">
        <v>7581</v>
      </c>
      <c r="H2196" s="73" t="s">
        <v>8357</v>
      </c>
      <c r="I2196" s="100" t="s">
        <v>8356</v>
      </c>
      <c r="J2196" s="2" t="s">
        <v>24</v>
      </c>
      <c r="K2196" s="2" t="s">
        <v>133</v>
      </c>
      <c r="M2196" s="2" t="s">
        <v>24</v>
      </c>
      <c r="N2196" s="2" t="s">
        <v>133</v>
      </c>
      <c r="P2196" s="7">
        <v>0</v>
      </c>
      <c r="Q2196" s="99" t="s">
        <v>244</v>
      </c>
      <c r="R2196" s="2" t="s">
        <v>8324</v>
      </c>
    </row>
    <row r="2197" spans="1:18">
      <c r="A2197" s="71">
        <v>30</v>
      </c>
      <c r="B2197" s="2" t="s">
        <v>8296</v>
      </c>
      <c r="C2197" s="71">
        <v>0</v>
      </c>
      <c r="D2197" s="2" t="s">
        <v>8297</v>
      </c>
      <c r="E2197" s="74">
        <v>0</v>
      </c>
      <c r="F2197" s="71">
        <v>9</v>
      </c>
      <c r="G2197" s="2" t="s">
        <v>8302</v>
      </c>
      <c r="H2197" s="73" t="s">
        <v>8359</v>
      </c>
      <c r="I2197" s="100" t="s">
        <v>8358</v>
      </c>
      <c r="J2197" s="2" t="s">
        <v>24</v>
      </c>
      <c r="K2197" s="2" t="s">
        <v>263</v>
      </c>
      <c r="M2197" s="2" t="s">
        <v>24</v>
      </c>
      <c r="N2197" s="2" t="s">
        <v>263</v>
      </c>
      <c r="P2197" s="7">
        <v>0</v>
      </c>
      <c r="Q2197" s="99" t="s">
        <v>264</v>
      </c>
      <c r="R2197" s="2" t="s">
        <v>8325</v>
      </c>
    </row>
    <row r="2198" spans="1:18">
      <c r="A2198" s="71">
        <v>30</v>
      </c>
      <c r="B2198" s="2" t="s">
        <v>8296</v>
      </c>
      <c r="C2198" s="71">
        <v>0</v>
      </c>
      <c r="D2198" s="2" t="s">
        <v>8297</v>
      </c>
      <c r="E2198" s="74">
        <v>0</v>
      </c>
      <c r="F2198" s="71">
        <v>10</v>
      </c>
      <c r="G2198" s="2" t="s">
        <v>273</v>
      </c>
      <c r="H2198" s="73" t="s">
        <v>8361</v>
      </c>
      <c r="I2198" s="100" t="s">
        <v>8360</v>
      </c>
      <c r="J2198" s="2" t="s">
        <v>24</v>
      </c>
      <c r="K2198" s="2" t="s">
        <v>139</v>
      </c>
      <c r="M2198" s="2" t="s">
        <v>24</v>
      </c>
      <c r="N2198" s="2" t="s">
        <v>139</v>
      </c>
      <c r="P2198" s="7">
        <v>0</v>
      </c>
      <c r="Q2198" s="99" t="s">
        <v>3053</v>
      </c>
      <c r="R2198" s="2" t="s">
        <v>8326</v>
      </c>
    </row>
    <row r="2199" spans="1:18">
      <c r="A2199" s="71">
        <v>30</v>
      </c>
      <c r="B2199" s="2" t="s">
        <v>8296</v>
      </c>
      <c r="C2199" s="71">
        <v>0</v>
      </c>
      <c r="D2199" s="2" t="s">
        <v>8297</v>
      </c>
      <c r="E2199" s="74">
        <v>0</v>
      </c>
      <c r="F2199" s="71">
        <v>11</v>
      </c>
      <c r="G2199" s="2" t="s">
        <v>8303</v>
      </c>
      <c r="H2199" s="73" t="s">
        <v>8363</v>
      </c>
      <c r="I2199" s="100" t="s">
        <v>8362</v>
      </c>
      <c r="J2199" s="2" t="s">
        <v>24</v>
      </c>
      <c r="K2199" s="2" t="s">
        <v>133</v>
      </c>
      <c r="M2199" s="2" t="s">
        <v>24</v>
      </c>
      <c r="N2199" s="2" t="s">
        <v>133</v>
      </c>
      <c r="P2199" s="7">
        <v>0</v>
      </c>
      <c r="Q2199" s="99" t="s">
        <v>8327</v>
      </c>
    </row>
    <row r="2200" spans="1:18">
      <c r="A2200" s="71">
        <v>30</v>
      </c>
      <c r="B2200" s="2" t="s">
        <v>8296</v>
      </c>
      <c r="C2200" s="71">
        <v>0</v>
      </c>
      <c r="D2200" s="2" t="s">
        <v>8297</v>
      </c>
      <c r="E2200" s="74">
        <v>0</v>
      </c>
      <c r="F2200" s="71">
        <v>12</v>
      </c>
      <c r="G2200" s="2" t="s">
        <v>8304</v>
      </c>
      <c r="H2200" s="73" t="s">
        <v>8365</v>
      </c>
      <c r="I2200" s="100" t="s">
        <v>8364</v>
      </c>
      <c r="J2200" s="2" t="s">
        <v>24</v>
      </c>
      <c r="K2200" s="2" t="s">
        <v>263</v>
      </c>
      <c r="M2200" s="2" t="s">
        <v>24</v>
      </c>
      <c r="N2200" s="2" t="s">
        <v>263</v>
      </c>
      <c r="P2200" s="7">
        <v>0</v>
      </c>
      <c r="Q2200" s="99" t="s">
        <v>8328</v>
      </c>
    </row>
    <row r="2201" spans="1:18">
      <c r="A2201" s="71">
        <v>30</v>
      </c>
      <c r="B2201" s="2" t="s">
        <v>8296</v>
      </c>
      <c r="C2201" s="71">
        <v>0</v>
      </c>
      <c r="D2201" s="2" t="s">
        <v>8297</v>
      </c>
      <c r="E2201" s="74">
        <v>0</v>
      </c>
      <c r="F2201" s="71">
        <v>13</v>
      </c>
      <c r="G2201" s="2" t="s">
        <v>7619</v>
      </c>
      <c r="H2201" s="73" t="s">
        <v>8367</v>
      </c>
      <c r="I2201" s="100" t="s">
        <v>8366</v>
      </c>
      <c r="J2201" s="2" t="s">
        <v>24</v>
      </c>
      <c r="K2201" s="2" t="s">
        <v>23</v>
      </c>
      <c r="M2201" s="2" t="s">
        <v>24</v>
      </c>
      <c r="N2201" s="2" t="s">
        <v>23</v>
      </c>
      <c r="P2201" s="7">
        <v>0</v>
      </c>
      <c r="Q2201" s="99" t="s">
        <v>7623</v>
      </c>
      <c r="R2201" s="6" t="s">
        <v>8329</v>
      </c>
    </row>
    <row r="2202" spans="1:18">
      <c r="A2202" s="71">
        <v>30</v>
      </c>
      <c r="B2202" s="2" t="s">
        <v>8296</v>
      </c>
      <c r="C2202" s="71">
        <v>0</v>
      </c>
      <c r="D2202" s="2" t="s">
        <v>8297</v>
      </c>
      <c r="E2202" s="74">
        <v>0</v>
      </c>
      <c r="F2202" s="71">
        <v>14</v>
      </c>
      <c r="G2202" s="2" t="s">
        <v>7407</v>
      </c>
      <c r="H2202" s="73" t="s">
        <v>8369</v>
      </c>
      <c r="I2202" s="100" t="s">
        <v>8368</v>
      </c>
      <c r="J2202" s="2" t="s">
        <v>24</v>
      </c>
      <c r="K2202" s="2" t="s">
        <v>116</v>
      </c>
      <c r="L2202" s="16" t="s">
        <v>8368</v>
      </c>
      <c r="M2202" s="2" t="s">
        <v>24</v>
      </c>
      <c r="N2202" s="2" t="s">
        <v>116</v>
      </c>
      <c r="O2202" s="16" t="s">
        <v>8368</v>
      </c>
      <c r="P2202" s="7">
        <v>0</v>
      </c>
      <c r="Q2202" s="99" t="s">
        <v>2535</v>
      </c>
    </row>
    <row r="2203" spans="1:18">
      <c r="A2203" s="71">
        <v>30</v>
      </c>
      <c r="B2203" s="2" t="s">
        <v>8296</v>
      </c>
      <c r="C2203" s="71">
        <v>0</v>
      </c>
      <c r="D2203" s="2" t="s">
        <v>8297</v>
      </c>
      <c r="E2203" s="74">
        <v>0</v>
      </c>
      <c r="F2203" s="71">
        <v>15</v>
      </c>
      <c r="G2203" s="2" t="s">
        <v>1490</v>
      </c>
      <c r="H2203" s="73" t="s">
        <v>8371</v>
      </c>
      <c r="I2203" s="100" t="s">
        <v>8370</v>
      </c>
      <c r="J2203" s="2" t="s">
        <v>24</v>
      </c>
      <c r="K2203" s="2" t="s">
        <v>116</v>
      </c>
      <c r="L2203" s="16" t="s">
        <v>7497</v>
      </c>
      <c r="M2203" s="2" t="s">
        <v>24</v>
      </c>
      <c r="N2203" s="2" t="s">
        <v>116</v>
      </c>
      <c r="O2203" s="16" t="s">
        <v>7497</v>
      </c>
      <c r="P2203" s="7">
        <v>0</v>
      </c>
      <c r="Q2203" s="99" t="s">
        <v>8330</v>
      </c>
    </row>
    <row r="2204" spans="1:18">
      <c r="A2204" s="71">
        <v>30</v>
      </c>
      <c r="B2204" s="2" t="s">
        <v>8296</v>
      </c>
      <c r="C2204" s="71">
        <v>0</v>
      </c>
      <c r="D2204" s="2" t="s">
        <v>8297</v>
      </c>
      <c r="E2204" s="74">
        <v>0</v>
      </c>
      <c r="F2204" s="71">
        <v>16</v>
      </c>
      <c r="G2204" s="2" t="s">
        <v>7493</v>
      </c>
      <c r="H2204" s="73" t="s">
        <v>8373</v>
      </c>
      <c r="I2204" s="100" t="s">
        <v>8372</v>
      </c>
      <c r="J2204" s="2" t="s">
        <v>24</v>
      </c>
      <c r="K2204" s="2" t="s">
        <v>263</v>
      </c>
      <c r="M2204" s="2" t="s">
        <v>24</v>
      </c>
      <c r="N2204" s="2" t="s">
        <v>263</v>
      </c>
      <c r="P2204" s="7">
        <v>0</v>
      </c>
      <c r="Q2204" s="99" t="s">
        <v>7505</v>
      </c>
    </row>
    <row r="2205" spans="1:18">
      <c r="A2205" s="71">
        <v>30</v>
      </c>
      <c r="B2205" s="2" t="s">
        <v>8296</v>
      </c>
      <c r="C2205" s="71">
        <v>0</v>
      </c>
      <c r="D2205" s="2" t="s">
        <v>8297</v>
      </c>
      <c r="E2205" s="74">
        <v>0</v>
      </c>
      <c r="F2205" s="71">
        <v>17</v>
      </c>
      <c r="G2205" s="2" t="s">
        <v>7406</v>
      </c>
      <c r="H2205" s="73" t="s">
        <v>8375</v>
      </c>
      <c r="I2205" s="100" t="s">
        <v>8374</v>
      </c>
      <c r="J2205" s="2" t="s">
        <v>24</v>
      </c>
      <c r="K2205" s="2" t="s">
        <v>23</v>
      </c>
      <c r="M2205" s="2" t="s">
        <v>24</v>
      </c>
      <c r="N2205" s="2" t="s">
        <v>23</v>
      </c>
      <c r="P2205" s="7">
        <v>0</v>
      </c>
      <c r="Q2205" s="99" t="s">
        <v>8331</v>
      </c>
    </row>
    <row r="2206" spans="1:18">
      <c r="A2206" s="71">
        <v>30</v>
      </c>
      <c r="B2206" s="2" t="s">
        <v>8296</v>
      </c>
      <c r="C2206" s="71">
        <v>0</v>
      </c>
      <c r="D2206" s="2" t="s">
        <v>8297</v>
      </c>
      <c r="E2206" s="74">
        <v>0</v>
      </c>
      <c r="F2206" s="71">
        <v>18</v>
      </c>
      <c r="G2206" s="2" t="s">
        <v>7579</v>
      </c>
      <c r="H2206" s="73" t="s">
        <v>8377</v>
      </c>
      <c r="I2206" s="100" t="s">
        <v>8376</v>
      </c>
      <c r="J2206" s="2" t="s">
        <v>24</v>
      </c>
      <c r="K2206" s="2" t="s">
        <v>133</v>
      </c>
      <c r="M2206" s="2" t="s">
        <v>24</v>
      </c>
      <c r="N2206" s="2" t="s">
        <v>133</v>
      </c>
      <c r="P2206" s="7">
        <v>0</v>
      </c>
      <c r="Q2206" s="99" t="s">
        <v>7583</v>
      </c>
    </row>
    <row r="2207" spans="1:18">
      <c r="A2207" s="71">
        <v>30</v>
      </c>
      <c r="B2207" s="2" t="s">
        <v>8296</v>
      </c>
      <c r="C2207" s="71">
        <v>0</v>
      </c>
      <c r="D2207" s="2" t="s">
        <v>8297</v>
      </c>
      <c r="E2207" s="74">
        <v>0</v>
      </c>
      <c r="F2207" s="71">
        <v>19</v>
      </c>
      <c r="G2207" s="2" t="s">
        <v>7580</v>
      </c>
      <c r="H2207" s="73" t="s">
        <v>8379</v>
      </c>
      <c r="I2207" s="100" t="s">
        <v>8378</v>
      </c>
      <c r="J2207" s="2" t="s">
        <v>24</v>
      </c>
      <c r="K2207" s="2" t="s">
        <v>133</v>
      </c>
      <c r="M2207" s="2" t="s">
        <v>24</v>
      </c>
      <c r="N2207" s="2" t="s">
        <v>133</v>
      </c>
      <c r="P2207" s="7">
        <v>0</v>
      </c>
      <c r="Q2207" s="99" t="s">
        <v>7585</v>
      </c>
    </row>
    <row r="2208" spans="1:18">
      <c r="A2208" s="71">
        <v>30</v>
      </c>
      <c r="B2208" s="2" t="s">
        <v>8296</v>
      </c>
      <c r="C2208" s="71">
        <v>0</v>
      </c>
      <c r="D2208" s="2" t="s">
        <v>8297</v>
      </c>
      <c r="E2208" s="74">
        <v>0</v>
      </c>
      <c r="F2208" s="71">
        <v>20</v>
      </c>
      <c r="G2208" s="2" t="s">
        <v>8305</v>
      </c>
      <c r="H2208" s="73" t="s">
        <v>8381</v>
      </c>
      <c r="I2208" s="100" t="s">
        <v>8380</v>
      </c>
      <c r="J2208" s="2" t="s">
        <v>24</v>
      </c>
      <c r="K2208" s="2" t="s">
        <v>133</v>
      </c>
      <c r="M2208" s="2" t="s">
        <v>24</v>
      </c>
      <c r="N2208" s="2" t="s">
        <v>133</v>
      </c>
      <c r="P2208" s="7">
        <v>0</v>
      </c>
      <c r="Q2208" s="99" t="s">
        <v>2308</v>
      </c>
    </row>
    <row r="2209" spans="1:18">
      <c r="A2209" s="71">
        <v>30</v>
      </c>
      <c r="B2209" s="2" t="s">
        <v>8296</v>
      </c>
      <c r="C2209" s="71">
        <v>0</v>
      </c>
      <c r="D2209" s="2" t="s">
        <v>8297</v>
      </c>
      <c r="E2209" s="74">
        <v>0</v>
      </c>
      <c r="F2209" s="71">
        <v>21</v>
      </c>
      <c r="G2209" s="2" t="s">
        <v>8306</v>
      </c>
      <c r="H2209" s="73" t="s">
        <v>8383</v>
      </c>
      <c r="I2209" s="100" t="s">
        <v>8382</v>
      </c>
      <c r="J2209" s="2" t="s">
        <v>24</v>
      </c>
      <c r="K2209" s="2" t="s">
        <v>49</v>
      </c>
      <c r="M2209" s="2" t="s">
        <v>24</v>
      </c>
      <c r="N2209" s="2" t="s">
        <v>49</v>
      </c>
      <c r="P2209" s="7">
        <v>0</v>
      </c>
      <c r="Q2209" s="99" t="s">
        <v>8332</v>
      </c>
    </row>
    <row r="2210" spans="1:18">
      <c r="A2210" s="71">
        <v>30</v>
      </c>
      <c r="B2210" s="2" t="s">
        <v>8296</v>
      </c>
      <c r="C2210" s="71">
        <v>0</v>
      </c>
      <c r="D2210" s="2" t="s">
        <v>8297</v>
      </c>
      <c r="E2210" s="74">
        <v>0</v>
      </c>
      <c r="F2210" s="71">
        <v>22</v>
      </c>
      <c r="G2210" s="2" t="s">
        <v>8307</v>
      </c>
      <c r="H2210" s="73" t="s">
        <v>8385</v>
      </c>
      <c r="I2210" s="100" t="s">
        <v>8384</v>
      </c>
      <c r="J2210" s="2" t="s">
        <v>24</v>
      </c>
      <c r="K2210" s="2" t="s">
        <v>23</v>
      </c>
      <c r="M2210" s="2" t="s">
        <v>24</v>
      </c>
      <c r="N2210" s="2" t="s">
        <v>23</v>
      </c>
      <c r="P2210" s="7">
        <v>0</v>
      </c>
      <c r="Q2210" s="99" t="s">
        <v>7631</v>
      </c>
    </row>
    <row r="2211" spans="1:18">
      <c r="A2211" s="71">
        <v>30</v>
      </c>
      <c r="B2211" s="2" t="s">
        <v>8296</v>
      </c>
      <c r="C2211" s="71">
        <v>0</v>
      </c>
      <c r="D2211" s="2" t="s">
        <v>8297</v>
      </c>
      <c r="E2211" s="74">
        <v>0</v>
      </c>
      <c r="F2211" s="71">
        <v>23</v>
      </c>
      <c r="G2211" s="2" t="s">
        <v>8308</v>
      </c>
      <c r="H2211" s="73" t="s">
        <v>8387</v>
      </c>
      <c r="I2211" s="100" t="s">
        <v>8386</v>
      </c>
      <c r="J2211" s="2" t="s">
        <v>24</v>
      </c>
      <c r="K2211" s="2" t="s">
        <v>23</v>
      </c>
      <c r="M2211" s="2" t="s">
        <v>24</v>
      </c>
      <c r="N2211" s="2" t="s">
        <v>23</v>
      </c>
      <c r="P2211" s="7">
        <v>0</v>
      </c>
      <c r="Q2211" s="99" t="s">
        <v>8333</v>
      </c>
    </row>
    <row r="2212" spans="1:18">
      <c r="A2212" s="71">
        <v>30</v>
      </c>
      <c r="B2212" s="2" t="s">
        <v>8296</v>
      </c>
      <c r="C2212" s="71">
        <v>0</v>
      </c>
      <c r="D2212" s="2" t="s">
        <v>8297</v>
      </c>
      <c r="E2212" s="74">
        <v>0</v>
      </c>
      <c r="F2212" s="71">
        <v>24</v>
      </c>
      <c r="G2212" s="2" t="s">
        <v>8309</v>
      </c>
      <c r="H2212" s="73" t="s">
        <v>8389</v>
      </c>
      <c r="I2212" s="100" t="s">
        <v>8388</v>
      </c>
      <c r="J2212" s="2" t="s">
        <v>24</v>
      </c>
      <c r="K2212" s="2" t="s">
        <v>133</v>
      </c>
      <c r="M2212" s="2" t="s">
        <v>24</v>
      </c>
      <c r="N2212" s="2" t="s">
        <v>133</v>
      </c>
      <c r="P2212" s="7">
        <v>0</v>
      </c>
      <c r="Q2212" s="99" t="s">
        <v>7587</v>
      </c>
    </row>
    <row r="2213" spans="1:18">
      <c r="A2213" s="71">
        <v>30</v>
      </c>
      <c r="B2213" s="2" t="s">
        <v>8296</v>
      </c>
      <c r="C2213" s="71">
        <v>0</v>
      </c>
      <c r="D2213" s="2" t="s">
        <v>8297</v>
      </c>
      <c r="E2213" s="74">
        <v>0</v>
      </c>
      <c r="F2213" s="71">
        <v>25</v>
      </c>
      <c r="G2213" s="2" t="s">
        <v>8310</v>
      </c>
      <c r="H2213" s="73" t="s">
        <v>8391</v>
      </c>
      <c r="I2213" s="100" t="s">
        <v>8390</v>
      </c>
      <c r="J2213" s="2" t="s">
        <v>24</v>
      </c>
      <c r="K2213" s="2" t="s">
        <v>23</v>
      </c>
      <c r="M2213" s="2" t="s">
        <v>24</v>
      </c>
      <c r="N2213" s="2" t="s">
        <v>23</v>
      </c>
      <c r="P2213" s="7">
        <v>0</v>
      </c>
      <c r="Q2213" s="99" t="s">
        <v>8334</v>
      </c>
    </row>
    <row r="2214" spans="1:18">
      <c r="A2214" s="71">
        <v>30</v>
      </c>
      <c r="B2214" s="2" t="s">
        <v>8296</v>
      </c>
      <c r="C2214" s="71">
        <v>0</v>
      </c>
      <c r="D2214" s="2" t="s">
        <v>8297</v>
      </c>
      <c r="E2214" s="74">
        <v>0</v>
      </c>
      <c r="F2214" s="71">
        <v>26</v>
      </c>
      <c r="G2214" s="2" t="s">
        <v>4204</v>
      </c>
      <c r="H2214" s="73" t="s">
        <v>8393</v>
      </c>
      <c r="I2214" s="100" t="s">
        <v>8392</v>
      </c>
      <c r="J2214" s="2" t="s">
        <v>24</v>
      </c>
      <c r="K2214" s="2" t="s">
        <v>25</v>
      </c>
      <c r="L2214" s="2" t="s">
        <v>6286</v>
      </c>
      <c r="M2214" s="2" t="s">
        <v>24</v>
      </c>
      <c r="N2214" s="2" t="s">
        <v>25</v>
      </c>
      <c r="O2214" s="2" t="s">
        <v>6286</v>
      </c>
      <c r="P2214" s="7">
        <v>0</v>
      </c>
      <c r="Q2214" s="99" t="s">
        <v>8335</v>
      </c>
    </row>
    <row r="2215" spans="1:18">
      <c r="A2215" s="71">
        <v>30</v>
      </c>
      <c r="B2215" s="2" t="s">
        <v>8296</v>
      </c>
      <c r="C2215" s="71">
        <v>0</v>
      </c>
      <c r="D2215" s="2" t="s">
        <v>8297</v>
      </c>
      <c r="E2215" s="74">
        <v>0</v>
      </c>
      <c r="F2215" s="71">
        <v>27</v>
      </c>
      <c r="G2215" s="2" t="s">
        <v>8311</v>
      </c>
      <c r="H2215" s="73" t="s">
        <v>8395</v>
      </c>
      <c r="I2215" s="100" t="s">
        <v>8394</v>
      </c>
      <c r="J2215" s="2" t="s">
        <v>24</v>
      </c>
      <c r="K2215" s="2" t="s">
        <v>139</v>
      </c>
      <c r="M2215" s="2" t="s">
        <v>24</v>
      </c>
      <c r="N2215" s="2" t="s">
        <v>139</v>
      </c>
      <c r="P2215" s="7">
        <v>0</v>
      </c>
      <c r="Q2215" s="99" t="s">
        <v>8336</v>
      </c>
    </row>
    <row r="2216" spans="1:18">
      <c r="A2216" s="71">
        <v>30</v>
      </c>
      <c r="B2216" s="2" t="s">
        <v>8296</v>
      </c>
      <c r="C2216" s="71">
        <v>0</v>
      </c>
      <c r="D2216" s="2" t="s">
        <v>8297</v>
      </c>
      <c r="E2216" s="74">
        <v>0</v>
      </c>
      <c r="F2216" s="71">
        <v>28</v>
      </c>
      <c r="G2216" s="2" t="s">
        <v>8312</v>
      </c>
      <c r="H2216" s="73" t="s">
        <v>8397</v>
      </c>
      <c r="I2216" s="100" t="s">
        <v>8396</v>
      </c>
      <c r="J2216" s="2" t="s">
        <v>24</v>
      </c>
      <c r="K2216" s="2" t="s">
        <v>139</v>
      </c>
      <c r="M2216" s="2" t="s">
        <v>24</v>
      </c>
      <c r="N2216" s="2" t="s">
        <v>139</v>
      </c>
      <c r="P2216" s="7">
        <v>0</v>
      </c>
      <c r="Q2216" s="99" t="s">
        <v>8337</v>
      </c>
    </row>
    <row r="2217" spans="1:18">
      <c r="A2217" s="71">
        <v>30</v>
      </c>
      <c r="B2217" s="2" t="s">
        <v>8296</v>
      </c>
      <c r="C2217" s="71">
        <v>0</v>
      </c>
      <c r="D2217" s="2" t="s">
        <v>8297</v>
      </c>
      <c r="E2217" s="74">
        <v>0</v>
      </c>
      <c r="F2217" s="71">
        <v>29</v>
      </c>
      <c r="G2217" s="2" t="s">
        <v>8313</v>
      </c>
      <c r="H2217" s="73" t="s">
        <v>8399</v>
      </c>
      <c r="I2217" s="100" t="s">
        <v>8398</v>
      </c>
      <c r="J2217" s="2" t="s">
        <v>24</v>
      </c>
      <c r="K2217" s="2" t="s">
        <v>49</v>
      </c>
      <c r="M2217" s="2" t="s">
        <v>24</v>
      </c>
      <c r="N2217" s="2" t="s">
        <v>49</v>
      </c>
      <c r="P2217" s="7">
        <v>0</v>
      </c>
      <c r="Q2217" s="99" t="s">
        <v>7608</v>
      </c>
    </row>
    <row r="2218" spans="1:18">
      <c r="A2218" s="71">
        <v>30</v>
      </c>
      <c r="B2218" s="2" t="s">
        <v>8296</v>
      </c>
      <c r="C2218" s="71">
        <v>0</v>
      </c>
      <c r="D2218" s="2" t="s">
        <v>8297</v>
      </c>
      <c r="E2218" s="74">
        <v>0</v>
      </c>
      <c r="F2218" s="71">
        <v>30</v>
      </c>
      <c r="G2218" s="2" t="s">
        <v>2601</v>
      </c>
      <c r="H2218" s="73" t="s">
        <v>8401</v>
      </c>
      <c r="I2218" s="100" t="s">
        <v>8400</v>
      </c>
      <c r="J2218" s="2" t="s">
        <v>24</v>
      </c>
      <c r="K2218" s="2" t="s">
        <v>23</v>
      </c>
      <c r="M2218" s="2" t="s">
        <v>24</v>
      </c>
      <c r="N2218" s="2" t="s">
        <v>23</v>
      </c>
      <c r="P2218" s="7">
        <v>0</v>
      </c>
      <c r="Q2218" s="99" t="s">
        <v>8338</v>
      </c>
    </row>
    <row r="2219" spans="1:18">
      <c r="A2219" s="71">
        <v>30</v>
      </c>
      <c r="B2219" s="2" t="s">
        <v>8296</v>
      </c>
      <c r="C2219" s="71">
        <v>0</v>
      </c>
      <c r="D2219" s="2" t="s">
        <v>8297</v>
      </c>
      <c r="E2219" s="74">
        <v>0</v>
      </c>
      <c r="F2219" s="71">
        <v>31</v>
      </c>
      <c r="G2219" s="2" t="s">
        <v>8314</v>
      </c>
      <c r="H2219" s="73" t="s">
        <v>8403</v>
      </c>
      <c r="I2219" s="100" t="s">
        <v>8402</v>
      </c>
      <c r="J2219" s="2" t="s">
        <v>24</v>
      </c>
      <c r="K2219" s="2" t="s">
        <v>25</v>
      </c>
      <c r="L2219" s="2" t="s">
        <v>8339</v>
      </c>
      <c r="M2219" s="2" t="s">
        <v>24</v>
      </c>
      <c r="N2219" s="2" t="s">
        <v>25</v>
      </c>
      <c r="O2219" s="2" t="s">
        <v>8339</v>
      </c>
      <c r="P2219" s="7">
        <v>0</v>
      </c>
      <c r="Q2219" s="99" t="s">
        <v>8340</v>
      </c>
    </row>
    <row r="2220" spans="1:18" ht="60">
      <c r="A2220" s="71">
        <v>30</v>
      </c>
      <c r="B2220" s="2" t="s">
        <v>8296</v>
      </c>
      <c r="C2220" s="71">
        <v>0</v>
      </c>
      <c r="D2220" s="2" t="s">
        <v>8297</v>
      </c>
      <c r="E2220" s="74">
        <v>0</v>
      </c>
      <c r="F2220" s="71">
        <v>32</v>
      </c>
      <c r="G2220" s="2" t="s">
        <v>8315</v>
      </c>
      <c r="H2220" s="73" t="s">
        <v>8846</v>
      </c>
      <c r="I2220" s="100" t="s">
        <v>8404</v>
      </c>
      <c r="J2220" s="2" t="s">
        <v>24</v>
      </c>
      <c r="K2220" s="2" t="s">
        <v>23</v>
      </c>
      <c r="M2220" s="2" t="s">
        <v>24</v>
      </c>
      <c r="N2220" s="2" t="s">
        <v>23</v>
      </c>
      <c r="P2220" s="7">
        <v>0</v>
      </c>
      <c r="Q2220" s="99" t="s">
        <v>8341</v>
      </c>
      <c r="R2220" s="6" t="s">
        <v>8342</v>
      </c>
    </row>
    <row r="2221" spans="1:18">
      <c r="A2221" s="71">
        <v>30</v>
      </c>
      <c r="B2221" s="2" t="s">
        <v>8296</v>
      </c>
      <c r="C2221" s="71">
        <v>0</v>
      </c>
      <c r="D2221" s="2" t="s">
        <v>8297</v>
      </c>
      <c r="E2221" s="74">
        <v>0</v>
      </c>
      <c r="F2221" s="71">
        <v>33</v>
      </c>
      <c r="G2221" s="2" t="s">
        <v>9151</v>
      </c>
      <c r="H2221" s="73" t="s">
        <v>9124</v>
      </c>
      <c r="I2221" s="100" t="s">
        <v>9152</v>
      </c>
      <c r="J2221" s="2" t="s">
        <v>24</v>
      </c>
      <c r="K2221" s="2" t="s">
        <v>25</v>
      </c>
      <c r="M2221" s="2" t="s">
        <v>24</v>
      </c>
      <c r="N2221" s="2" t="s">
        <v>25</v>
      </c>
      <c r="P2221" s="7">
        <v>0</v>
      </c>
      <c r="Q2221" s="99" t="s">
        <v>618</v>
      </c>
      <c r="R2221" s="6"/>
    </row>
    <row r="2222" spans="1:18">
      <c r="A2222" s="71">
        <v>30</v>
      </c>
      <c r="B2222" s="2" t="s">
        <v>8296</v>
      </c>
      <c r="C2222" s="71">
        <v>0</v>
      </c>
      <c r="D2222" s="2" t="s">
        <v>8297</v>
      </c>
      <c r="E2222" s="74">
        <v>0</v>
      </c>
      <c r="F2222" s="71">
        <v>34</v>
      </c>
      <c r="G2222" s="2" t="s">
        <v>7490</v>
      </c>
      <c r="H2222" s="73" t="s">
        <v>9153</v>
      </c>
      <c r="I2222" s="100" t="s">
        <v>9154</v>
      </c>
      <c r="J2222" s="2" t="s">
        <v>24</v>
      </c>
      <c r="K2222" s="2" t="s">
        <v>116</v>
      </c>
      <c r="L2222" s="16" t="s">
        <v>9154</v>
      </c>
      <c r="M2222" s="2" t="s">
        <v>24</v>
      </c>
      <c r="N2222" s="2" t="s">
        <v>116</v>
      </c>
      <c r="O2222" s="16" t="s">
        <v>9154</v>
      </c>
      <c r="P2222" s="7">
        <v>0</v>
      </c>
      <c r="Q2222" s="99" t="s">
        <v>7496</v>
      </c>
      <c r="R2222" s="6"/>
    </row>
    <row r="2223" spans="1:18">
      <c r="A2223" s="71">
        <v>30</v>
      </c>
      <c r="B2223" s="2" t="s">
        <v>8296</v>
      </c>
      <c r="C2223" s="71">
        <v>0</v>
      </c>
      <c r="D2223" s="2" t="s">
        <v>8297</v>
      </c>
      <c r="E2223" s="74">
        <v>0</v>
      </c>
      <c r="F2223" s="71">
        <v>35</v>
      </c>
      <c r="G2223" s="2" t="s">
        <v>6278</v>
      </c>
      <c r="H2223" s="73" t="s">
        <v>9156</v>
      </c>
      <c r="I2223" s="100" t="s">
        <v>9157</v>
      </c>
      <c r="J2223" s="2" t="s">
        <v>23</v>
      </c>
      <c r="K2223" s="2" t="s">
        <v>23</v>
      </c>
      <c r="L2223" s="16"/>
      <c r="M2223" s="2" t="s">
        <v>24</v>
      </c>
      <c r="N2223" s="2" t="s">
        <v>139</v>
      </c>
      <c r="O2223" s="16"/>
      <c r="P2223" s="7">
        <v>0</v>
      </c>
      <c r="Q2223" s="99" t="s">
        <v>9155</v>
      </c>
      <c r="R2223" s="6"/>
    </row>
    <row r="2224" spans="1:18">
      <c r="A2224" s="71">
        <v>30</v>
      </c>
      <c r="B2224" s="2" t="s">
        <v>8296</v>
      </c>
      <c r="C2224" s="71">
        <v>0</v>
      </c>
      <c r="D2224" s="2" t="s">
        <v>8297</v>
      </c>
      <c r="E2224" s="74">
        <v>0</v>
      </c>
      <c r="F2224" s="71">
        <v>36</v>
      </c>
      <c r="G2224" s="2" t="s">
        <v>412</v>
      </c>
      <c r="H2224" s="73" t="s">
        <v>9394</v>
      </c>
      <c r="I2224" s="100" t="s">
        <v>9398</v>
      </c>
      <c r="J2224" s="2" t="s">
        <v>8105</v>
      </c>
      <c r="K2224" s="2" t="s">
        <v>8117</v>
      </c>
      <c r="L2224" s="16" t="s">
        <v>8115</v>
      </c>
      <c r="M2224" s="2" t="s">
        <v>8105</v>
      </c>
      <c r="N2224" s="2" t="s">
        <v>8117</v>
      </c>
      <c r="O2224" s="16" t="s">
        <v>8115</v>
      </c>
      <c r="P2224" s="7">
        <v>0</v>
      </c>
      <c r="Q2224" s="99" t="s">
        <v>9395</v>
      </c>
      <c r="R2224" s="6"/>
    </row>
    <row r="2225" spans="1:18">
      <c r="A2225" s="71">
        <v>30</v>
      </c>
      <c r="B2225" s="2" t="s">
        <v>8296</v>
      </c>
      <c r="C2225" s="71">
        <v>0</v>
      </c>
      <c r="D2225" s="2" t="s">
        <v>8297</v>
      </c>
      <c r="E2225" s="74">
        <v>0</v>
      </c>
      <c r="F2225" s="71">
        <v>37</v>
      </c>
      <c r="G2225" s="2" t="s">
        <v>10815</v>
      </c>
      <c r="H2225" s="73" t="s">
        <v>10816</v>
      </c>
      <c r="I2225" s="100" t="s">
        <v>10817</v>
      </c>
      <c r="J2225" s="2" t="s">
        <v>24</v>
      </c>
      <c r="K2225" s="2" t="s">
        <v>116</v>
      </c>
      <c r="L2225" s="16" t="s">
        <v>10817</v>
      </c>
      <c r="M2225" s="2" t="s">
        <v>24</v>
      </c>
      <c r="N2225" s="2" t="s">
        <v>116</v>
      </c>
      <c r="O2225" s="16" t="s">
        <v>10817</v>
      </c>
      <c r="P2225" s="7">
        <v>0</v>
      </c>
      <c r="Q2225" s="99" t="s">
        <v>10824</v>
      </c>
      <c r="R2225" s="6"/>
    </row>
    <row r="2226" spans="1:18">
      <c r="A2226" s="71">
        <v>30</v>
      </c>
      <c r="B2226" s="2" t="s">
        <v>8296</v>
      </c>
      <c r="C2226" s="71">
        <v>0</v>
      </c>
      <c r="D2226" s="2" t="s">
        <v>8297</v>
      </c>
      <c r="E2226" s="74">
        <v>0</v>
      </c>
      <c r="F2226" s="71">
        <v>38</v>
      </c>
      <c r="G2226" s="2" t="s">
        <v>10630</v>
      </c>
      <c r="H2226" s="73" t="s">
        <v>10820</v>
      </c>
      <c r="I2226" s="100" t="s">
        <v>10821</v>
      </c>
      <c r="J2226" s="2" t="s">
        <v>24</v>
      </c>
      <c r="K2226" s="2" t="s">
        <v>133</v>
      </c>
      <c r="L2226" s="16"/>
      <c r="M2226" s="2" t="s">
        <v>24</v>
      </c>
      <c r="N2226" s="2" t="s">
        <v>133</v>
      </c>
      <c r="O2226" s="16"/>
      <c r="P2226" s="7">
        <v>0</v>
      </c>
      <c r="Q2226" s="99" t="s">
        <v>10629</v>
      </c>
      <c r="R2226" s="6"/>
    </row>
    <row r="2227" spans="1:18">
      <c r="A2227" s="71">
        <v>30</v>
      </c>
      <c r="B2227" s="2" t="s">
        <v>8296</v>
      </c>
      <c r="C2227" s="71">
        <v>0</v>
      </c>
      <c r="D2227" s="2" t="s">
        <v>8297</v>
      </c>
      <c r="E2227" s="74">
        <v>0</v>
      </c>
      <c r="F2227" s="71">
        <v>39</v>
      </c>
      <c r="G2227" s="2" t="s">
        <v>6332</v>
      </c>
      <c r="H2227" s="73" t="s">
        <v>10822</v>
      </c>
      <c r="I2227" s="100" t="s">
        <v>10823</v>
      </c>
      <c r="J2227" s="2" t="s">
        <v>24</v>
      </c>
      <c r="K2227" s="2" t="s">
        <v>263</v>
      </c>
      <c r="L2227" s="16"/>
      <c r="M2227" s="2" t="s">
        <v>24</v>
      </c>
      <c r="N2227" s="2" t="s">
        <v>263</v>
      </c>
      <c r="O2227" s="16"/>
      <c r="P2227" s="7">
        <v>0</v>
      </c>
      <c r="Q2227" s="99" t="s">
        <v>10631</v>
      </c>
      <c r="R2227" s="6"/>
    </row>
    <row r="2228" spans="1:18">
      <c r="A2228" s="71">
        <v>30</v>
      </c>
      <c r="B2228" s="2" t="s">
        <v>8296</v>
      </c>
      <c r="C2228" s="71">
        <v>1</v>
      </c>
      <c r="D2228" s="2" t="s">
        <v>10803</v>
      </c>
      <c r="E2228" s="74">
        <v>0</v>
      </c>
      <c r="F2228" s="71">
        <v>0</v>
      </c>
      <c r="G2228" s="2" t="s">
        <v>20</v>
      </c>
      <c r="H2228" s="73" t="s">
        <v>8479</v>
      </c>
      <c r="I2228" s="76" t="s">
        <v>10804</v>
      </c>
      <c r="J2228" s="2" t="s">
        <v>24</v>
      </c>
      <c r="K2228" s="2" t="s">
        <v>25</v>
      </c>
      <c r="L2228" s="2" t="s">
        <v>26</v>
      </c>
      <c r="M2228" s="2" t="s">
        <v>24</v>
      </c>
      <c r="N2228" s="2" t="s">
        <v>25</v>
      </c>
      <c r="O2228" s="2" t="s">
        <v>26</v>
      </c>
      <c r="P2228" s="26">
        <v>0</v>
      </c>
      <c r="Q2228" s="1" t="s">
        <v>8705</v>
      </c>
    </row>
    <row r="2229" spans="1:18">
      <c r="A2229" s="71">
        <v>30</v>
      </c>
      <c r="B2229" s="2" t="s">
        <v>8296</v>
      </c>
      <c r="C2229" s="71">
        <v>1</v>
      </c>
      <c r="D2229" s="2" t="s">
        <v>10803</v>
      </c>
      <c r="E2229" s="74">
        <v>0</v>
      </c>
      <c r="F2229" s="71">
        <v>1</v>
      </c>
      <c r="G2229" s="2" t="s">
        <v>8301</v>
      </c>
      <c r="H2229" s="73" t="s">
        <v>8480</v>
      </c>
      <c r="I2229" s="100" t="s">
        <v>10805</v>
      </c>
      <c r="J2229" s="2" t="s">
        <v>24</v>
      </c>
      <c r="K2229" s="2" t="s">
        <v>23</v>
      </c>
      <c r="M2229" s="2" t="s">
        <v>24</v>
      </c>
      <c r="N2229" s="2" t="s">
        <v>23</v>
      </c>
      <c r="P2229" s="7">
        <v>0</v>
      </c>
      <c r="Q2229" s="99" t="s">
        <v>8318</v>
      </c>
      <c r="R2229" s="2" t="s">
        <v>8319</v>
      </c>
    </row>
    <row r="2230" spans="1:18">
      <c r="A2230" s="71">
        <v>30</v>
      </c>
      <c r="B2230" s="2" t="s">
        <v>8296</v>
      </c>
      <c r="C2230" s="71">
        <v>1</v>
      </c>
      <c r="D2230" s="2" t="s">
        <v>10803</v>
      </c>
      <c r="E2230" s="74">
        <v>0</v>
      </c>
      <c r="F2230" s="71">
        <v>2</v>
      </c>
      <c r="G2230" s="2" t="s">
        <v>7452</v>
      </c>
      <c r="H2230" s="73" t="s">
        <v>8481</v>
      </c>
      <c r="I2230" s="100" t="s">
        <v>10806</v>
      </c>
      <c r="J2230" s="2" t="s">
        <v>24</v>
      </c>
      <c r="K2230" s="2" t="s">
        <v>298</v>
      </c>
      <c r="M2230" s="2" t="s">
        <v>24</v>
      </c>
      <c r="N2230" s="2" t="s">
        <v>298</v>
      </c>
      <c r="P2230" s="7">
        <v>0</v>
      </c>
      <c r="Q2230" s="103" t="s">
        <v>7456</v>
      </c>
    </row>
    <row r="2231" spans="1:18">
      <c r="A2231" s="71">
        <v>30</v>
      </c>
      <c r="B2231" s="2" t="s">
        <v>8296</v>
      </c>
      <c r="C2231" s="71">
        <v>1</v>
      </c>
      <c r="D2231" s="2" t="s">
        <v>10803</v>
      </c>
      <c r="E2231" s="74">
        <v>0</v>
      </c>
      <c r="F2231" s="71">
        <v>3</v>
      </c>
      <c r="G2231" s="2" t="s">
        <v>7453</v>
      </c>
      <c r="H2231" s="73" t="s">
        <v>8482</v>
      </c>
      <c r="I2231" s="100" t="s">
        <v>10807</v>
      </c>
      <c r="J2231" s="2" t="s">
        <v>24</v>
      </c>
      <c r="K2231" s="2" t="s">
        <v>298</v>
      </c>
      <c r="M2231" s="2" t="s">
        <v>24</v>
      </c>
      <c r="N2231" s="2" t="s">
        <v>298</v>
      </c>
      <c r="P2231" s="7">
        <v>0</v>
      </c>
      <c r="Q2231" s="103" t="s">
        <v>7458</v>
      </c>
    </row>
    <row r="2232" spans="1:18">
      <c r="A2232" s="71">
        <v>30</v>
      </c>
      <c r="B2232" s="2" t="s">
        <v>8296</v>
      </c>
      <c r="C2232" s="71">
        <v>1</v>
      </c>
      <c r="D2232" s="2" t="s">
        <v>10803</v>
      </c>
      <c r="E2232" s="74">
        <v>0</v>
      </c>
      <c r="F2232" s="71">
        <v>4</v>
      </c>
      <c r="G2232" s="2" t="s">
        <v>7454</v>
      </c>
      <c r="H2232" s="73" t="s">
        <v>8483</v>
      </c>
      <c r="I2232" s="100" t="s">
        <v>10808</v>
      </c>
      <c r="J2232" s="2" t="s">
        <v>24</v>
      </c>
      <c r="K2232" s="2" t="s">
        <v>298</v>
      </c>
      <c r="M2232" s="2" t="s">
        <v>24</v>
      </c>
      <c r="N2232" s="2" t="s">
        <v>298</v>
      </c>
      <c r="P2232" s="7">
        <v>0</v>
      </c>
      <c r="Q2232" s="111" t="s">
        <v>8706</v>
      </c>
    </row>
    <row r="2233" spans="1:18">
      <c r="A2233" s="71">
        <v>30</v>
      </c>
      <c r="B2233" s="2" t="s">
        <v>8296</v>
      </c>
      <c r="C2233" s="71">
        <v>1</v>
      </c>
      <c r="D2233" s="2" t="s">
        <v>10803</v>
      </c>
      <c r="E2233" s="74">
        <v>0</v>
      </c>
      <c r="F2233" s="71">
        <v>5</v>
      </c>
      <c r="G2233" s="2" t="s">
        <v>7462</v>
      </c>
      <c r="H2233" s="73" t="s">
        <v>8484</v>
      </c>
      <c r="I2233" s="100" t="s">
        <v>10809</v>
      </c>
      <c r="J2233" s="2" t="s">
        <v>24</v>
      </c>
      <c r="K2233" s="2" t="s">
        <v>298</v>
      </c>
      <c r="M2233" s="2" t="s">
        <v>24</v>
      </c>
      <c r="N2233" s="2" t="s">
        <v>298</v>
      </c>
      <c r="P2233" s="7">
        <v>0</v>
      </c>
      <c r="Q2233" s="103" t="s">
        <v>7464</v>
      </c>
    </row>
    <row r="2234" spans="1:18">
      <c r="A2234" s="71">
        <v>30</v>
      </c>
      <c r="B2234" s="2" t="s">
        <v>8296</v>
      </c>
      <c r="C2234" s="71">
        <v>1</v>
      </c>
      <c r="D2234" s="2" t="s">
        <v>10803</v>
      </c>
      <c r="E2234" s="74">
        <v>0</v>
      </c>
      <c r="F2234" s="71">
        <v>6</v>
      </c>
      <c r="G2234" s="2" t="s">
        <v>5933</v>
      </c>
      <c r="H2234" s="73" t="s">
        <v>8485</v>
      </c>
      <c r="I2234" s="100" t="s">
        <v>10810</v>
      </c>
      <c r="J2234" s="2" t="s">
        <v>24</v>
      </c>
      <c r="K2234" s="2" t="s">
        <v>23</v>
      </c>
      <c r="M2234" s="2" t="s">
        <v>24</v>
      </c>
      <c r="N2234" s="2" t="s">
        <v>23</v>
      </c>
      <c r="P2234" s="7">
        <v>0</v>
      </c>
      <c r="Q2234" s="103" t="s">
        <v>8707</v>
      </c>
    </row>
    <row r="2235" spans="1:18">
      <c r="A2235" s="71">
        <v>30</v>
      </c>
      <c r="B2235" s="2" t="s">
        <v>8296</v>
      </c>
      <c r="C2235" s="71">
        <v>1</v>
      </c>
      <c r="D2235" s="2" t="s">
        <v>10803</v>
      </c>
      <c r="E2235" s="74">
        <v>0</v>
      </c>
      <c r="F2235" s="71">
        <v>7</v>
      </c>
      <c r="G2235" s="2" t="s">
        <v>8414</v>
      </c>
      <c r="H2235" s="73" t="s">
        <v>8486</v>
      </c>
      <c r="I2235" s="100" t="s">
        <v>10811</v>
      </c>
      <c r="J2235" s="2" t="s">
        <v>24</v>
      </c>
      <c r="K2235" s="2" t="s">
        <v>23</v>
      </c>
      <c r="M2235" s="2" t="s">
        <v>24</v>
      </c>
      <c r="N2235" s="2" t="s">
        <v>23</v>
      </c>
      <c r="P2235" s="7">
        <v>0</v>
      </c>
      <c r="Q2235" s="103" t="s">
        <v>7470</v>
      </c>
    </row>
    <row r="2236" spans="1:18">
      <c r="A2236" s="71">
        <v>30</v>
      </c>
      <c r="B2236" s="2" t="s">
        <v>8296</v>
      </c>
      <c r="C2236" s="71">
        <v>1</v>
      </c>
      <c r="D2236" s="2" t="s">
        <v>10803</v>
      </c>
      <c r="E2236" s="74">
        <v>0</v>
      </c>
      <c r="F2236" s="71">
        <v>8</v>
      </c>
      <c r="G2236" s="2" t="s">
        <v>7022</v>
      </c>
      <c r="H2236" s="73" t="s">
        <v>10812</v>
      </c>
      <c r="I2236" s="100" t="s">
        <v>10813</v>
      </c>
      <c r="J2236" s="2" t="s">
        <v>24</v>
      </c>
      <c r="K2236" s="2" t="s">
        <v>25</v>
      </c>
      <c r="L2236" s="2" t="s">
        <v>7413</v>
      </c>
      <c r="M2236" s="2" t="s">
        <v>24</v>
      </c>
      <c r="N2236" s="2" t="s">
        <v>25</v>
      </c>
      <c r="O2236" s="2" t="s">
        <v>6286</v>
      </c>
      <c r="P2236" s="7">
        <v>0</v>
      </c>
      <c r="Q2236" s="103" t="s">
        <v>7029</v>
      </c>
    </row>
    <row r="2237" spans="1:18">
      <c r="A2237" s="71">
        <v>30</v>
      </c>
      <c r="B2237" s="2" t="s">
        <v>8296</v>
      </c>
      <c r="C2237" s="71">
        <v>1</v>
      </c>
      <c r="D2237" s="2" t="s">
        <v>10803</v>
      </c>
      <c r="E2237" s="74">
        <v>0</v>
      </c>
      <c r="F2237" s="71">
        <v>9</v>
      </c>
      <c r="G2237" s="2" t="s">
        <v>8843</v>
      </c>
      <c r="H2237" s="73" t="s">
        <v>10834</v>
      </c>
      <c r="I2237" s="100" t="s">
        <v>10835</v>
      </c>
      <c r="J2237" s="2" t="s">
        <v>8105</v>
      </c>
      <c r="K2237" s="2" t="s">
        <v>4275</v>
      </c>
      <c r="L2237" s="16" t="s">
        <v>9342</v>
      </c>
      <c r="M2237" s="2" t="s">
        <v>8105</v>
      </c>
      <c r="N2237" s="2" t="s">
        <v>4275</v>
      </c>
      <c r="O2237" s="16" t="s">
        <v>8847</v>
      </c>
      <c r="P2237" s="7">
        <v>0</v>
      </c>
      <c r="Q2237" s="99" t="s">
        <v>8844</v>
      </c>
    </row>
    <row r="2238" spans="1:18">
      <c r="A2238" s="21">
        <v>30</v>
      </c>
      <c r="B2238" s="2" t="s">
        <v>8296</v>
      </c>
      <c r="C2238" s="21">
        <v>2</v>
      </c>
      <c r="D2238" s="2" t="s">
        <v>8407</v>
      </c>
      <c r="E2238" s="14">
        <v>0</v>
      </c>
      <c r="F2238" s="21">
        <v>0</v>
      </c>
      <c r="G2238" s="2" t="s">
        <v>20</v>
      </c>
      <c r="H2238" s="23" t="s">
        <v>8487</v>
      </c>
      <c r="I2238" s="34" t="s">
        <v>8488</v>
      </c>
      <c r="J2238" s="2" t="s">
        <v>24</v>
      </c>
      <c r="K2238" s="2" t="s">
        <v>25</v>
      </c>
      <c r="L2238" s="2" t="s">
        <v>26</v>
      </c>
      <c r="M2238" s="2" t="s">
        <v>24</v>
      </c>
      <c r="N2238" s="2" t="s">
        <v>25</v>
      </c>
      <c r="O2238" s="2" t="s">
        <v>26</v>
      </c>
      <c r="P2238" s="26">
        <v>1</v>
      </c>
      <c r="Q2238" s="1" t="s">
        <v>8708</v>
      </c>
    </row>
    <row r="2239" spans="1:18">
      <c r="A2239" s="21">
        <v>30</v>
      </c>
      <c r="B2239" s="2" t="s">
        <v>8296</v>
      </c>
      <c r="C2239" s="21">
        <v>2</v>
      </c>
      <c r="D2239" s="2" t="s">
        <v>8407</v>
      </c>
      <c r="E2239" s="14">
        <v>0</v>
      </c>
      <c r="F2239" s="21">
        <v>1</v>
      </c>
      <c r="G2239" s="2" t="s">
        <v>8843</v>
      </c>
      <c r="H2239" s="23" t="s">
        <v>8489</v>
      </c>
      <c r="I2239" s="101" t="s">
        <v>8848</v>
      </c>
      <c r="J2239" s="2" t="s">
        <v>8105</v>
      </c>
      <c r="K2239" s="2" t="s">
        <v>4275</v>
      </c>
      <c r="L2239" s="16" t="s">
        <v>9342</v>
      </c>
      <c r="M2239" s="2" t="s">
        <v>8105</v>
      </c>
      <c r="N2239" s="2" t="s">
        <v>4275</v>
      </c>
      <c r="O2239" s="16" t="s">
        <v>8847</v>
      </c>
      <c r="P2239" s="7">
        <v>1</v>
      </c>
      <c r="Q2239" s="99" t="s">
        <v>8844</v>
      </c>
    </row>
    <row r="2240" spans="1:18">
      <c r="A2240" s="21">
        <v>30</v>
      </c>
      <c r="B2240" s="2" t="s">
        <v>8296</v>
      </c>
      <c r="C2240" s="21">
        <v>2</v>
      </c>
      <c r="D2240" s="2" t="s">
        <v>8407</v>
      </c>
      <c r="E2240" s="14">
        <v>0</v>
      </c>
      <c r="F2240" s="21">
        <v>2</v>
      </c>
      <c r="G2240" s="2" t="s">
        <v>8301</v>
      </c>
      <c r="H2240" s="23" t="s">
        <v>8491</v>
      </c>
      <c r="I2240" s="101" t="s">
        <v>8490</v>
      </c>
      <c r="J2240" s="2" t="s">
        <v>24</v>
      </c>
      <c r="K2240" s="2" t="s">
        <v>23</v>
      </c>
      <c r="M2240" s="2" t="s">
        <v>24</v>
      </c>
      <c r="N2240" s="2" t="s">
        <v>23</v>
      </c>
      <c r="P2240" s="7">
        <v>1</v>
      </c>
      <c r="Q2240" s="99" t="s">
        <v>8318</v>
      </c>
      <c r="R2240" s="2" t="s">
        <v>8319</v>
      </c>
    </row>
    <row r="2241" spans="1:18">
      <c r="A2241" s="21">
        <v>30</v>
      </c>
      <c r="B2241" s="2" t="s">
        <v>8296</v>
      </c>
      <c r="C2241" s="21">
        <v>2</v>
      </c>
      <c r="D2241" s="2" t="s">
        <v>8407</v>
      </c>
      <c r="E2241" s="14">
        <v>0</v>
      </c>
      <c r="F2241" s="21">
        <v>3</v>
      </c>
      <c r="G2241" s="2" t="s">
        <v>6090</v>
      </c>
      <c r="H2241" s="23" t="s">
        <v>8493</v>
      </c>
      <c r="I2241" s="101" t="s">
        <v>8492</v>
      </c>
      <c r="J2241" s="2" t="s">
        <v>24</v>
      </c>
      <c r="K2241" s="2" t="s">
        <v>23</v>
      </c>
      <c r="M2241" s="2" t="s">
        <v>24</v>
      </c>
      <c r="N2241" s="2" t="s">
        <v>23</v>
      </c>
      <c r="P2241" s="7">
        <v>1</v>
      </c>
      <c r="Q2241" s="99" t="s">
        <v>7182</v>
      </c>
      <c r="R2241" s="2" t="s">
        <v>8319</v>
      </c>
    </row>
    <row r="2242" spans="1:18">
      <c r="A2242" s="21">
        <v>30</v>
      </c>
      <c r="B2242" s="2" t="s">
        <v>8296</v>
      </c>
      <c r="C2242" s="21">
        <v>2</v>
      </c>
      <c r="D2242" s="2" t="s">
        <v>8407</v>
      </c>
      <c r="E2242" s="14">
        <v>0</v>
      </c>
      <c r="F2242" s="21">
        <v>4</v>
      </c>
      <c r="G2242" s="2" t="s">
        <v>2392</v>
      </c>
      <c r="H2242" s="23" t="s">
        <v>8495</v>
      </c>
      <c r="I2242" s="101" t="s">
        <v>8494</v>
      </c>
      <c r="J2242" s="2" t="s">
        <v>24</v>
      </c>
      <c r="K2242" s="2" t="s">
        <v>116</v>
      </c>
      <c r="L2242" s="16" t="s">
        <v>6910</v>
      </c>
      <c r="M2242" s="2" t="s">
        <v>24</v>
      </c>
      <c r="N2242" s="2" t="s">
        <v>116</v>
      </c>
      <c r="O2242" s="16" t="s">
        <v>6910</v>
      </c>
      <c r="P2242" s="7">
        <v>1</v>
      </c>
      <c r="Q2242" s="99" t="s">
        <v>290</v>
      </c>
    </row>
    <row r="2243" spans="1:18">
      <c r="A2243" s="21">
        <v>30</v>
      </c>
      <c r="B2243" s="2" t="s">
        <v>8296</v>
      </c>
      <c r="C2243" s="21">
        <v>2</v>
      </c>
      <c r="D2243" s="2" t="s">
        <v>8407</v>
      </c>
      <c r="E2243" s="14">
        <v>0</v>
      </c>
      <c r="F2243" s="21">
        <v>5</v>
      </c>
      <c r="G2243" s="2" t="s">
        <v>8415</v>
      </c>
      <c r="H2243" s="23" t="s">
        <v>8497</v>
      </c>
      <c r="I2243" s="101" t="s">
        <v>8496</v>
      </c>
      <c r="J2243" s="2" t="s">
        <v>24</v>
      </c>
      <c r="K2243" s="2" t="s">
        <v>298</v>
      </c>
      <c r="M2243" s="2" t="s">
        <v>24</v>
      </c>
      <c r="N2243" s="2" t="s">
        <v>298</v>
      </c>
      <c r="P2243" s="7">
        <v>1</v>
      </c>
      <c r="Q2243" s="99" t="s">
        <v>8709</v>
      </c>
    </row>
    <row r="2244" spans="1:18">
      <c r="A2244" s="21">
        <v>30</v>
      </c>
      <c r="B2244" s="2" t="s">
        <v>8296</v>
      </c>
      <c r="C2244" s="21">
        <v>2</v>
      </c>
      <c r="D2244" s="2" t="s">
        <v>8407</v>
      </c>
      <c r="E2244" s="14">
        <v>0</v>
      </c>
      <c r="F2244" s="21">
        <v>6</v>
      </c>
      <c r="G2244" s="2" t="s">
        <v>7278</v>
      </c>
      <c r="H2244" s="23" t="s">
        <v>8499</v>
      </c>
      <c r="I2244" s="101" t="s">
        <v>8498</v>
      </c>
      <c r="J2244" s="2" t="s">
        <v>24</v>
      </c>
      <c r="K2244" s="2" t="s">
        <v>23</v>
      </c>
      <c r="M2244" s="2" t="s">
        <v>24</v>
      </c>
      <c r="N2244" s="2" t="s">
        <v>23</v>
      </c>
      <c r="P2244" s="7">
        <v>1</v>
      </c>
      <c r="Q2244" s="99" t="s">
        <v>7284</v>
      </c>
    </row>
    <row r="2245" spans="1:18">
      <c r="A2245" s="21">
        <v>30</v>
      </c>
      <c r="B2245" s="2" t="s">
        <v>8296</v>
      </c>
      <c r="C2245" s="21">
        <v>2</v>
      </c>
      <c r="D2245" s="2" t="s">
        <v>8407</v>
      </c>
      <c r="E2245" s="14">
        <v>0</v>
      </c>
      <c r="F2245" s="21">
        <v>7</v>
      </c>
      <c r="G2245" s="2" t="s">
        <v>7279</v>
      </c>
      <c r="H2245" s="23" t="s">
        <v>8501</v>
      </c>
      <c r="I2245" s="101" t="s">
        <v>8500</v>
      </c>
      <c r="J2245" s="2" t="s">
        <v>24</v>
      </c>
      <c r="K2245" s="2" t="s">
        <v>23</v>
      </c>
      <c r="M2245" s="2" t="s">
        <v>24</v>
      </c>
      <c r="N2245" s="2" t="s">
        <v>23</v>
      </c>
      <c r="P2245" s="7">
        <v>1</v>
      </c>
      <c r="Q2245" s="99" t="s">
        <v>7285</v>
      </c>
    </row>
    <row r="2246" spans="1:18">
      <c r="A2246" s="21">
        <v>30</v>
      </c>
      <c r="B2246" s="2" t="s">
        <v>8296</v>
      </c>
      <c r="C2246" s="21">
        <v>2</v>
      </c>
      <c r="D2246" s="2" t="s">
        <v>8407</v>
      </c>
      <c r="E2246" s="14">
        <v>0</v>
      </c>
      <c r="F2246" s="21">
        <v>8</v>
      </c>
      <c r="G2246" s="2" t="s">
        <v>7280</v>
      </c>
      <c r="H2246" s="23" t="s">
        <v>8503</v>
      </c>
      <c r="I2246" s="101" t="s">
        <v>8502</v>
      </c>
      <c r="J2246" s="2" t="s">
        <v>24</v>
      </c>
      <c r="K2246" s="2" t="s">
        <v>23</v>
      </c>
      <c r="M2246" s="2" t="s">
        <v>24</v>
      </c>
      <c r="N2246" s="2" t="s">
        <v>23</v>
      </c>
      <c r="P2246" s="7">
        <v>1</v>
      </c>
      <c r="Q2246" s="99" t="s">
        <v>7286</v>
      </c>
    </row>
    <row r="2247" spans="1:18">
      <c r="A2247" s="21">
        <v>30</v>
      </c>
      <c r="B2247" s="2" t="s">
        <v>8296</v>
      </c>
      <c r="C2247" s="21">
        <v>2</v>
      </c>
      <c r="D2247" s="2" t="s">
        <v>8407</v>
      </c>
      <c r="E2247" s="14">
        <v>0</v>
      </c>
      <c r="F2247" s="21">
        <v>9</v>
      </c>
      <c r="G2247" s="2" t="s">
        <v>6660</v>
      </c>
      <c r="H2247" s="23" t="s">
        <v>8505</v>
      </c>
      <c r="I2247" s="101" t="s">
        <v>8504</v>
      </c>
      <c r="J2247" s="2" t="s">
        <v>24</v>
      </c>
      <c r="K2247" s="2" t="s">
        <v>133</v>
      </c>
      <c r="M2247" s="2" t="s">
        <v>24</v>
      </c>
      <c r="N2247" s="2" t="s">
        <v>133</v>
      </c>
      <c r="P2247" s="7">
        <v>1</v>
      </c>
      <c r="Q2247" s="99" t="s">
        <v>2574</v>
      </c>
      <c r="R2247" s="2" t="s">
        <v>8710</v>
      </c>
    </row>
    <row r="2248" spans="1:18">
      <c r="A2248" s="21">
        <v>30</v>
      </c>
      <c r="B2248" s="2" t="s">
        <v>8296</v>
      </c>
      <c r="C2248" s="21">
        <v>2</v>
      </c>
      <c r="D2248" s="2" t="s">
        <v>8407</v>
      </c>
      <c r="E2248" s="14">
        <v>0</v>
      </c>
      <c r="F2248" s="21">
        <v>10</v>
      </c>
      <c r="G2248" s="2" t="s">
        <v>6860</v>
      </c>
      <c r="H2248" s="23" t="s">
        <v>8507</v>
      </c>
      <c r="I2248" s="101" t="s">
        <v>8506</v>
      </c>
      <c r="J2248" s="2" t="s">
        <v>24</v>
      </c>
      <c r="K2248" s="2" t="s">
        <v>263</v>
      </c>
      <c r="M2248" s="2" t="s">
        <v>24</v>
      </c>
      <c r="N2248" s="2" t="s">
        <v>263</v>
      </c>
      <c r="P2248" s="7">
        <v>1</v>
      </c>
      <c r="Q2248" s="99" t="s">
        <v>10875</v>
      </c>
      <c r="R2248" s="2" t="s">
        <v>8711</v>
      </c>
    </row>
    <row r="2249" spans="1:18">
      <c r="A2249" s="21">
        <v>30</v>
      </c>
      <c r="B2249" s="2" t="s">
        <v>8296</v>
      </c>
      <c r="C2249" s="21">
        <v>2</v>
      </c>
      <c r="D2249" s="2" t="s">
        <v>8407</v>
      </c>
      <c r="E2249" s="14">
        <v>0</v>
      </c>
      <c r="F2249" s="21">
        <v>11</v>
      </c>
      <c r="G2249" s="2" t="s">
        <v>273</v>
      </c>
      <c r="H2249" s="23" t="s">
        <v>8509</v>
      </c>
      <c r="I2249" s="101" t="s">
        <v>8508</v>
      </c>
      <c r="J2249" s="2" t="s">
        <v>24</v>
      </c>
      <c r="K2249" s="2" t="s">
        <v>139</v>
      </c>
      <c r="M2249" s="2" t="s">
        <v>24</v>
      </c>
      <c r="N2249" s="2" t="s">
        <v>139</v>
      </c>
      <c r="P2249" s="7">
        <v>1</v>
      </c>
      <c r="Q2249" s="99" t="s">
        <v>6870</v>
      </c>
    </row>
    <row r="2250" spans="1:18">
      <c r="A2250" s="21">
        <v>30</v>
      </c>
      <c r="B2250" s="2" t="s">
        <v>8296</v>
      </c>
      <c r="C2250" s="21">
        <v>2</v>
      </c>
      <c r="D2250" s="2" t="s">
        <v>8407</v>
      </c>
      <c r="E2250" s="14">
        <v>0</v>
      </c>
      <c r="F2250" s="21">
        <v>12</v>
      </c>
      <c r="G2250" s="2" t="s">
        <v>268</v>
      </c>
      <c r="H2250" s="23" t="s">
        <v>8511</v>
      </c>
      <c r="I2250" s="101" t="s">
        <v>8510</v>
      </c>
      <c r="J2250" s="2" t="s">
        <v>24</v>
      </c>
      <c r="K2250" s="2" t="s">
        <v>206</v>
      </c>
      <c r="M2250" s="2" t="s">
        <v>24</v>
      </c>
      <c r="N2250" s="2" t="s">
        <v>206</v>
      </c>
      <c r="P2250" s="7">
        <v>1</v>
      </c>
      <c r="Q2250" s="99" t="s">
        <v>6871</v>
      </c>
    </row>
    <row r="2251" spans="1:18">
      <c r="A2251" s="21">
        <v>30</v>
      </c>
      <c r="B2251" s="2" t="s">
        <v>8296</v>
      </c>
      <c r="C2251" s="21">
        <v>2</v>
      </c>
      <c r="D2251" s="2" t="s">
        <v>8407</v>
      </c>
      <c r="E2251" s="14">
        <v>0</v>
      </c>
      <c r="F2251" s="21">
        <v>13</v>
      </c>
      <c r="G2251" s="2" t="s">
        <v>485</v>
      </c>
      <c r="H2251" s="23" t="s">
        <v>8513</v>
      </c>
      <c r="I2251" s="101" t="s">
        <v>8512</v>
      </c>
      <c r="J2251" s="2" t="s">
        <v>24</v>
      </c>
      <c r="K2251" s="2" t="s">
        <v>49</v>
      </c>
      <c r="M2251" s="2" t="s">
        <v>24</v>
      </c>
      <c r="N2251" s="2" t="s">
        <v>49</v>
      </c>
      <c r="P2251" s="7">
        <v>1</v>
      </c>
      <c r="Q2251" s="99" t="s">
        <v>2298</v>
      </c>
    </row>
    <row r="2252" spans="1:18">
      <c r="A2252" s="21">
        <v>30</v>
      </c>
      <c r="B2252" s="2" t="s">
        <v>8296</v>
      </c>
      <c r="C2252" s="21">
        <v>2</v>
      </c>
      <c r="D2252" s="2" t="s">
        <v>8407</v>
      </c>
      <c r="E2252" s="14">
        <v>0</v>
      </c>
      <c r="F2252" s="21">
        <v>14</v>
      </c>
      <c r="G2252" s="2" t="s">
        <v>7204</v>
      </c>
      <c r="H2252" s="23" t="s">
        <v>8515</v>
      </c>
      <c r="I2252" s="101" t="s">
        <v>8514</v>
      </c>
      <c r="J2252" s="2" t="s">
        <v>24</v>
      </c>
      <c r="K2252" s="2" t="s">
        <v>116</v>
      </c>
      <c r="L2252" s="16" t="s">
        <v>6872</v>
      </c>
      <c r="M2252" s="2" t="s">
        <v>24</v>
      </c>
      <c r="N2252" s="2" t="s">
        <v>116</v>
      </c>
      <c r="O2252" s="16" t="s">
        <v>6872</v>
      </c>
      <c r="P2252" s="7">
        <v>1</v>
      </c>
      <c r="Q2252" s="99" t="s">
        <v>6873</v>
      </c>
    </row>
    <row r="2253" spans="1:18">
      <c r="A2253" s="21">
        <v>30</v>
      </c>
      <c r="B2253" s="2" t="s">
        <v>8296</v>
      </c>
      <c r="C2253" s="21">
        <v>2</v>
      </c>
      <c r="D2253" s="2" t="s">
        <v>8407</v>
      </c>
      <c r="E2253" s="14">
        <v>0</v>
      </c>
      <c r="F2253" s="21">
        <v>15</v>
      </c>
      <c r="G2253" s="2" t="s">
        <v>291</v>
      </c>
      <c r="H2253" s="23" t="s">
        <v>8517</v>
      </c>
      <c r="I2253" s="101" t="s">
        <v>8516</v>
      </c>
      <c r="J2253" s="2" t="s">
        <v>24</v>
      </c>
      <c r="K2253" s="2" t="s">
        <v>206</v>
      </c>
      <c r="M2253" s="2" t="s">
        <v>24</v>
      </c>
      <c r="N2253" s="2" t="s">
        <v>206</v>
      </c>
      <c r="P2253" s="7">
        <v>1</v>
      </c>
      <c r="Q2253" s="99" t="s">
        <v>7227</v>
      </c>
    </row>
    <row r="2254" spans="1:18">
      <c r="A2254" s="21">
        <v>30</v>
      </c>
      <c r="B2254" s="2" t="s">
        <v>8296</v>
      </c>
      <c r="C2254" s="21">
        <v>2</v>
      </c>
      <c r="D2254" s="2" t="s">
        <v>8407</v>
      </c>
      <c r="E2254" s="14">
        <v>0</v>
      </c>
      <c r="F2254" s="21">
        <v>16</v>
      </c>
      <c r="G2254" s="2" t="s">
        <v>8416</v>
      </c>
      <c r="H2254" s="23" t="s">
        <v>8519</v>
      </c>
      <c r="I2254" s="101" t="s">
        <v>8518</v>
      </c>
      <c r="J2254" s="2" t="s">
        <v>24</v>
      </c>
      <c r="K2254" s="2" t="s">
        <v>298</v>
      </c>
      <c r="M2254" s="2" t="s">
        <v>24</v>
      </c>
      <c r="N2254" s="2" t="s">
        <v>298</v>
      </c>
      <c r="P2254" s="7">
        <v>1</v>
      </c>
      <c r="Q2254" s="99" t="s">
        <v>7228</v>
      </c>
    </row>
    <row r="2255" spans="1:18">
      <c r="A2255" s="21">
        <v>30</v>
      </c>
      <c r="B2255" s="2" t="s">
        <v>8296</v>
      </c>
      <c r="C2255" s="21">
        <v>2</v>
      </c>
      <c r="D2255" s="2" t="s">
        <v>8407</v>
      </c>
      <c r="E2255" s="14">
        <v>0</v>
      </c>
      <c r="F2255" s="21">
        <v>17</v>
      </c>
      <c r="G2255" s="2" t="s">
        <v>7225</v>
      </c>
      <c r="H2255" s="23" t="s">
        <v>8521</v>
      </c>
      <c r="I2255" s="101" t="s">
        <v>8520</v>
      </c>
      <c r="J2255" s="2" t="s">
        <v>24</v>
      </c>
      <c r="K2255" s="2" t="s">
        <v>206</v>
      </c>
      <c r="M2255" s="2" t="s">
        <v>24</v>
      </c>
      <c r="N2255" s="2" t="s">
        <v>206</v>
      </c>
      <c r="P2255" s="7">
        <v>1</v>
      </c>
      <c r="Q2255" s="99" t="s">
        <v>6902</v>
      </c>
    </row>
    <row r="2256" spans="1:18">
      <c r="A2256" s="21">
        <v>30</v>
      </c>
      <c r="B2256" s="2" t="s">
        <v>8296</v>
      </c>
      <c r="C2256" s="21">
        <v>2</v>
      </c>
      <c r="D2256" s="2" t="s">
        <v>8407</v>
      </c>
      <c r="E2256" s="14">
        <v>0</v>
      </c>
      <c r="F2256" s="21">
        <v>18</v>
      </c>
      <c r="G2256" s="2" t="s">
        <v>8417</v>
      </c>
      <c r="H2256" s="23" t="s">
        <v>8523</v>
      </c>
      <c r="I2256" s="101" t="s">
        <v>8522</v>
      </c>
      <c r="J2256" s="2" t="s">
        <v>24</v>
      </c>
      <c r="K2256" s="2" t="s">
        <v>133</v>
      </c>
      <c r="M2256" s="2" t="s">
        <v>24</v>
      </c>
      <c r="N2256" s="2" t="s">
        <v>133</v>
      </c>
      <c r="P2256" s="7">
        <v>1</v>
      </c>
      <c r="Q2256" s="99" t="s">
        <v>6903</v>
      </c>
    </row>
    <row r="2257" spans="1:18">
      <c r="A2257" s="21">
        <v>30</v>
      </c>
      <c r="B2257" s="2" t="s">
        <v>8296</v>
      </c>
      <c r="C2257" s="21">
        <v>2</v>
      </c>
      <c r="D2257" s="2" t="s">
        <v>8407</v>
      </c>
      <c r="E2257" s="14">
        <v>0</v>
      </c>
      <c r="F2257" s="21">
        <v>19</v>
      </c>
      <c r="G2257" s="2" t="s">
        <v>8418</v>
      </c>
      <c r="H2257" s="23" t="s">
        <v>8525</v>
      </c>
      <c r="I2257" s="101" t="s">
        <v>8524</v>
      </c>
      <c r="J2257" s="2" t="s">
        <v>24</v>
      </c>
      <c r="K2257" s="2" t="s">
        <v>116</v>
      </c>
      <c r="L2257" s="16" t="s">
        <v>6906</v>
      </c>
      <c r="M2257" s="2" t="s">
        <v>24</v>
      </c>
      <c r="N2257" s="2" t="s">
        <v>116</v>
      </c>
      <c r="O2257" s="16" t="s">
        <v>6906</v>
      </c>
      <c r="P2257" s="7">
        <v>1</v>
      </c>
      <c r="Q2257" s="103" t="s">
        <v>6907</v>
      </c>
    </row>
    <row r="2258" spans="1:18">
      <c r="A2258" s="21">
        <v>30</v>
      </c>
      <c r="B2258" s="2" t="s">
        <v>8296</v>
      </c>
      <c r="C2258" s="21">
        <v>2</v>
      </c>
      <c r="D2258" s="2" t="s">
        <v>8407</v>
      </c>
      <c r="E2258" s="14">
        <v>0</v>
      </c>
      <c r="F2258" s="21">
        <v>20</v>
      </c>
      <c r="G2258" s="2" t="s">
        <v>8419</v>
      </c>
      <c r="H2258" s="23" t="s">
        <v>8527</v>
      </c>
      <c r="I2258" s="101" t="s">
        <v>8526</v>
      </c>
      <c r="J2258" s="2" t="s">
        <v>24</v>
      </c>
      <c r="K2258" s="2" t="s">
        <v>133</v>
      </c>
      <c r="M2258" s="2" t="s">
        <v>24</v>
      </c>
      <c r="N2258" s="2" t="s">
        <v>133</v>
      </c>
      <c r="P2258" s="7">
        <v>1</v>
      </c>
      <c r="Q2258" s="99" t="s">
        <v>6908</v>
      </c>
      <c r="R2258" s="6" t="s">
        <v>8712</v>
      </c>
    </row>
    <row r="2259" spans="1:18">
      <c r="A2259" s="21">
        <v>30</v>
      </c>
      <c r="B2259" s="2" t="s">
        <v>8296</v>
      </c>
      <c r="C2259" s="21">
        <v>2</v>
      </c>
      <c r="D2259" s="2" t="s">
        <v>8407</v>
      </c>
      <c r="E2259" s="14">
        <v>0</v>
      </c>
      <c r="F2259" s="21">
        <v>21</v>
      </c>
      <c r="G2259" s="2" t="s">
        <v>8420</v>
      </c>
      <c r="H2259" s="23" t="s">
        <v>8529</v>
      </c>
      <c r="I2259" s="101" t="s">
        <v>8528</v>
      </c>
      <c r="J2259" s="2" t="s">
        <v>24</v>
      </c>
      <c r="K2259" s="2" t="s">
        <v>263</v>
      </c>
      <c r="M2259" s="2" t="s">
        <v>24</v>
      </c>
      <c r="N2259" s="2" t="s">
        <v>263</v>
      </c>
      <c r="P2259" s="7">
        <v>1</v>
      </c>
      <c r="Q2259" s="99" t="s">
        <v>6909</v>
      </c>
      <c r="R2259" s="6" t="s">
        <v>8713</v>
      </c>
    </row>
    <row r="2260" spans="1:18">
      <c r="A2260" s="21">
        <v>30</v>
      </c>
      <c r="B2260" s="2" t="s">
        <v>8296</v>
      </c>
      <c r="C2260" s="21">
        <v>2</v>
      </c>
      <c r="D2260" s="2" t="s">
        <v>8407</v>
      </c>
      <c r="E2260" s="14">
        <v>0</v>
      </c>
      <c r="F2260" s="21">
        <v>22</v>
      </c>
      <c r="G2260" s="2" t="s">
        <v>8421</v>
      </c>
      <c r="H2260" s="23" t="s">
        <v>8531</v>
      </c>
      <c r="I2260" s="101" t="s">
        <v>8530</v>
      </c>
      <c r="J2260" s="2" t="s">
        <v>24</v>
      </c>
      <c r="K2260" s="2" t="s">
        <v>133</v>
      </c>
      <c r="M2260" s="2" t="s">
        <v>24</v>
      </c>
      <c r="N2260" s="2" t="s">
        <v>133</v>
      </c>
      <c r="P2260" s="7">
        <v>1</v>
      </c>
      <c r="Q2260" s="111" t="s">
        <v>8714</v>
      </c>
    </row>
    <row r="2261" spans="1:18">
      <c r="A2261" s="21">
        <v>30</v>
      </c>
      <c r="B2261" s="2" t="s">
        <v>8296</v>
      </c>
      <c r="C2261" s="21">
        <v>2</v>
      </c>
      <c r="D2261" s="2" t="s">
        <v>8407</v>
      </c>
      <c r="E2261" s="14">
        <v>0</v>
      </c>
      <c r="F2261" s="21">
        <v>23</v>
      </c>
      <c r="G2261" s="2" t="s">
        <v>8422</v>
      </c>
      <c r="H2261" s="23" t="s">
        <v>8533</v>
      </c>
      <c r="I2261" s="101" t="s">
        <v>8532</v>
      </c>
      <c r="J2261" s="2" t="s">
        <v>24</v>
      </c>
      <c r="K2261" s="2" t="s">
        <v>23</v>
      </c>
      <c r="M2261" s="2" t="s">
        <v>24</v>
      </c>
      <c r="N2261" s="2" t="s">
        <v>23</v>
      </c>
      <c r="P2261" s="7">
        <v>1</v>
      </c>
      <c r="Q2261" s="99" t="s">
        <v>6932</v>
      </c>
    </row>
    <row r="2262" spans="1:18">
      <c r="A2262" s="21">
        <v>30</v>
      </c>
      <c r="B2262" s="2" t="s">
        <v>8296</v>
      </c>
      <c r="C2262" s="21">
        <v>2</v>
      </c>
      <c r="D2262" s="2" t="s">
        <v>8407</v>
      </c>
      <c r="E2262" s="14">
        <v>0</v>
      </c>
      <c r="F2262" s="21">
        <v>24</v>
      </c>
      <c r="G2262" s="2" t="s">
        <v>6971</v>
      </c>
      <c r="H2262" s="23" t="s">
        <v>8535</v>
      </c>
      <c r="I2262" s="101" t="s">
        <v>8534</v>
      </c>
      <c r="J2262" s="2" t="s">
        <v>24</v>
      </c>
      <c r="K2262" s="2" t="s">
        <v>25</v>
      </c>
      <c r="L2262" s="2" t="s">
        <v>6976</v>
      </c>
      <c r="M2262" s="2" t="s">
        <v>24</v>
      </c>
      <c r="N2262" s="2" t="s">
        <v>25</v>
      </c>
      <c r="O2262" s="2" t="s">
        <v>6976</v>
      </c>
      <c r="P2262" s="7">
        <v>1</v>
      </c>
      <c r="Q2262" s="99" t="s">
        <v>6977</v>
      </c>
    </row>
    <row r="2263" spans="1:18">
      <c r="A2263" s="21">
        <v>30</v>
      </c>
      <c r="B2263" s="2" t="s">
        <v>8296</v>
      </c>
      <c r="C2263" s="21">
        <v>2</v>
      </c>
      <c r="D2263" s="2" t="s">
        <v>8407</v>
      </c>
      <c r="E2263" s="14">
        <v>0</v>
      </c>
      <c r="F2263" s="21">
        <v>25</v>
      </c>
      <c r="G2263" s="2" t="s">
        <v>6904</v>
      </c>
      <c r="H2263" s="23" t="s">
        <v>8537</v>
      </c>
      <c r="I2263" s="101" t="s">
        <v>8536</v>
      </c>
      <c r="J2263" s="2" t="s">
        <v>24</v>
      </c>
      <c r="K2263" s="2" t="s">
        <v>25</v>
      </c>
      <c r="L2263" s="2" t="s">
        <v>6976</v>
      </c>
      <c r="M2263" s="2" t="s">
        <v>24</v>
      </c>
      <c r="N2263" s="2" t="s">
        <v>25</v>
      </c>
      <c r="O2263" s="2" t="s">
        <v>6976</v>
      </c>
      <c r="P2263" s="7">
        <v>1</v>
      </c>
      <c r="Q2263" s="99" t="s">
        <v>6978</v>
      </c>
    </row>
    <row r="2264" spans="1:18">
      <c r="A2264" s="21">
        <v>30</v>
      </c>
      <c r="B2264" s="2" t="s">
        <v>8296</v>
      </c>
      <c r="C2264" s="21">
        <v>2</v>
      </c>
      <c r="D2264" s="2" t="s">
        <v>8407</v>
      </c>
      <c r="E2264" s="14">
        <v>0</v>
      </c>
      <c r="F2264" s="21">
        <v>26</v>
      </c>
      <c r="G2264" s="2" t="s">
        <v>6972</v>
      </c>
      <c r="H2264" s="23" t="s">
        <v>8539</v>
      </c>
      <c r="I2264" s="101" t="s">
        <v>8538</v>
      </c>
      <c r="J2264" s="2" t="s">
        <v>24</v>
      </c>
      <c r="K2264" s="2" t="s">
        <v>25</v>
      </c>
      <c r="L2264" s="2" t="s">
        <v>6976</v>
      </c>
      <c r="M2264" s="2" t="s">
        <v>24</v>
      </c>
      <c r="N2264" s="2" t="s">
        <v>25</v>
      </c>
      <c r="O2264" s="2" t="s">
        <v>6976</v>
      </c>
      <c r="P2264" s="7">
        <v>1</v>
      </c>
      <c r="Q2264" s="99" t="s">
        <v>6980</v>
      </c>
    </row>
    <row r="2265" spans="1:18">
      <c r="A2265" s="21">
        <v>30</v>
      </c>
      <c r="B2265" s="2" t="s">
        <v>8296</v>
      </c>
      <c r="C2265" s="21">
        <v>2</v>
      </c>
      <c r="D2265" s="2" t="s">
        <v>8407</v>
      </c>
      <c r="E2265" s="14">
        <v>0</v>
      </c>
      <c r="F2265" s="21">
        <v>27</v>
      </c>
      <c r="G2265" s="2" t="s">
        <v>6973</v>
      </c>
      <c r="H2265" s="23" t="s">
        <v>8541</v>
      </c>
      <c r="I2265" s="101" t="s">
        <v>8540</v>
      </c>
      <c r="J2265" s="2" t="s">
        <v>24</v>
      </c>
      <c r="K2265" s="2" t="s">
        <v>25</v>
      </c>
      <c r="L2265" s="2" t="s">
        <v>6976</v>
      </c>
      <c r="M2265" s="2" t="s">
        <v>24</v>
      </c>
      <c r="N2265" s="2" t="s">
        <v>25</v>
      </c>
      <c r="O2265" s="2" t="s">
        <v>6976</v>
      </c>
      <c r="P2265" s="7">
        <v>1</v>
      </c>
      <c r="Q2265" s="99" t="s">
        <v>6982</v>
      </c>
    </row>
    <row r="2266" spans="1:18">
      <c r="A2266" s="21">
        <v>30</v>
      </c>
      <c r="B2266" s="2" t="s">
        <v>8296</v>
      </c>
      <c r="C2266" s="21">
        <v>2</v>
      </c>
      <c r="D2266" s="2" t="s">
        <v>8407</v>
      </c>
      <c r="E2266" s="14">
        <v>0</v>
      </c>
      <c r="F2266" s="21">
        <v>28</v>
      </c>
      <c r="G2266" s="2" t="s">
        <v>6974</v>
      </c>
      <c r="H2266" s="23" t="s">
        <v>8543</v>
      </c>
      <c r="I2266" s="101" t="s">
        <v>8542</v>
      </c>
      <c r="J2266" s="2" t="s">
        <v>24</v>
      </c>
      <c r="K2266" s="2" t="s">
        <v>298</v>
      </c>
      <c r="M2266" s="2" t="s">
        <v>24</v>
      </c>
      <c r="N2266" s="2" t="s">
        <v>298</v>
      </c>
      <c r="P2266" s="7">
        <v>1</v>
      </c>
      <c r="Q2266" s="99" t="s">
        <v>6983</v>
      </c>
    </row>
    <row r="2267" spans="1:18">
      <c r="A2267" s="21">
        <v>30</v>
      </c>
      <c r="B2267" s="2" t="s">
        <v>8296</v>
      </c>
      <c r="C2267" s="21">
        <v>2</v>
      </c>
      <c r="D2267" s="2" t="s">
        <v>8407</v>
      </c>
      <c r="E2267" s="14">
        <v>0</v>
      </c>
      <c r="F2267" s="21">
        <v>29</v>
      </c>
      <c r="G2267" s="2" t="s">
        <v>7380</v>
      </c>
      <c r="H2267" s="23" t="s">
        <v>8849</v>
      </c>
      <c r="I2267" s="101" t="s">
        <v>8544</v>
      </c>
      <c r="J2267" s="2" t="s">
        <v>24</v>
      </c>
      <c r="K2267" s="2" t="s">
        <v>23</v>
      </c>
      <c r="M2267" s="2" t="s">
        <v>24</v>
      </c>
      <c r="N2267" s="2" t="s">
        <v>23</v>
      </c>
      <c r="P2267" s="7">
        <v>1</v>
      </c>
      <c r="Q2267" s="99" t="s">
        <v>7387</v>
      </c>
    </row>
    <row r="2268" spans="1:18">
      <c r="A2268" s="21">
        <v>30</v>
      </c>
      <c r="B2268" s="2" t="s">
        <v>8296</v>
      </c>
      <c r="C2268" s="21">
        <v>2</v>
      </c>
      <c r="D2268" s="2" t="s">
        <v>8407</v>
      </c>
      <c r="E2268" s="14">
        <v>0</v>
      </c>
      <c r="F2268" s="21">
        <v>30</v>
      </c>
      <c r="G2268" s="2" t="s">
        <v>9158</v>
      </c>
      <c r="H2268" s="23" t="s">
        <v>9159</v>
      </c>
      <c r="I2268" s="101" t="s">
        <v>9160</v>
      </c>
      <c r="J2268" s="2" t="s">
        <v>23</v>
      </c>
      <c r="K2268" s="2" t="s">
        <v>23</v>
      </c>
      <c r="M2268" s="2" t="s">
        <v>24</v>
      </c>
      <c r="N2268" s="2" t="s">
        <v>25</v>
      </c>
      <c r="P2268" s="7">
        <v>1</v>
      </c>
      <c r="Q2268" s="99" t="s">
        <v>9161</v>
      </c>
    </row>
    <row r="2269" spans="1:18">
      <c r="A2269" s="21">
        <v>30</v>
      </c>
      <c r="B2269" s="2" t="s">
        <v>8296</v>
      </c>
      <c r="C2269" s="21">
        <v>2</v>
      </c>
      <c r="D2269" s="2" t="s">
        <v>8407</v>
      </c>
      <c r="E2269" s="14">
        <v>0</v>
      </c>
      <c r="F2269" s="21">
        <v>31</v>
      </c>
      <c r="G2269" s="2" t="s">
        <v>497</v>
      </c>
      <c r="H2269" s="23" t="s">
        <v>9162</v>
      </c>
      <c r="I2269" s="101" t="s">
        <v>9163</v>
      </c>
      <c r="J2269" s="2" t="s">
        <v>23</v>
      </c>
      <c r="K2269" s="2" t="s">
        <v>23</v>
      </c>
      <c r="L2269" s="16"/>
      <c r="M2269" s="2" t="s">
        <v>24</v>
      </c>
      <c r="N2269" s="2" t="s">
        <v>116</v>
      </c>
      <c r="O2269" s="16" t="s">
        <v>9163</v>
      </c>
      <c r="P2269" s="7">
        <v>1</v>
      </c>
      <c r="Q2269" s="99" t="s">
        <v>952</v>
      </c>
    </row>
    <row r="2270" spans="1:18">
      <c r="A2270" s="21">
        <v>30</v>
      </c>
      <c r="B2270" s="2" t="s">
        <v>8296</v>
      </c>
      <c r="C2270" s="21">
        <v>2</v>
      </c>
      <c r="D2270" s="2" t="s">
        <v>8407</v>
      </c>
      <c r="E2270" s="14">
        <v>0</v>
      </c>
      <c r="F2270" s="21">
        <v>32</v>
      </c>
      <c r="G2270" s="2" t="s">
        <v>9164</v>
      </c>
      <c r="H2270" s="23" t="s">
        <v>9166</v>
      </c>
      <c r="I2270" s="101" t="s">
        <v>9167</v>
      </c>
      <c r="J2270" s="2" t="s">
        <v>24</v>
      </c>
      <c r="K2270" s="2" t="s">
        <v>25</v>
      </c>
      <c r="L2270" s="16"/>
      <c r="M2270" s="2" t="s">
        <v>24</v>
      </c>
      <c r="N2270" s="2" t="s">
        <v>25</v>
      </c>
      <c r="O2270" s="16"/>
      <c r="P2270" s="7">
        <v>1</v>
      </c>
      <c r="Q2270" s="99" t="s">
        <v>9165</v>
      </c>
    </row>
    <row r="2271" spans="1:18">
      <c r="A2271" s="21">
        <v>30</v>
      </c>
      <c r="B2271" s="2" t="s">
        <v>8296</v>
      </c>
      <c r="C2271" s="21">
        <v>2</v>
      </c>
      <c r="D2271" s="2" t="s">
        <v>8407</v>
      </c>
      <c r="E2271" s="14">
        <v>0</v>
      </c>
      <c r="F2271" s="21">
        <v>33</v>
      </c>
      <c r="G2271" s="2" t="s">
        <v>412</v>
      </c>
      <c r="H2271" s="23" t="s">
        <v>9344</v>
      </c>
      <c r="I2271" s="101" t="s">
        <v>9399</v>
      </c>
      <c r="J2271" s="2" t="s">
        <v>8105</v>
      </c>
      <c r="K2271" s="2" t="s">
        <v>8117</v>
      </c>
      <c r="L2271" s="16" t="s">
        <v>8115</v>
      </c>
      <c r="M2271" s="2" t="s">
        <v>8105</v>
      </c>
      <c r="N2271" s="2" t="s">
        <v>8117</v>
      </c>
      <c r="O2271" s="16" t="s">
        <v>8115</v>
      </c>
      <c r="P2271" s="7">
        <v>1</v>
      </c>
      <c r="Q2271" s="99" t="s">
        <v>9396</v>
      </c>
      <c r="R2271" s="2" t="s">
        <v>9345</v>
      </c>
    </row>
    <row r="2272" spans="1:18">
      <c r="A2272" s="21">
        <v>30</v>
      </c>
      <c r="B2272" s="2" t="s">
        <v>8296</v>
      </c>
      <c r="C2272" s="21">
        <v>2</v>
      </c>
      <c r="D2272" s="2" t="s">
        <v>8407</v>
      </c>
      <c r="E2272" s="14">
        <v>0</v>
      </c>
      <c r="F2272" s="21">
        <v>34</v>
      </c>
      <c r="G2272" s="2" t="s">
        <v>9188</v>
      </c>
      <c r="H2272" s="23" t="s">
        <v>10863</v>
      </c>
      <c r="I2272" s="101" t="s">
        <v>10864</v>
      </c>
      <c r="J2272" s="2" t="s">
        <v>24</v>
      </c>
      <c r="K2272" s="2" t="s">
        <v>116</v>
      </c>
      <c r="L2272" s="16" t="s">
        <v>10864</v>
      </c>
      <c r="M2272" s="2" t="s">
        <v>24</v>
      </c>
      <c r="N2272" s="2" t="s">
        <v>116</v>
      </c>
      <c r="O2272" s="16" t="s">
        <v>10864</v>
      </c>
      <c r="P2272" s="7">
        <v>1</v>
      </c>
      <c r="Q2272" s="99" t="s">
        <v>10862</v>
      </c>
    </row>
    <row r="2273" spans="1:17">
      <c r="A2273" s="21">
        <v>30</v>
      </c>
      <c r="B2273" s="2" t="s">
        <v>8296</v>
      </c>
      <c r="C2273" s="21">
        <v>3</v>
      </c>
      <c r="D2273" s="2" t="s">
        <v>8408</v>
      </c>
      <c r="E2273" s="14">
        <v>0</v>
      </c>
      <c r="F2273" s="21">
        <v>0</v>
      </c>
      <c r="G2273" s="2" t="s">
        <v>20</v>
      </c>
      <c r="H2273" s="23" t="s">
        <v>8545</v>
      </c>
      <c r="I2273" s="34" t="s">
        <v>8546</v>
      </c>
      <c r="J2273" s="2" t="s">
        <v>24</v>
      </c>
      <c r="K2273" s="2" t="s">
        <v>25</v>
      </c>
      <c r="L2273" s="2" t="s">
        <v>26</v>
      </c>
      <c r="M2273" s="2" t="s">
        <v>24</v>
      </c>
      <c r="N2273" s="2" t="s">
        <v>25</v>
      </c>
      <c r="O2273" s="2" t="s">
        <v>26</v>
      </c>
      <c r="P2273" s="26">
        <v>1</v>
      </c>
      <c r="Q2273" s="1" t="s">
        <v>8715</v>
      </c>
    </row>
    <row r="2274" spans="1:17">
      <c r="A2274" s="21">
        <v>30</v>
      </c>
      <c r="B2274" s="2" t="s">
        <v>8296</v>
      </c>
      <c r="C2274" s="21">
        <v>3</v>
      </c>
      <c r="D2274" s="2" t="s">
        <v>8408</v>
      </c>
      <c r="E2274" s="14">
        <v>0</v>
      </c>
      <c r="F2274" s="21">
        <v>1</v>
      </c>
      <c r="G2274" s="2" t="s">
        <v>6090</v>
      </c>
      <c r="H2274" s="23" t="s">
        <v>8547</v>
      </c>
      <c r="I2274" s="101" t="s">
        <v>8548</v>
      </c>
      <c r="J2274" s="2" t="s">
        <v>24</v>
      </c>
      <c r="K2274" s="2" t="s">
        <v>23</v>
      </c>
      <c r="M2274" s="2" t="s">
        <v>24</v>
      </c>
      <c r="N2274" s="2" t="s">
        <v>23</v>
      </c>
      <c r="P2274" s="26">
        <v>1</v>
      </c>
      <c r="Q2274" s="99" t="s">
        <v>7182</v>
      </c>
    </row>
    <row r="2275" spans="1:17">
      <c r="A2275" s="21">
        <v>30</v>
      </c>
      <c r="B2275" s="2" t="s">
        <v>8296</v>
      </c>
      <c r="C2275" s="21">
        <v>3</v>
      </c>
      <c r="D2275" s="2" t="s">
        <v>8408</v>
      </c>
      <c r="E2275" s="14">
        <v>0</v>
      </c>
      <c r="F2275" s="21">
        <v>2</v>
      </c>
      <c r="G2275" s="2" t="s">
        <v>8301</v>
      </c>
      <c r="H2275" s="23" t="s">
        <v>8549</v>
      </c>
      <c r="I2275" s="101" t="s">
        <v>8550</v>
      </c>
      <c r="J2275" s="2" t="s">
        <v>24</v>
      </c>
      <c r="K2275" s="2" t="s">
        <v>23</v>
      </c>
      <c r="M2275" s="2" t="s">
        <v>24</v>
      </c>
      <c r="N2275" s="2" t="s">
        <v>23</v>
      </c>
      <c r="P2275" s="26">
        <v>1</v>
      </c>
      <c r="Q2275" s="99" t="s">
        <v>6862</v>
      </c>
    </row>
    <row r="2276" spans="1:17">
      <c r="A2276" s="21">
        <v>30</v>
      </c>
      <c r="B2276" s="2" t="s">
        <v>8296</v>
      </c>
      <c r="C2276" s="21">
        <v>3</v>
      </c>
      <c r="D2276" s="2" t="s">
        <v>8408</v>
      </c>
      <c r="E2276" s="14">
        <v>0</v>
      </c>
      <c r="F2276" s="21">
        <v>3</v>
      </c>
      <c r="G2276" s="2" t="s">
        <v>8423</v>
      </c>
      <c r="H2276" s="23" t="s">
        <v>8551</v>
      </c>
      <c r="I2276" s="101" t="s">
        <v>8552</v>
      </c>
      <c r="J2276" s="2" t="s">
        <v>24</v>
      </c>
      <c r="K2276" s="2" t="s">
        <v>298</v>
      </c>
      <c r="M2276" s="2" t="s">
        <v>24</v>
      </c>
      <c r="N2276" s="2" t="s">
        <v>298</v>
      </c>
      <c r="P2276" s="51">
        <v>1</v>
      </c>
      <c r="Q2276" s="99" t="s">
        <v>8716</v>
      </c>
    </row>
    <row r="2277" spans="1:17">
      <c r="A2277" s="21">
        <v>30</v>
      </c>
      <c r="B2277" s="2" t="s">
        <v>8296</v>
      </c>
      <c r="C2277" s="21">
        <v>3</v>
      </c>
      <c r="D2277" s="2" t="s">
        <v>8408</v>
      </c>
      <c r="E2277" s="14">
        <v>0</v>
      </c>
      <c r="F2277" s="21">
        <v>4</v>
      </c>
      <c r="G2277" s="2" t="s">
        <v>8424</v>
      </c>
      <c r="H2277" s="23" t="s">
        <v>8553</v>
      </c>
      <c r="I2277" s="101" t="s">
        <v>8554</v>
      </c>
      <c r="J2277" s="2" t="s">
        <v>24</v>
      </c>
      <c r="K2277" s="2" t="s">
        <v>298</v>
      </c>
      <c r="M2277" s="2" t="s">
        <v>24</v>
      </c>
      <c r="N2277" s="2" t="s">
        <v>298</v>
      </c>
      <c r="P2277" s="51">
        <v>1</v>
      </c>
      <c r="Q2277" s="99" t="s">
        <v>8717</v>
      </c>
    </row>
    <row r="2278" spans="1:17">
      <c r="A2278" s="21">
        <v>30</v>
      </c>
      <c r="B2278" s="2" t="s">
        <v>8296</v>
      </c>
      <c r="C2278" s="21">
        <v>3</v>
      </c>
      <c r="D2278" s="2" t="s">
        <v>8408</v>
      </c>
      <c r="E2278" s="14">
        <v>0</v>
      </c>
      <c r="F2278" s="21">
        <v>5</v>
      </c>
      <c r="G2278" s="2" t="s">
        <v>8425</v>
      </c>
      <c r="H2278" s="23" t="s">
        <v>8555</v>
      </c>
      <c r="I2278" s="101" t="s">
        <v>8556</v>
      </c>
      <c r="J2278" s="2" t="s">
        <v>24</v>
      </c>
      <c r="K2278" s="2" t="s">
        <v>298</v>
      </c>
      <c r="M2278" s="2" t="s">
        <v>24</v>
      </c>
      <c r="N2278" s="2" t="s">
        <v>298</v>
      </c>
      <c r="P2278" s="51">
        <v>1</v>
      </c>
      <c r="Q2278" s="99" t="s">
        <v>8718</v>
      </c>
    </row>
    <row r="2279" spans="1:17">
      <c r="A2279" s="21">
        <v>30</v>
      </c>
      <c r="B2279" s="2" t="s">
        <v>8296</v>
      </c>
      <c r="C2279" s="21">
        <v>3</v>
      </c>
      <c r="D2279" s="2" t="s">
        <v>8408</v>
      </c>
      <c r="E2279" s="14">
        <v>0</v>
      </c>
      <c r="F2279" s="21">
        <v>6</v>
      </c>
      <c r="G2279" s="2" t="s">
        <v>8426</v>
      </c>
      <c r="H2279" s="23" t="s">
        <v>8557</v>
      </c>
      <c r="I2279" s="101" t="s">
        <v>8558</v>
      </c>
      <c r="J2279" s="2" t="s">
        <v>24</v>
      </c>
      <c r="K2279" s="2" t="s">
        <v>298</v>
      </c>
      <c r="M2279" s="2" t="s">
        <v>24</v>
      </c>
      <c r="N2279" s="2" t="s">
        <v>298</v>
      </c>
      <c r="P2279" s="51">
        <v>1</v>
      </c>
      <c r="Q2279" s="99" t="s">
        <v>8719</v>
      </c>
    </row>
    <row r="2280" spans="1:17">
      <c r="A2280" s="21">
        <v>30</v>
      </c>
      <c r="B2280" s="2" t="s">
        <v>8296</v>
      </c>
      <c r="C2280" s="21">
        <v>3</v>
      </c>
      <c r="D2280" s="2" t="s">
        <v>8408</v>
      </c>
      <c r="E2280" s="14">
        <v>0</v>
      </c>
      <c r="F2280" s="21">
        <v>7</v>
      </c>
      <c r="G2280" s="2" t="s">
        <v>8427</v>
      </c>
      <c r="H2280" s="23" t="s">
        <v>8559</v>
      </c>
      <c r="I2280" s="101" t="s">
        <v>8560</v>
      </c>
      <c r="J2280" s="2" t="s">
        <v>24</v>
      </c>
      <c r="K2280" s="2" t="s">
        <v>298</v>
      </c>
      <c r="M2280" s="2" t="s">
        <v>24</v>
      </c>
      <c r="N2280" s="2" t="s">
        <v>298</v>
      </c>
      <c r="P2280" s="51">
        <v>1</v>
      </c>
      <c r="Q2280" s="99" t="s">
        <v>8720</v>
      </c>
    </row>
    <row r="2281" spans="1:17">
      <c r="A2281" s="21">
        <v>30</v>
      </c>
      <c r="B2281" s="2" t="s">
        <v>8296</v>
      </c>
      <c r="C2281" s="21">
        <v>3</v>
      </c>
      <c r="D2281" s="2" t="s">
        <v>8408</v>
      </c>
      <c r="E2281" s="14">
        <v>0</v>
      </c>
      <c r="F2281" s="21">
        <v>8</v>
      </c>
      <c r="G2281" s="2" t="s">
        <v>8428</v>
      </c>
      <c r="H2281" s="23" t="s">
        <v>8561</v>
      </c>
      <c r="I2281" s="101" t="s">
        <v>8562</v>
      </c>
      <c r="J2281" s="2" t="s">
        <v>24</v>
      </c>
      <c r="K2281" s="2" t="s">
        <v>298</v>
      </c>
      <c r="M2281" s="2" t="s">
        <v>24</v>
      </c>
      <c r="N2281" s="2" t="s">
        <v>298</v>
      </c>
      <c r="P2281" s="51">
        <v>1</v>
      </c>
      <c r="Q2281" s="99" t="s">
        <v>8721</v>
      </c>
    </row>
    <row r="2282" spans="1:17">
      <c r="A2282" s="21">
        <v>30</v>
      </c>
      <c r="B2282" s="2" t="s">
        <v>8296</v>
      </c>
      <c r="C2282" s="21">
        <v>3</v>
      </c>
      <c r="D2282" s="2" t="s">
        <v>8408</v>
      </c>
      <c r="E2282" s="14">
        <v>0</v>
      </c>
      <c r="F2282" s="21">
        <v>9</v>
      </c>
      <c r="G2282" s="2" t="s">
        <v>8429</v>
      </c>
      <c r="H2282" s="23" t="s">
        <v>8563</v>
      </c>
      <c r="I2282" s="101" t="s">
        <v>8564</v>
      </c>
      <c r="J2282" s="2" t="s">
        <v>24</v>
      </c>
      <c r="K2282" s="2" t="s">
        <v>298</v>
      </c>
      <c r="M2282" s="2" t="s">
        <v>24</v>
      </c>
      <c r="N2282" s="2" t="s">
        <v>298</v>
      </c>
      <c r="P2282" s="51">
        <v>1</v>
      </c>
      <c r="Q2282" s="99" t="s">
        <v>8722</v>
      </c>
    </row>
    <row r="2283" spans="1:17">
      <c r="A2283" s="21">
        <v>30</v>
      </c>
      <c r="B2283" s="2" t="s">
        <v>8296</v>
      </c>
      <c r="C2283" s="21">
        <v>3</v>
      </c>
      <c r="D2283" s="2" t="s">
        <v>8408</v>
      </c>
      <c r="E2283" s="14">
        <v>0</v>
      </c>
      <c r="F2283" s="21">
        <v>10</v>
      </c>
      <c r="G2283" s="2" t="s">
        <v>8430</v>
      </c>
      <c r="H2283" s="23" t="s">
        <v>8565</v>
      </c>
      <c r="I2283" s="101" t="s">
        <v>8566</v>
      </c>
      <c r="J2283" s="2" t="s">
        <v>24</v>
      </c>
      <c r="K2283" s="2" t="s">
        <v>298</v>
      </c>
      <c r="M2283" s="2" t="s">
        <v>24</v>
      </c>
      <c r="N2283" s="2" t="s">
        <v>298</v>
      </c>
      <c r="P2283" s="51">
        <v>1</v>
      </c>
      <c r="Q2283" s="99" t="s">
        <v>8723</v>
      </c>
    </row>
    <row r="2284" spans="1:17">
      <c r="A2284" s="21">
        <v>30</v>
      </c>
      <c r="B2284" s="2" t="s">
        <v>8296</v>
      </c>
      <c r="C2284" s="21">
        <v>3</v>
      </c>
      <c r="D2284" s="2" t="s">
        <v>8408</v>
      </c>
      <c r="E2284" s="14">
        <v>0</v>
      </c>
      <c r="F2284" s="21">
        <v>11</v>
      </c>
      <c r="G2284" s="2" t="s">
        <v>8431</v>
      </c>
      <c r="H2284" s="23" t="s">
        <v>8567</v>
      </c>
      <c r="I2284" s="101" t="s">
        <v>8568</v>
      </c>
      <c r="J2284" s="2" t="s">
        <v>24</v>
      </c>
      <c r="K2284" s="2" t="s">
        <v>298</v>
      </c>
      <c r="M2284" s="2" t="s">
        <v>24</v>
      </c>
      <c r="N2284" s="2" t="s">
        <v>298</v>
      </c>
      <c r="P2284" s="51">
        <v>1</v>
      </c>
      <c r="Q2284" s="99" t="s">
        <v>8724</v>
      </c>
    </row>
    <row r="2285" spans="1:17">
      <c r="A2285" s="21">
        <v>30</v>
      </c>
      <c r="B2285" s="2" t="s">
        <v>8296</v>
      </c>
      <c r="C2285" s="21">
        <v>3</v>
      </c>
      <c r="D2285" s="2" t="s">
        <v>8408</v>
      </c>
      <c r="E2285" s="14">
        <v>0</v>
      </c>
      <c r="F2285" s="21">
        <v>12</v>
      </c>
      <c r="G2285" s="2" t="s">
        <v>8432</v>
      </c>
      <c r="H2285" s="23" t="s">
        <v>8569</v>
      </c>
      <c r="I2285" s="101" t="s">
        <v>8570</v>
      </c>
      <c r="J2285" s="2" t="s">
        <v>24</v>
      </c>
      <c r="K2285" s="2" t="s">
        <v>298</v>
      </c>
      <c r="M2285" s="2" t="s">
        <v>24</v>
      </c>
      <c r="N2285" s="2" t="s">
        <v>298</v>
      </c>
      <c r="P2285" s="51">
        <v>1</v>
      </c>
      <c r="Q2285" s="103" t="s">
        <v>6991</v>
      </c>
    </row>
    <row r="2286" spans="1:17">
      <c r="A2286" s="21">
        <v>30</v>
      </c>
      <c r="B2286" s="2" t="s">
        <v>8296</v>
      </c>
      <c r="C2286" s="21">
        <v>3</v>
      </c>
      <c r="D2286" s="2" t="s">
        <v>8408</v>
      </c>
      <c r="E2286" s="14">
        <v>0</v>
      </c>
      <c r="F2286" s="21">
        <v>13</v>
      </c>
      <c r="G2286" s="2" t="s">
        <v>6985</v>
      </c>
      <c r="H2286" s="23" t="s">
        <v>8571</v>
      </c>
      <c r="I2286" s="101" t="s">
        <v>8572</v>
      </c>
      <c r="J2286" s="2" t="s">
        <v>24</v>
      </c>
      <c r="K2286" s="2" t="s">
        <v>23</v>
      </c>
      <c r="M2286" s="2" t="s">
        <v>24</v>
      </c>
      <c r="N2286" s="2" t="s">
        <v>23</v>
      </c>
      <c r="P2286" s="51">
        <v>1</v>
      </c>
      <c r="Q2286" s="111" t="s">
        <v>8725</v>
      </c>
    </row>
    <row r="2287" spans="1:17">
      <c r="A2287" s="21">
        <v>30</v>
      </c>
      <c r="B2287" s="2" t="s">
        <v>8296</v>
      </c>
      <c r="C2287" s="21">
        <v>3</v>
      </c>
      <c r="D2287" s="2" t="s">
        <v>8408</v>
      </c>
      <c r="E2287" s="14">
        <v>0</v>
      </c>
      <c r="F2287" s="21">
        <v>14</v>
      </c>
      <c r="G2287" s="2" t="s">
        <v>6992</v>
      </c>
      <c r="H2287" s="23" t="s">
        <v>8573</v>
      </c>
      <c r="I2287" s="101" t="s">
        <v>8574</v>
      </c>
      <c r="J2287" s="2" t="s">
        <v>24</v>
      </c>
      <c r="K2287" s="2" t="s">
        <v>133</v>
      </c>
      <c r="M2287" s="2" t="s">
        <v>24</v>
      </c>
      <c r="N2287" s="2" t="s">
        <v>133</v>
      </c>
      <c r="P2287" s="51">
        <v>1</v>
      </c>
      <c r="Q2287" s="103" t="s">
        <v>8726</v>
      </c>
    </row>
    <row r="2288" spans="1:17">
      <c r="A2288" s="21">
        <v>30</v>
      </c>
      <c r="B2288" s="2" t="s">
        <v>8296</v>
      </c>
      <c r="C2288" s="21">
        <v>3</v>
      </c>
      <c r="D2288" s="2" t="s">
        <v>8408</v>
      </c>
      <c r="E2288" s="14">
        <v>0</v>
      </c>
      <c r="F2288" s="21">
        <v>15</v>
      </c>
      <c r="G2288" s="2" t="s">
        <v>6993</v>
      </c>
      <c r="H2288" s="23" t="s">
        <v>8575</v>
      </c>
      <c r="I2288" s="101" t="s">
        <v>8576</v>
      </c>
      <c r="J2288" s="2" t="s">
        <v>24</v>
      </c>
      <c r="K2288" s="2" t="s">
        <v>133</v>
      </c>
      <c r="M2288" s="2" t="s">
        <v>24</v>
      </c>
      <c r="N2288" s="2" t="s">
        <v>133</v>
      </c>
      <c r="P2288" s="51">
        <v>1</v>
      </c>
      <c r="Q2288" s="103" t="s">
        <v>8727</v>
      </c>
    </row>
    <row r="2289" spans="1:17">
      <c r="A2289" s="21">
        <v>30</v>
      </c>
      <c r="B2289" s="2" t="s">
        <v>8296</v>
      </c>
      <c r="C2289" s="21">
        <v>3</v>
      </c>
      <c r="D2289" s="2" t="s">
        <v>8408</v>
      </c>
      <c r="E2289" s="14">
        <v>0</v>
      </c>
      <c r="F2289" s="21">
        <v>16</v>
      </c>
      <c r="G2289" s="2" t="s">
        <v>7022</v>
      </c>
      <c r="H2289" s="23" t="s">
        <v>10673</v>
      </c>
      <c r="I2289" s="101" t="s">
        <v>10674</v>
      </c>
      <c r="J2289" s="2" t="s">
        <v>24</v>
      </c>
      <c r="K2289" s="2" t="s">
        <v>25</v>
      </c>
      <c r="L2289" s="2" t="s">
        <v>7413</v>
      </c>
      <c r="M2289" s="2" t="s">
        <v>24</v>
      </c>
      <c r="N2289" s="2" t="s">
        <v>25</v>
      </c>
      <c r="O2289" s="2" t="s">
        <v>6286</v>
      </c>
      <c r="P2289" s="51">
        <v>1</v>
      </c>
      <c r="Q2289" s="103" t="s">
        <v>7029</v>
      </c>
    </row>
    <row r="2290" spans="1:17">
      <c r="A2290" s="21">
        <v>30</v>
      </c>
      <c r="B2290" s="2" t="s">
        <v>8296</v>
      </c>
      <c r="C2290" s="21">
        <v>3</v>
      </c>
      <c r="D2290" s="2" t="s">
        <v>8408</v>
      </c>
      <c r="E2290" s="14">
        <v>0</v>
      </c>
      <c r="F2290" s="21">
        <v>17</v>
      </c>
      <c r="G2290" s="2" t="s">
        <v>8843</v>
      </c>
      <c r="H2290" s="23" t="s">
        <v>10830</v>
      </c>
      <c r="I2290" s="101" t="s">
        <v>10831</v>
      </c>
      <c r="J2290" s="2" t="s">
        <v>8105</v>
      </c>
      <c r="K2290" s="2" t="s">
        <v>4275</v>
      </c>
      <c r="L2290" s="16" t="s">
        <v>9342</v>
      </c>
      <c r="M2290" s="2" t="s">
        <v>8105</v>
      </c>
      <c r="N2290" s="2" t="s">
        <v>4275</v>
      </c>
      <c r="O2290" s="16" t="s">
        <v>8847</v>
      </c>
      <c r="P2290" s="7">
        <v>1</v>
      </c>
      <c r="Q2290" s="99" t="s">
        <v>8844</v>
      </c>
    </row>
    <row r="2291" spans="1:17">
      <c r="A2291" s="71">
        <v>30</v>
      </c>
      <c r="B2291" s="2" t="s">
        <v>8296</v>
      </c>
      <c r="C2291" s="71">
        <v>4</v>
      </c>
      <c r="D2291" s="2" t="s">
        <v>8409</v>
      </c>
      <c r="E2291" s="74">
        <v>0</v>
      </c>
      <c r="F2291" s="71">
        <v>0</v>
      </c>
      <c r="G2291" s="2" t="s">
        <v>20</v>
      </c>
      <c r="H2291" s="73" t="s">
        <v>8577</v>
      </c>
      <c r="I2291" s="76" t="s">
        <v>8586</v>
      </c>
      <c r="J2291" s="2" t="s">
        <v>24</v>
      </c>
      <c r="K2291" s="2" t="s">
        <v>25</v>
      </c>
      <c r="L2291" s="2" t="s">
        <v>26</v>
      </c>
      <c r="M2291" s="2" t="s">
        <v>24</v>
      </c>
      <c r="N2291" s="2" t="s">
        <v>25</v>
      </c>
      <c r="O2291" s="2" t="s">
        <v>26</v>
      </c>
      <c r="P2291" s="26">
        <v>0</v>
      </c>
      <c r="Q2291" s="1" t="s">
        <v>8728</v>
      </c>
    </row>
    <row r="2292" spans="1:17">
      <c r="A2292" s="71">
        <v>30</v>
      </c>
      <c r="B2292" s="2" t="s">
        <v>8296</v>
      </c>
      <c r="C2292" s="71">
        <v>4</v>
      </c>
      <c r="D2292" s="2" t="s">
        <v>8409</v>
      </c>
      <c r="E2292" s="74">
        <v>0</v>
      </c>
      <c r="F2292" s="71">
        <v>1</v>
      </c>
      <c r="G2292" s="2" t="s">
        <v>8843</v>
      </c>
      <c r="H2292" s="73" t="s">
        <v>8578</v>
      </c>
      <c r="I2292" s="100" t="s">
        <v>10832</v>
      </c>
      <c r="J2292" s="2" t="s">
        <v>8105</v>
      </c>
      <c r="K2292" s="2" t="s">
        <v>4275</v>
      </c>
      <c r="L2292" s="16" t="s">
        <v>9342</v>
      </c>
      <c r="M2292" s="2" t="s">
        <v>8105</v>
      </c>
      <c r="N2292" s="2" t="s">
        <v>4275</v>
      </c>
      <c r="O2292" s="16" t="s">
        <v>8847</v>
      </c>
      <c r="P2292" s="7">
        <v>0</v>
      </c>
      <c r="Q2292" s="99" t="s">
        <v>8844</v>
      </c>
    </row>
    <row r="2293" spans="1:17">
      <c r="A2293" s="71">
        <v>30</v>
      </c>
      <c r="B2293" s="2" t="s">
        <v>8296</v>
      </c>
      <c r="C2293" s="71">
        <v>4</v>
      </c>
      <c r="D2293" s="2" t="s">
        <v>8409</v>
      </c>
      <c r="E2293" s="74">
        <v>0</v>
      </c>
      <c r="F2293" s="71">
        <v>2</v>
      </c>
      <c r="G2293" s="2" t="s">
        <v>6090</v>
      </c>
      <c r="H2293" s="73" t="s">
        <v>8579</v>
      </c>
      <c r="I2293" s="100" t="s">
        <v>8588</v>
      </c>
      <c r="J2293" s="2" t="s">
        <v>24</v>
      </c>
      <c r="K2293" s="2" t="s">
        <v>23</v>
      </c>
      <c r="M2293" s="2" t="s">
        <v>24</v>
      </c>
      <c r="N2293" s="2" t="s">
        <v>23</v>
      </c>
      <c r="P2293" s="51">
        <v>0</v>
      </c>
      <c r="Q2293" s="107" t="s">
        <v>7383</v>
      </c>
    </row>
    <row r="2294" spans="1:17">
      <c r="A2294" s="71">
        <v>30</v>
      </c>
      <c r="B2294" s="2" t="s">
        <v>8296</v>
      </c>
      <c r="C2294" s="71">
        <v>4</v>
      </c>
      <c r="D2294" s="2" t="s">
        <v>8409</v>
      </c>
      <c r="E2294" s="74">
        <v>0</v>
      </c>
      <c r="F2294" s="71">
        <v>3</v>
      </c>
      <c r="G2294" s="2" t="s">
        <v>8433</v>
      </c>
      <c r="H2294" s="73" t="s">
        <v>8580</v>
      </c>
      <c r="I2294" s="100" t="s">
        <v>8590</v>
      </c>
      <c r="J2294" s="2" t="s">
        <v>24</v>
      </c>
      <c r="K2294" s="2" t="s">
        <v>23</v>
      </c>
      <c r="M2294" s="2" t="s">
        <v>24</v>
      </c>
      <c r="N2294" s="2" t="s">
        <v>23</v>
      </c>
      <c r="P2294" s="51">
        <v>0</v>
      </c>
      <c r="Q2294" s="107" t="s">
        <v>7182</v>
      </c>
    </row>
    <row r="2295" spans="1:17">
      <c r="A2295" s="71">
        <v>30</v>
      </c>
      <c r="B2295" s="2" t="s">
        <v>8296</v>
      </c>
      <c r="C2295" s="71">
        <v>4</v>
      </c>
      <c r="D2295" s="2" t="s">
        <v>8409</v>
      </c>
      <c r="E2295" s="74">
        <v>0</v>
      </c>
      <c r="F2295" s="71">
        <v>4</v>
      </c>
      <c r="G2295" s="2" t="s">
        <v>7281</v>
      </c>
      <c r="H2295" s="73" t="s">
        <v>8581</v>
      </c>
      <c r="I2295" s="100" t="s">
        <v>8592</v>
      </c>
      <c r="J2295" s="2" t="s">
        <v>24</v>
      </c>
      <c r="K2295" s="2" t="s">
        <v>116</v>
      </c>
      <c r="L2295" s="16" t="s">
        <v>7384</v>
      </c>
      <c r="M2295" s="2" t="s">
        <v>24</v>
      </c>
      <c r="N2295" s="2" t="s">
        <v>116</v>
      </c>
      <c r="O2295" s="16" t="s">
        <v>7384</v>
      </c>
      <c r="P2295" s="51">
        <v>0</v>
      </c>
      <c r="Q2295" s="107" t="s">
        <v>8729</v>
      </c>
    </row>
    <row r="2296" spans="1:17">
      <c r="A2296" s="71">
        <v>30</v>
      </c>
      <c r="B2296" s="2" t="s">
        <v>8296</v>
      </c>
      <c r="C2296" s="71">
        <v>4</v>
      </c>
      <c r="D2296" s="2" t="s">
        <v>8409</v>
      </c>
      <c r="E2296" s="74">
        <v>0</v>
      </c>
      <c r="F2296" s="71">
        <v>5</v>
      </c>
      <c r="G2296" s="2" t="s">
        <v>7282</v>
      </c>
      <c r="H2296" s="73" t="s">
        <v>8582</v>
      </c>
      <c r="I2296" s="100" t="s">
        <v>8594</v>
      </c>
      <c r="J2296" s="2" t="s">
        <v>24</v>
      </c>
      <c r="K2296" s="2" t="s">
        <v>116</v>
      </c>
      <c r="L2296" s="16" t="s">
        <v>7386</v>
      </c>
      <c r="M2296" s="2" t="s">
        <v>24</v>
      </c>
      <c r="N2296" s="2" t="s">
        <v>116</v>
      </c>
      <c r="O2296" s="16" t="s">
        <v>7386</v>
      </c>
      <c r="P2296" s="51">
        <v>0</v>
      </c>
      <c r="Q2296" s="107" t="s">
        <v>8730</v>
      </c>
    </row>
    <row r="2297" spans="1:17">
      <c r="A2297" s="71">
        <v>30</v>
      </c>
      <c r="B2297" s="2" t="s">
        <v>8296</v>
      </c>
      <c r="C2297" s="71">
        <v>4</v>
      </c>
      <c r="D2297" s="2" t="s">
        <v>8409</v>
      </c>
      <c r="E2297" s="74">
        <v>0</v>
      </c>
      <c r="F2297" s="71">
        <v>6</v>
      </c>
      <c r="G2297" s="2" t="s">
        <v>7380</v>
      </c>
      <c r="H2297" s="73" t="s">
        <v>8583</v>
      </c>
      <c r="I2297" s="100" t="s">
        <v>8596</v>
      </c>
      <c r="J2297" s="2" t="s">
        <v>24</v>
      </c>
      <c r="K2297" s="2" t="s">
        <v>23</v>
      </c>
      <c r="M2297" s="2" t="s">
        <v>24</v>
      </c>
      <c r="N2297" s="2" t="s">
        <v>23</v>
      </c>
      <c r="P2297" s="26">
        <v>0</v>
      </c>
      <c r="Q2297" s="99" t="s">
        <v>7387</v>
      </c>
    </row>
    <row r="2298" spans="1:17">
      <c r="A2298" s="71">
        <v>30</v>
      </c>
      <c r="B2298" s="2" t="s">
        <v>8296</v>
      </c>
      <c r="C2298" s="71">
        <v>4</v>
      </c>
      <c r="D2298" s="2" t="s">
        <v>8409</v>
      </c>
      <c r="E2298" s="74">
        <v>0</v>
      </c>
      <c r="F2298" s="71">
        <v>7</v>
      </c>
      <c r="G2298" s="2" t="s">
        <v>6660</v>
      </c>
      <c r="H2298" s="73" t="s">
        <v>8584</v>
      </c>
      <c r="I2298" s="100" t="s">
        <v>8598</v>
      </c>
      <c r="J2298" s="2" t="s">
        <v>24</v>
      </c>
      <c r="K2298" s="2" t="s">
        <v>133</v>
      </c>
      <c r="M2298" s="2" t="s">
        <v>24</v>
      </c>
      <c r="N2298" s="2" t="s">
        <v>133</v>
      </c>
      <c r="P2298" s="26">
        <v>0</v>
      </c>
      <c r="Q2298" s="99" t="s">
        <v>8731</v>
      </c>
    </row>
    <row r="2299" spans="1:17">
      <c r="A2299" s="71">
        <v>30</v>
      </c>
      <c r="B2299" s="2" t="s">
        <v>8296</v>
      </c>
      <c r="C2299" s="71">
        <v>4</v>
      </c>
      <c r="D2299" s="2" t="s">
        <v>8409</v>
      </c>
      <c r="E2299" s="74">
        <v>0</v>
      </c>
      <c r="F2299" s="71">
        <v>8</v>
      </c>
      <c r="G2299" s="2" t="s">
        <v>273</v>
      </c>
      <c r="H2299" s="73" t="s">
        <v>10833</v>
      </c>
      <c r="I2299" s="100" t="s">
        <v>8600</v>
      </c>
      <c r="J2299" s="2" t="s">
        <v>24</v>
      </c>
      <c r="K2299" s="2" t="s">
        <v>139</v>
      </c>
      <c r="M2299" s="2" t="s">
        <v>24</v>
      </c>
      <c r="N2299" s="2" t="s">
        <v>139</v>
      </c>
      <c r="P2299" s="26">
        <v>0</v>
      </c>
      <c r="Q2299" s="99" t="s">
        <v>8732</v>
      </c>
    </row>
    <row r="2300" spans="1:17">
      <c r="A2300" s="71">
        <v>30</v>
      </c>
      <c r="B2300" s="2" t="s">
        <v>8296</v>
      </c>
      <c r="C2300" s="71">
        <v>5</v>
      </c>
      <c r="D2300" s="2" t="s">
        <v>8410</v>
      </c>
      <c r="E2300" s="74">
        <v>0</v>
      </c>
      <c r="F2300" s="71">
        <v>0</v>
      </c>
      <c r="G2300" s="2" t="s">
        <v>20</v>
      </c>
      <c r="H2300" s="73" t="s">
        <v>8585</v>
      </c>
      <c r="I2300" s="76" t="s">
        <v>8602</v>
      </c>
      <c r="J2300" s="2" t="s">
        <v>24</v>
      </c>
      <c r="K2300" s="2" t="s">
        <v>25</v>
      </c>
      <c r="L2300" s="2" t="s">
        <v>26</v>
      </c>
      <c r="M2300" s="2" t="s">
        <v>24</v>
      </c>
      <c r="N2300" s="2" t="s">
        <v>25</v>
      </c>
      <c r="O2300" s="2" t="s">
        <v>26</v>
      </c>
      <c r="P2300" s="26">
        <v>0</v>
      </c>
      <c r="Q2300" s="1" t="s">
        <v>8733</v>
      </c>
    </row>
    <row r="2301" spans="1:17">
      <c r="A2301" s="71">
        <v>30</v>
      </c>
      <c r="B2301" s="2" t="s">
        <v>8296</v>
      </c>
      <c r="C2301" s="71">
        <v>5</v>
      </c>
      <c r="D2301" s="2" t="s">
        <v>8410</v>
      </c>
      <c r="E2301" s="74">
        <v>0</v>
      </c>
      <c r="F2301" s="71">
        <v>1</v>
      </c>
      <c r="G2301" s="2" t="s">
        <v>8843</v>
      </c>
      <c r="H2301" s="73" t="s">
        <v>8587</v>
      </c>
      <c r="I2301" s="100" t="s">
        <v>8850</v>
      </c>
      <c r="J2301" s="2" t="s">
        <v>8105</v>
      </c>
      <c r="K2301" s="2" t="s">
        <v>4275</v>
      </c>
      <c r="L2301" s="16" t="s">
        <v>9342</v>
      </c>
      <c r="M2301" s="2" t="s">
        <v>8105</v>
      </c>
      <c r="N2301" s="2" t="s">
        <v>4275</v>
      </c>
      <c r="O2301" s="16" t="s">
        <v>8847</v>
      </c>
      <c r="P2301" s="7">
        <v>0</v>
      </c>
      <c r="Q2301" s="99" t="s">
        <v>8844</v>
      </c>
    </row>
    <row r="2302" spans="1:17">
      <c r="A2302" s="71">
        <v>30</v>
      </c>
      <c r="B2302" s="2" t="s">
        <v>8296</v>
      </c>
      <c r="C2302" s="71">
        <v>5</v>
      </c>
      <c r="D2302" s="2" t="s">
        <v>8410</v>
      </c>
      <c r="E2302" s="74">
        <v>0</v>
      </c>
      <c r="F2302" s="71">
        <v>2</v>
      </c>
      <c r="G2302" s="2" t="s">
        <v>8301</v>
      </c>
      <c r="H2302" s="73" t="s">
        <v>8589</v>
      </c>
      <c r="I2302" s="100" t="s">
        <v>8604</v>
      </c>
      <c r="J2302" s="2" t="s">
        <v>24</v>
      </c>
      <c r="K2302" s="2" t="s">
        <v>23</v>
      </c>
      <c r="M2302" s="2" t="s">
        <v>24</v>
      </c>
      <c r="N2302" s="2" t="s">
        <v>23</v>
      </c>
      <c r="P2302" s="26">
        <v>0</v>
      </c>
      <c r="Q2302" s="99" t="s">
        <v>6862</v>
      </c>
    </row>
    <row r="2303" spans="1:17">
      <c r="A2303" s="71">
        <v>30</v>
      </c>
      <c r="B2303" s="2" t="s">
        <v>8296</v>
      </c>
      <c r="C2303" s="71">
        <v>5</v>
      </c>
      <c r="D2303" s="2" t="s">
        <v>8410</v>
      </c>
      <c r="E2303" s="74">
        <v>0</v>
      </c>
      <c r="F2303" s="71">
        <v>3</v>
      </c>
      <c r="G2303" s="2" t="s">
        <v>6090</v>
      </c>
      <c r="H2303" s="73" t="s">
        <v>8591</v>
      </c>
      <c r="I2303" s="100" t="s">
        <v>8606</v>
      </c>
      <c r="J2303" s="2" t="s">
        <v>24</v>
      </c>
      <c r="K2303" s="2" t="s">
        <v>23</v>
      </c>
      <c r="M2303" s="2" t="s">
        <v>24</v>
      </c>
      <c r="N2303" s="2" t="s">
        <v>23</v>
      </c>
      <c r="P2303" s="26">
        <v>0</v>
      </c>
      <c r="Q2303" s="99" t="s">
        <v>7409</v>
      </c>
    </row>
    <row r="2304" spans="1:17">
      <c r="A2304" s="71">
        <v>30</v>
      </c>
      <c r="B2304" s="2" t="s">
        <v>8296</v>
      </c>
      <c r="C2304" s="71">
        <v>5</v>
      </c>
      <c r="D2304" s="2" t="s">
        <v>8410</v>
      </c>
      <c r="E2304" s="74">
        <v>0</v>
      </c>
      <c r="F2304" s="71">
        <v>4</v>
      </c>
      <c r="G2304" s="2" t="s">
        <v>6660</v>
      </c>
      <c r="H2304" s="73" t="s">
        <v>8593</v>
      </c>
      <c r="I2304" s="100" t="s">
        <v>8608</v>
      </c>
      <c r="J2304" s="2" t="s">
        <v>24</v>
      </c>
      <c r="K2304" s="2" t="s">
        <v>133</v>
      </c>
      <c r="M2304" s="2" t="s">
        <v>24</v>
      </c>
      <c r="N2304" s="2" t="s">
        <v>133</v>
      </c>
      <c r="P2304" s="7">
        <v>0</v>
      </c>
      <c r="Q2304" s="99" t="s">
        <v>8734</v>
      </c>
    </row>
    <row r="2305" spans="1:18">
      <c r="A2305" s="71">
        <v>30</v>
      </c>
      <c r="B2305" s="2" t="s">
        <v>8296</v>
      </c>
      <c r="C2305" s="71">
        <v>5</v>
      </c>
      <c r="D2305" s="2" t="s">
        <v>8410</v>
      </c>
      <c r="E2305" s="74">
        <v>0</v>
      </c>
      <c r="F2305" s="71">
        <v>5</v>
      </c>
      <c r="G2305" s="2" t="s">
        <v>6860</v>
      </c>
      <c r="H2305" s="73" t="s">
        <v>8595</v>
      </c>
      <c r="I2305" s="100" t="s">
        <v>8610</v>
      </c>
      <c r="J2305" s="2" t="s">
        <v>24</v>
      </c>
      <c r="K2305" s="2" t="s">
        <v>263</v>
      </c>
      <c r="M2305" s="2" t="s">
        <v>24</v>
      </c>
      <c r="N2305" s="2" t="s">
        <v>263</v>
      </c>
      <c r="P2305" s="7">
        <v>0</v>
      </c>
      <c r="Q2305" s="99" t="s">
        <v>7488</v>
      </c>
    </row>
    <row r="2306" spans="1:18">
      <c r="A2306" s="71">
        <v>30</v>
      </c>
      <c r="B2306" s="2" t="s">
        <v>8296</v>
      </c>
      <c r="C2306" s="71">
        <v>5</v>
      </c>
      <c r="D2306" s="2" t="s">
        <v>8410</v>
      </c>
      <c r="E2306" s="74">
        <v>0</v>
      </c>
      <c r="F2306" s="71">
        <v>6</v>
      </c>
      <c r="G2306" s="2" t="s">
        <v>8434</v>
      </c>
      <c r="H2306" s="73" t="s">
        <v>8597</v>
      </c>
      <c r="I2306" s="100" t="s">
        <v>8612</v>
      </c>
      <c r="J2306" s="2" t="s">
        <v>24</v>
      </c>
      <c r="K2306" s="2" t="s">
        <v>133</v>
      </c>
      <c r="M2306" s="2" t="s">
        <v>24</v>
      </c>
      <c r="N2306" s="2" t="s">
        <v>133</v>
      </c>
      <c r="P2306" s="7">
        <v>0</v>
      </c>
      <c r="Q2306" s="99" t="s">
        <v>8735</v>
      </c>
      <c r="R2306" s="2" t="s">
        <v>8736</v>
      </c>
    </row>
    <row r="2307" spans="1:18">
      <c r="A2307" s="71">
        <v>30</v>
      </c>
      <c r="B2307" s="2" t="s">
        <v>8296</v>
      </c>
      <c r="C2307" s="71">
        <v>5</v>
      </c>
      <c r="D2307" s="2" t="s">
        <v>8410</v>
      </c>
      <c r="E2307" s="74">
        <v>0</v>
      </c>
      <c r="F2307" s="71">
        <v>7</v>
      </c>
      <c r="G2307" s="2" t="s">
        <v>8435</v>
      </c>
      <c r="H2307" s="73" t="s">
        <v>8599</v>
      </c>
      <c r="I2307" s="100" t="s">
        <v>8614</v>
      </c>
      <c r="J2307" s="2" t="s">
        <v>24</v>
      </c>
      <c r="K2307" s="2" t="s">
        <v>133</v>
      </c>
      <c r="M2307" s="2" t="s">
        <v>24</v>
      </c>
      <c r="N2307" s="2" t="s">
        <v>133</v>
      </c>
      <c r="P2307" s="7">
        <v>0</v>
      </c>
      <c r="Q2307" s="99" t="s">
        <v>8737</v>
      </c>
      <c r="R2307" s="2" t="s">
        <v>8738</v>
      </c>
    </row>
    <row r="2308" spans="1:18">
      <c r="A2308" s="71">
        <v>30</v>
      </c>
      <c r="B2308" s="2" t="s">
        <v>8296</v>
      </c>
      <c r="C2308" s="71">
        <v>5</v>
      </c>
      <c r="D2308" s="2" t="s">
        <v>8410</v>
      </c>
      <c r="E2308" s="74">
        <v>0</v>
      </c>
      <c r="F2308" s="71">
        <v>8</v>
      </c>
      <c r="G2308" s="2" t="s">
        <v>8436</v>
      </c>
      <c r="H2308" s="73" t="s">
        <v>9412</v>
      </c>
      <c r="I2308" s="100" t="s">
        <v>8616</v>
      </c>
      <c r="J2308" s="2" t="s">
        <v>24</v>
      </c>
      <c r="K2308" s="2" t="s">
        <v>133</v>
      </c>
      <c r="M2308" s="2" t="s">
        <v>24</v>
      </c>
      <c r="N2308" s="2" t="s">
        <v>133</v>
      </c>
      <c r="P2308" s="7">
        <v>0</v>
      </c>
      <c r="Q2308" s="99" t="s">
        <v>8739</v>
      </c>
      <c r="R2308" s="2" t="s">
        <v>8740</v>
      </c>
    </row>
    <row r="2309" spans="1:18" ht="45">
      <c r="A2309" s="71">
        <v>30</v>
      </c>
      <c r="B2309" s="2" t="s">
        <v>8296</v>
      </c>
      <c r="C2309" s="71">
        <v>5</v>
      </c>
      <c r="D2309" s="2" t="s">
        <v>8410</v>
      </c>
      <c r="E2309" s="74">
        <v>0</v>
      </c>
      <c r="F2309" s="71">
        <v>9</v>
      </c>
      <c r="G2309" s="2" t="s">
        <v>8437</v>
      </c>
      <c r="H2309" s="73" t="s">
        <v>9413</v>
      </c>
      <c r="I2309" s="100" t="s">
        <v>8618</v>
      </c>
      <c r="J2309" s="2" t="s">
        <v>24</v>
      </c>
      <c r="K2309" s="2" t="s">
        <v>133</v>
      </c>
      <c r="M2309" s="2" t="s">
        <v>24</v>
      </c>
      <c r="N2309" s="2" t="s">
        <v>133</v>
      </c>
      <c r="P2309" s="7">
        <v>0</v>
      </c>
      <c r="Q2309" s="99" t="s">
        <v>8741</v>
      </c>
      <c r="R2309" s="6" t="s">
        <v>8742</v>
      </c>
    </row>
    <row r="2310" spans="1:18">
      <c r="A2310" s="71">
        <v>30</v>
      </c>
      <c r="B2310" s="2" t="s">
        <v>8296</v>
      </c>
      <c r="C2310" s="71">
        <v>5</v>
      </c>
      <c r="D2310" s="2" t="s">
        <v>8410</v>
      </c>
      <c r="E2310" s="74">
        <v>0</v>
      </c>
      <c r="F2310" s="71">
        <v>10</v>
      </c>
      <c r="G2310" s="2" t="s">
        <v>8438</v>
      </c>
      <c r="H2310" s="73" t="s">
        <v>9414</v>
      </c>
      <c r="I2310" s="100" t="s">
        <v>8620</v>
      </c>
      <c r="J2310" s="2" t="s">
        <v>24</v>
      </c>
      <c r="K2310" s="2" t="s">
        <v>121</v>
      </c>
      <c r="M2310" s="2" t="s">
        <v>24</v>
      </c>
      <c r="N2310" s="2" t="s">
        <v>121</v>
      </c>
      <c r="P2310" s="7">
        <v>0</v>
      </c>
      <c r="Q2310" s="103" t="s">
        <v>8743</v>
      </c>
      <c r="R2310" s="2" t="s">
        <v>8744</v>
      </c>
    </row>
    <row r="2311" spans="1:18">
      <c r="A2311" s="71">
        <v>30</v>
      </c>
      <c r="B2311" s="2" t="s">
        <v>8296</v>
      </c>
      <c r="C2311" s="71">
        <v>5</v>
      </c>
      <c r="D2311" s="2" t="s">
        <v>8410</v>
      </c>
      <c r="E2311" s="74">
        <v>0</v>
      </c>
      <c r="F2311" s="71">
        <v>11</v>
      </c>
      <c r="G2311" s="2" t="s">
        <v>9125</v>
      </c>
      <c r="H2311" s="73" t="s">
        <v>9415</v>
      </c>
      <c r="I2311" s="100" t="s">
        <v>9127</v>
      </c>
      <c r="J2311" s="2" t="s">
        <v>24</v>
      </c>
      <c r="K2311" s="2" t="s">
        <v>335</v>
      </c>
      <c r="M2311" s="2" t="s">
        <v>24</v>
      </c>
      <c r="N2311" s="2" t="s">
        <v>335</v>
      </c>
      <c r="P2311" s="7">
        <v>0</v>
      </c>
      <c r="Q2311" s="99" t="s">
        <v>9128</v>
      </c>
    </row>
    <row r="2312" spans="1:18">
      <c r="A2312" s="71">
        <v>30</v>
      </c>
      <c r="B2312" s="2" t="s">
        <v>8296</v>
      </c>
      <c r="C2312" s="71">
        <v>5</v>
      </c>
      <c r="D2312" s="2" t="s">
        <v>8410</v>
      </c>
      <c r="E2312" s="74">
        <v>0</v>
      </c>
      <c r="F2312" s="71">
        <v>12</v>
      </c>
      <c r="G2312" s="2" t="s">
        <v>2541</v>
      </c>
      <c r="H2312" s="73" t="s">
        <v>10799</v>
      </c>
      <c r="I2312" s="100" t="s">
        <v>10800</v>
      </c>
      <c r="J2312" s="2" t="s">
        <v>24</v>
      </c>
      <c r="K2312" s="2" t="s">
        <v>335</v>
      </c>
      <c r="M2312" s="2" t="s">
        <v>24</v>
      </c>
      <c r="N2312" s="2" t="s">
        <v>335</v>
      </c>
      <c r="P2312" s="7">
        <v>0</v>
      </c>
      <c r="Q2312" s="99" t="s">
        <v>10797</v>
      </c>
    </row>
    <row r="2313" spans="1:18">
      <c r="A2313" s="71">
        <v>30</v>
      </c>
      <c r="B2313" s="2" t="s">
        <v>8296</v>
      </c>
      <c r="C2313" s="71">
        <v>5</v>
      </c>
      <c r="D2313" s="2" t="s">
        <v>8410</v>
      </c>
      <c r="E2313" s="74">
        <v>0</v>
      </c>
      <c r="F2313" s="71">
        <v>13</v>
      </c>
      <c r="G2313" s="2" t="s">
        <v>10630</v>
      </c>
      <c r="H2313" s="73" t="s">
        <v>10801</v>
      </c>
      <c r="I2313" s="100" t="s">
        <v>10802</v>
      </c>
      <c r="J2313" s="2" t="s">
        <v>24</v>
      </c>
      <c r="K2313" s="2" t="s">
        <v>133</v>
      </c>
      <c r="M2313" s="2" t="s">
        <v>24</v>
      </c>
      <c r="N2313" s="2" t="s">
        <v>133</v>
      </c>
      <c r="P2313" s="7">
        <v>0</v>
      </c>
      <c r="Q2313" s="99" t="s">
        <v>10798</v>
      </c>
    </row>
    <row r="2314" spans="1:18">
      <c r="A2314" s="71">
        <v>30</v>
      </c>
      <c r="B2314" s="2" t="s">
        <v>8296</v>
      </c>
      <c r="C2314" s="71">
        <v>6</v>
      </c>
      <c r="D2314" s="2" t="s">
        <v>8411</v>
      </c>
      <c r="E2314" s="74">
        <v>0</v>
      </c>
      <c r="F2314" s="71">
        <v>0</v>
      </c>
      <c r="G2314" s="2" t="s">
        <v>20</v>
      </c>
      <c r="H2314" s="73" t="s">
        <v>8601</v>
      </c>
      <c r="I2314" s="76" t="s">
        <v>8622</v>
      </c>
      <c r="J2314" s="2" t="s">
        <v>24</v>
      </c>
      <c r="K2314" s="2" t="s">
        <v>25</v>
      </c>
      <c r="L2314" s="2" t="s">
        <v>26</v>
      </c>
      <c r="M2314" s="2" t="s">
        <v>24</v>
      </c>
      <c r="N2314" s="2" t="s">
        <v>25</v>
      </c>
      <c r="O2314" s="2" t="s">
        <v>26</v>
      </c>
      <c r="P2314" s="26">
        <v>0</v>
      </c>
      <c r="Q2314" s="1" t="s">
        <v>8745</v>
      </c>
    </row>
    <row r="2315" spans="1:18">
      <c r="A2315" s="71">
        <v>30</v>
      </c>
      <c r="B2315" s="2" t="s">
        <v>8296</v>
      </c>
      <c r="C2315" s="71">
        <v>6</v>
      </c>
      <c r="D2315" s="2" t="s">
        <v>8411</v>
      </c>
      <c r="E2315" s="74">
        <v>0</v>
      </c>
      <c r="F2315" s="71">
        <v>1</v>
      </c>
      <c r="G2315" s="2" t="s">
        <v>8843</v>
      </c>
      <c r="H2315" s="73" t="s">
        <v>8603</v>
      </c>
      <c r="I2315" s="100" t="s">
        <v>10836</v>
      </c>
      <c r="J2315" s="2" t="s">
        <v>8105</v>
      </c>
      <c r="K2315" s="2" t="s">
        <v>4275</v>
      </c>
      <c r="L2315" s="16" t="s">
        <v>9342</v>
      </c>
      <c r="M2315" s="2" t="s">
        <v>8105</v>
      </c>
      <c r="N2315" s="2" t="s">
        <v>4275</v>
      </c>
      <c r="O2315" s="16" t="s">
        <v>8847</v>
      </c>
      <c r="P2315" s="7">
        <v>0</v>
      </c>
      <c r="Q2315" s="99" t="s">
        <v>8844</v>
      </c>
    </row>
    <row r="2316" spans="1:18">
      <c r="A2316" s="71">
        <v>30</v>
      </c>
      <c r="B2316" s="2" t="s">
        <v>8296</v>
      </c>
      <c r="C2316" s="71">
        <v>6</v>
      </c>
      <c r="D2316" s="2" t="s">
        <v>8411</v>
      </c>
      <c r="E2316" s="74">
        <v>0</v>
      </c>
      <c r="F2316" s="71">
        <v>2</v>
      </c>
      <c r="G2316" s="2" t="s">
        <v>8301</v>
      </c>
      <c r="H2316" s="73" t="s">
        <v>8605</v>
      </c>
      <c r="I2316" s="100" t="s">
        <v>8624</v>
      </c>
      <c r="J2316" s="2" t="s">
        <v>24</v>
      </c>
      <c r="K2316" s="2" t="s">
        <v>23</v>
      </c>
      <c r="M2316" s="2" t="s">
        <v>24</v>
      </c>
      <c r="N2316" s="2" t="s">
        <v>23</v>
      </c>
      <c r="P2316" s="7">
        <v>0</v>
      </c>
      <c r="Q2316" s="99" t="s">
        <v>6862</v>
      </c>
    </row>
    <row r="2317" spans="1:18">
      <c r="A2317" s="71">
        <v>30</v>
      </c>
      <c r="B2317" s="2" t="s">
        <v>8296</v>
      </c>
      <c r="C2317" s="71">
        <v>6</v>
      </c>
      <c r="D2317" s="2" t="s">
        <v>8411</v>
      </c>
      <c r="E2317" s="74">
        <v>0</v>
      </c>
      <c r="F2317" s="71">
        <v>3</v>
      </c>
      <c r="G2317" s="2" t="s">
        <v>8439</v>
      </c>
      <c r="H2317" s="73" t="s">
        <v>8607</v>
      </c>
      <c r="I2317" s="100" t="s">
        <v>8626</v>
      </c>
      <c r="J2317" s="2" t="s">
        <v>24</v>
      </c>
      <c r="K2317" s="2" t="s">
        <v>133</v>
      </c>
      <c r="M2317" s="2" t="s">
        <v>24</v>
      </c>
      <c r="N2317" s="2" t="s">
        <v>133</v>
      </c>
      <c r="P2317" s="7">
        <v>0</v>
      </c>
      <c r="Q2317" s="99" t="s">
        <v>8746</v>
      </c>
      <c r="R2317" s="2" t="s">
        <v>8747</v>
      </c>
    </row>
    <row r="2318" spans="1:18">
      <c r="A2318" s="71">
        <v>30</v>
      </c>
      <c r="B2318" s="2" t="s">
        <v>8296</v>
      </c>
      <c r="C2318" s="71">
        <v>6</v>
      </c>
      <c r="D2318" s="2" t="s">
        <v>8411</v>
      </c>
      <c r="E2318" s="74">
        <v>0</v>
      </c>
      <c r="F2318" s="71">
        <v>4</v>
      </c>
      <c r="G2318" s="2" t="s">
        <v>8440</v>
      </c>
      <c r="H2318" s="73" t="s">
        <v>8609</v>
      </c>
      <c r="I2318" s="100" t="s">
        <v>8628</v>
      </c>
      <c r="J2318" s="2" t="s">
        <v>24</v>
      </c>
      <c r="K2318" s="2" t="s">
        <v>263</v>
      </c>
      <c r="M2318" s="2" t="s">
        <v>24</v>
      </c>
      <c r="N2318" s="2" t="s">
        <v>263</v>
      </c>
      <c r="P2318" s="7">
        <v>0</v>
      </c>
      <c r="Q2318" s="99" t="s">
        <v>8748</v>
      </c>
    </row>
    <row r="2319" spans="1:18">
      <c r="A2319" s="71">
        <v>30</v>
      </c>
      <c r="B2319" s="2" t="s">
        <v>8296</v>
      </c>
      <c r="C2319" s="71">
        <v>6</v>
      </c>
      <c r="D2319" s="2" t="s">
        <v>8411</v>
      </c>
      <c r="E2319" s="74">
        <v>0</v>
      </c>
      <c r="F2319" s="71">
        <v>5</v>
      </c>
      <c r="G2319" s="2" t="s">
        <v>8441</v>
      </c>
      <c r="H2319" s="73" t="s">
        <v>8611</v>
      </c>
      <c r="I2319" s="100" t="s">
        <v>8630</v>
      </c>
      <c r="J2319" s="2" t="s">
        <v>24</v>
      </c>
      <c r="K2319" s="2" t="s">
        <v>133</v>
      </c>
      <c r="M2319" s="2" t="s">
        <v>24</v>
      </c>
      <c r="N2319" s="2" t="s">
        <v>133</v>
      </c>
      <c r="P2319" s="7">
        <v>0</v>
      </c>
      <c r="Q2319" s="99" t="s">
        <v>8749</v>
      </c>
    </row>
    <row r="2320" spans="1:18">
      <c r="A2320" s="71">
        <v>30</v>
      </c>
      <c r="B2320" s="2" t="s">
        <v>8296</v>
      </c>
      <c r="C2320" s="71">
        <v>6</v>
      </c>
      <c r="D2320" s="2" t="s">
        <v>8411</v>
      </c>
      <c r="E2320" s="74">
        <v>0</v>
      </c>
      <c r="F2320" s="71">
        <v>6</v>
      </c>
      <c r="G2320" s="2" t="s">
        <v>8442</v>
      </c>
      <c r="H2320" s="73" t="s">
        <v>8613</v>
      </c>
      <c r="I2320" s="100" t="s">
        <v>8632</v>
      </c>
      <c r="J2320" s="2" t="s">
        <v>24</v>
      </c>
      <c r="K2320" s="2" t="s">
        <v>263</v>
      </c>
      <c r="M2320" s="2" t="s">
        <v>24</v>
      </c>
      <c r="N2320" s="2" t="s">
        <v>263</v>
      </c>
      <c r="P2320" s="7">
        <v>0</v>
      </c>
      <c r="Q2320" s="99" t="s">
        <v>8750</v>
      </c>
    </row>
    <row r="2321" spans="1:18">
      <c r="A2321" s="71">
        <v>30</v>
      </c>
      <c r="B2321" s="2" t="s">
        <v>8296</v>
      </c>
      <c r="C2321" s="71">
        <v>6</v>
      </c>
      <c r="D2321" s="2" t="s">
        <v>8411</v>
      </c>
      <c r="E2321" s="74">
        <v>0</v>
      </c>
      <c r="F2321" s="71">
        <v>7</v>
      </c>
      <c r="G2321" s="2" t="s">
        <v>8443</v>
      </c>
      <c r="H2321" s="73" t="s">
        <v>8615</v>
      </c>
      <c r="I2321" s="100" t="s">
        <v>8634</v>
      </c>
      <c r="J2321" s="2" t="s">
        <v>24</v>
      </c>
      <c r="K2321" s="2" t="s">
        <v>23</v>
      </c>
      <c r="M2321" s="2" t="s">
        <v>24</v>
      </c>
      <c r="N2321" s="2" t="s">
        <v>23</v>
      </c>
      <c r="P2321" s="7">
        <v>0</v>
      </c>
      <c r="Q2321" s="99" t="s">
        <v>8751</v>
      </c>
    </row>
    <row r="2322" spans="1:18">
      <c r="A2322" s="71">
        <v>30</v>
      </c>
      <c r="B2322" s="2" t="s">
        <v>8296</v>
      </c>
      <c r="C2322" s="71">
        <v>6</v>
      </c>
      <c r="D2322" s="2" t="s">
        <v>8411</v>
      </c>
      <c r="E2322" s="74">
        <v>0</v>
      </c>
      <c r="F2322" s="71">
        <v>8</v>
      </c>
      <c r="G2322" s="2" t="s">
        <v>7171</v>
      </c>
      <c r="H2322" s="73" t="s">
        <v>8617</v>
      </c>
      <c r="I2322" s="100" t="s">
        <v>8636</v>
      </c>
      <c r="J2322" s="2" t="s">
        <v>24</v>
      </c>
      <c r="K2322" s="2" t="s">
        <v>25</v>
      </c>
      <c r="L2322" s="2" t="s">
        <v>8752</v>
      </c>
      <c r="M2322" s="2" t="s">
        <v>24</v>
      </c>
      <c r="N2322" s="2" t="s">
        <v>25</v>
      </c>
      <c r="O2322" s="2" t="s">
        <v>8752</v>
      </c>
      <c r="P2322" s="7">
        <v>0</v>
      </c>
      <c r="Q2322" s="99" t="s">
        <v>8753</v>
      </c>
    </row>
    <row r="2323" spans="1:18">
      <c r="A2323" s="71">
        <v>30</v>
      </c>
      <c r="B2323" s="2" t="s">
        <v>8296</v>
      </c>
      <c r="C2323" s="71">
        <v>6</v>
      </c>
      <c r="D2323" s="2" t="s">
        <v>8411</v>
      </c>
      <c r="E2323" s="74">
        <v>0</v>
      </c>
      <c r="F2323" s="71">
        <v>9</v>
      </c>
      <c r="G2323" s="2" t="s">
        <v>8444</v>
      </c>
      <c r="H2323" s="73" t="s">
        <v>8619</v>
      </c>
      <c r="I2323" s="100" t="s">
        <v>8638</v>
      </c>
      <c r="J2323" s="2" t="s">
        <v>24</v>
      </c>
      <c r="K2323" s="2" t="s">
        <v>116</v>
      </c>
      <c r="L2323" s="16" t="s">
        <v>8638</v>
      </c>
      <c r="M2323" s="2" t="s">
        <v>24</v>
      </c>
      <c r="N2323" s="2" t="s">
        <v>116</v>
      </c>
      <c r="O2323" s="16" t="s">
        <v>8638</v>
      </c>
      <c r="P2323" s="7">
        <v>0</v>
      </c>
      <c r="Q2323" s="99" t="s">
        <v>8754</v>
      </c>
    </row>
    <row r="2324" spans="1:18">
      <c r="A2324" s="71">
        <v>30</v>
      </c>
      <c r="B2324" s="2" t="s">
        <v>8296</v>
      </c>
      <c r="C2324" s="71">
        <v>6</v>
      </c>
      <c r="D2324" s="2" t="s">
        <v>8411</v>
      </c>
      <c r="E2324" s="74">
        <v>0</v>
      </c>
      <c r="F2324" s="71">
        <v>10</v>
      </c>
      <c r="G2324" s="2" t="s">
        <v>8445</v>
      </c>
      <c r="H2324" s="73" t="s">
        <v>8851</v>
      </c>
      <c r="I2324" s="100" t="s">
        <v>8640</v>
      </c>
      <c r="J2324" s="2" t="s">
        <v>24</v>
      </c>
      <c r="K2324" s="2" t="s">
        <v>23</v>
      </c>
      <c r="M2324" s="2" t="s">
        <v>24</v>
      </c>
      <c r="N2324" s="2" t="s">
        <v>23</v>
      </c>
      <c r="P2324" s="7">
        <v>0</v>
      </c>
      <c r="Q2324" s="99" t="s">
        <v>8755</v>
      </c>
    </row>
    <row r="2325" spans="1:18">
      <c r="A2325" s="71">
        <v>30</v>
      </c>
      <c r="B2325" s="2" t="s">
        <v>8296</v>
      </c>
      <c r="C2325" s="71">
        <v>6</v>
      </c>
      <c r="D2325" s="2" t="s">
        <v>8411</v>
      </c>
      <c r="E2325" s="74">
        <v>0</v>
      </c>
      <c r="F2325" s="71">
        <v>11</v>
      </c>
      <c r="G2325" s="2" t="s">
        <v>8446</v>
      </c>
      <c r="H2325" s="73" t="s">
        <v>9126</v>
      </c>
      <c r="I2325" s="100" t="s">
        <v>8642</v>
      </c>
      <c r="J2325" s="2" t="s">
        <v>24</v>
      </c>
      <c r="K2325" s="2" t="s">
        <v>23</v>
      </c>
      <c r="M2325" s="2" t="s">
        <v>24</v>
      </c>
      <c r="N2325" s="2" t="s">
        <v>23</v>
      </c>
      <c r="P2325" s="7">
        <v>0</v>
      </c>
      <c r="Q2325" s="99" t="s">
        <v>8756</v>
      </c>
    </row>
    <row r="2326" spans="1:18">
      <c r="A2326" s="71">
        <v>30</v>
      </c>
      <c r="B2326" s="2" t="s">
        <v>8296</v>
      </c>
      <c r="C2326" s="71">
        <v>6</v>
      </c>
      <c r="D2326" s="2" t="s">
        <v>8411</v>
      </c>
      <c r="E2326" s="74">
        <v>0</v>
      </c>
      <c r="F2326" s="71">
        <v>12</v>
      </c>
      <c r="G2326" s="2" t="s">
        <v>8447</v>
      </c>
      <c r="H2326" s="73" t="s">
        <v>9416</v>
      </c>
      <c r="I2326" s="100" t="s">
        <v>8644</v>
      </c>
      <c r="J2326" s="2" t="s">
        <v>24</v>
      </c>
      <c r="K2326" s="2" t="s">
        <v>116</v>
      </c>
      <c r="L2326" s="16" t="s">
        <v>8644</v>
      </c>
      <c r="M2326" s="2" t="s">
        <v>24</v>
      </c>
      <c r="N2326" s="2" t="s">
        <v>116</v>
      </c>
      <c r="O2326" s="16" t="s">
        <v>8644</v>
      </c>
      <c r="P2326" s="7">
        <v>0</v>
      </c>
      <c r="Q2326" s="99" t="s">
        <v>8757</v>
      </c>
    </row>
    <row r="2327" spans="1:18">
      <c r="A2327" s="71">
        <v>30</v>
      </c>
      <c r="B2327" s="2" t="s">
        <v>8296</v>
      </c>
      <c r="C2327" s="71">
        <v>6</v>
      </c>
      <c r="D2327" s="2" t="s">
        <v>8411</v>
      </c>
      <c r="E2327" s="74">
        <v>0</v>
      </c>
      <c r="F2327" s="71">
        <v>13</v>
      </c>
      <c r="G2327" s="2" t="s">
        <v>8448</v>
      </c>
      <c r="H2327" s="73" t="s">
        <v>9417</v>
      </c>
      <c r="I2327" s="100" t="s">
        <v>8646</v>
      </c>
      <c r="J2327" s="2" t="s">
        <v>24</v>
      </c>
      <c r="K2327" s="2" t="s">
        <v>116</v>
      </c>
      <c r="L2327" s="16" t="s">
        <v>8646</v>
      </c>
      <c r="M2327" s="2" t="s">
        <v>24</v>
      </c>
      <c r="N2327" s="2" t="s">
        <v>116</v>
      </c>
      <c r="O2327" s="16" t="s">
        <v>8646</v>
      </c>
      <c r="P2327" s="7">
        <v>0</v>
      </c>
      <c r="Q2327" s="99" t="s">
        <v>8758</v>
      </c>
    </row>
    <row r="2328" spans="1:18">
      <c r="A2328" s="71">
        <v>30</v>
      </c>
      <c r="B2328" s="2" t="s">
        <v>8296</v>
      </c>
      <c r="C2328" s="71">
        <v>6</v>
      </c>
      <c r="D2328" s="2" t="s">
        <v>8411</v>
      </c>
      <c r="E2328" s="74">
        <v>0</v>
      </c>
      <c r="F2328" s="71">
        <v>14</v>
      </c>
      <c r="G2328" s="2" t="s">
        <v>8449</v>
      </c>
      <c r="H2328" s="73" t="s">
        <v>9418</v>
      </c>
      <c r="I2328" s="100" t="s">
        <v>8648</v>
      </c>
      <c r="J2328" s="2" t="s">
        <v>24</v>
      </c>
      <c r="K2328" s="2" t="s">
        <v>25</v>
      </c>
      <c r="L2328" s="2" t="s">
        <v>8759</v>
      </c>
      <c r="M2328" s="2" t="s">
        <v>24</v>
      </c>
      <c r="N2328" s="2" t="s">
        <v>25</v>
      </c>
      <c r="O2328" s="2" t="s">
        <v>8759</v>
      </c>
      <c r="P2328" s="7">
        <v>0</v>
      </c>
      <c r="Q2328" s="99" t="s">
        <v>8760</v>
      </c>
    </row>
    <row r="2329" spans="1:18">
      <c r="A2329" s="71">
        <v>30</v>
      </c>
      <c r="B2329" s="2" t="s">
        <v>8296</v>
      </c>
      <c r="C2329" s="71">
        <v>6</v>
      </c>
      <c r="D2329" s="2" t="s">
        <v>8411</v>
      </c>
      <c r="E2329" s="74">
        <v>0</v>
      </c>
      <c r="F2329" s="71">
        <v>15</v>
      </c>
      <c r="G2329" s="2" t="s">
        <v>8450</v>
      </c>
      <c r="H2329" s="73" t="s">
        <v>9419</v>
      </c>
      <c r="I2329" s="100" t="s">
        <v>8650</v>
      </c>
      <c r="J2329" s="2" t="s">
        <v>24</v>
      </c>
      <c r="K2329" s="2" t="s">
        <v>25</v>
      </c>
      <c r="L2329" s="2" t="s">
        <v>8761</v>
      </c>
      <c r="M2329" s="2" t="s">
        <v>24</v>
      </c>
      <c r="N2329" s="2" t="s">
        <v>25</v>
      </c>
      <c r="O2329" s="2" t="s">
        <v>8761</v>
      </c>
      <c r="P2329" s="7">
        <v>0</v>
      </c>
      <c r="Q2329" s="99" t="s">
        <v>8762</v>
      </c>
    </row>
    <row r="2330" spans="1:18">
      <c r="A2330" s="71">
        <v>30</v>
      </c>
      <c r="B2330" s="2" t="s">
        <v>8296</v>
      </c>
      <c r="C2330" s="71">
        <v>6</v>
      </c>
      <c r="D2330" s="2" t="s">
        <v>8411</v>
      </c>
      <c r="E2330" s="74">
        <v>0</v>
      </c>
      <c r="F2330" s="71">
        <v>16</v>
      </c>
      <c r="G2330" s="2" t="s">
        <v>8451</v>
      </c>
      <c r="H2330" s="73" t="s">
        <v>10785</v>
      </c>
      <c r="I2330" s="100" t="s">
        <v>8652</v>
      </c>
      <c r="J2330" s="2" t="s">
        <v>24</v>
      </c>
      <c r="K2330" s="2" t="s">
        <v>25</v>
      </c>
      <c r="L2330" s="2" t="s">
        <v>8763</v>
      </c>
      <c r="M2330" s="2" t="s">
        <v>24</v>
      </c>
      <c r="N2330" s="2" t="s">
        <v>25</v>
      </c>
      <c r="O2330" s="2" t="s">
        <v>8763</v>
      </c>
      <c r="P2330" s="7">
        <v>0</v>
      </c>
      <c r="Q2330" s="99" t="s">
        <v>8764</v>
      </c>
    </row>
    <row r="2331" spans="1:18">
      <c r="A2331" s="71">
        <v>30</v>
      </c>
      <c r="B2331" s="2" t="s">
        <v>8296</v>
      </c>
      <c r="C2331" s="71">
        <v>6</v>
      </c>
      <c r="D2331" s="2" t="s">
        <v>8411</v>
      </c>
      <c r="E2331" s="74">
        <v>0</v>
      </c>
      <c r="F2331" s="71">
        <v>17</v>
      </c>
      <c r="G2331" s="2" t="s">
        <v>7493</v>
      </c>
      <c r="H2331" s="73" t="s">
        <v>10788</v>
      </c>
      <c r="I2331" s="100" t="s">
        <v>10786</v>
      </c>
      <c r="J2331" s="2" t="s">
        <v>24</v>
      </c>
      <c r="K2331" s="2" t="s">
        <v>263</v>
      </c>
      <c r="M2331" s="2" t="s">
        <v>24</v>
      </c>
      <c r="N2331" s="2" t="s">
        <v>263</v>
      </c>
      <c r="P2331" s="7">
        <v>0</v>
      </c>
      <c r="Q2331" s="99" t="s">
        <v>9786</v>
      </c>
    </row>
    <row r="2332" spans="1:18">
      <c r="A2332" s="71">
        <v>30</v>
      </c>
      <c r="B2332" s="2" t="s">
        <v>8296</v>
      </c>
      <c r="C2332" s="71">
        <v>6</v>
      </c>
      <c r="D2332" s="2" t="s">
        <v>8411</v>
      </c>
      <c r="E2332" s="74">
        <v>0</v>
      </c>
      <c r="F2332" s="71">
        <v>18</v>
      </c>
      <c r="G2332" s="2" t="s">
        <v>5933</v>
      </c>
      <c r="H2332" s="73" t="s">
        <v>10837</v>
      </c>
      <c r="I2332" s="100" t="s">
        <v>10789</v>
      </c>
      <c r="J2332" s="2" t="s">
        <v>24</v>
      </c>
      <c r="K2332" s="2" t="s">
        <v>335</v>
      </c>
      <c r="M2332" s="2" t="s">
        <v>24</v>
      </c>
      <c r="N2332" s="2" t="s">
        <v>335</v>
      </c>
      <c r="P2332" s="7">
        <v>0</v>
      </c>
      <c r="Q2332" s="99" t="s">
        <v>10787</v>
      </c>
    </row>
    <row r="2333" spans="1:18">
      <c r="A2333" s="71">
        <v>30</v>
      </c>
      <c r="B2333" s="2" t="s">
        <v>8296</v>
      </c>
      <c r="C2333" s="71">
        <v>6</v>
      </c>
      <c r="D2333" s="2" t="s">
        <v>8411</v>
      </c>
      <c r="E2333" s="74">
        <v>0</v>
      </c>
      <c r="F2333" s="71">
        <v>19</v>
      </c>
      <c r="G2333" s="2" t="s">
        <v>10007</v>
      </c>
      <c r="H2333" s="73" t="s">
        <v>10885</v>
      </c>
      <c r="I2333" s="100" t="s">
        <v>10886</v>
      </c>
      <c r="J2333" s="2" t="s">
        <v>24</v>
      </c>
      <c r="K2333" s="2" t="s">
        <v>133</v>
      </c>
      <c r="M2333" s="2" t="s">
        <v>24</v>
      </c>
      <c r="N2333" s="2" t="s">
        <v>133</v>
      </c>
      <c r="P2333" s="7">
        <v>0</v>
      </c>
      <c r="Q2333" s="99" t="s">
        <v>10782</v>
      </c>
    </row>
    <row r="2334" spans="1:18">
      <c r="A2334" s="71">
        <v>30</v>
      </c>
      <c r="B2334" s="2" t="s">
        <v>8296</v>
      </c>
      <c r="C2334" s="71">
        <v>7</v>
      </c>
      <c r="D2334" s="2" t="s">
        <v>8412</v>
      </c>
      <c r="E2334" s="74">
        <v>0</v>
      </c>
      <c r="F2334" s="71">
        <v>0</v>
      </c>
      <c r="G2334" s="2" t="s">
        <v>20</v>
      </c>
      <c r="H2334" s="73" t="s">
        <v>8621</v>
      </c>
      <c r="I2334" s="76" t="s">
        <v>8654</v>
      </c>
      <c r="J2334" s="2" t="s">
        <v>24</v>
      </c>
      <c r="K2334" s="2" t="s">
        <v>25</v>
      </c>
      <c r="L2334" s="2" t="s">
        <v>26</v>
      </c>
      <c r="M2334" s="2" t="s">
        <v>24</v>
      </c>
      <c r="N2334" s="2" t="s">
        <v>25</v>
      </c>
      <c r="O2334" s="2" t="s">
        <v>26</v>
      </c>
      <c r="P2334" s="26">
        <v>0</v>
      </c>
      <c r="Q2334" s="1" t="s">
        <v>8765</v>
      </c>
      <c r="R2334" s="2" t="s">
        <v>8766</v>
      </c>
    </row>
    <row r="2335" spans="1:18">
      <c r="A2335" s="71">
        <v>30</v>
      </c>
      <c r="B2335" s="2" t="s">
        <v>8296</v>
      </c>
      <c r="C2335" s="71">
        <v>7</v>
      </c>
      <c r="D2335" s="2" t="s">
        <v>8412</v>
      </c>
      <c r="E2335" s="74">
        <v>0</v>
      </c>
      <c r="F2335" s="71">
        <v>1</v>
      </c>
      <c r="G2335" s="2" t="s">
        <v>8843</v>
      </c>
      <c r="H2335" s="73" t="s">
        <v>8623</v>
      </c>
      <c r="I2335" s="100" t="s">
        <v>8852</v>
      </c>
      <c r="J2335" s="2" t="s">
        <v>8105</v>
      </c>
      <c r="K2335" s="2" t="s">
        <v>4275</v>
      </c>
      <c r="L2335" s="16" t="s">
        <v>9342</v>
      </c>
      <c r="M2335" s="2" t="s">
        <v>8105</v>
      </c>
      <c r="N2335" s="2" t="s">
        <v>4275</v>
      </c>
      <c r="O2335" s="16" t="s">
        <v>8847</v>
      </c>
      <c r="P2335" s="7">
        <v>0</v>
      </c>
      <c r="Q2335" s="99" t="s">
        <v>8844</v>
      </c>
    </row>
    <row r="2336" spans="1:18">
      <c r="A2336" s="71">
        <v>30</v>
      </c>
      <c r="B2336" s="2" t="s">
        <v>8296</v>
      </c>
      <c r="C2336" s="71">
        <v>7</v>
      </c>
      <c r="D2336" s="2" t="s">
        <v>8412</v>
      </c>
      <c r="E2336" s="74">
        <v>0</v>
      </c>
      <c r="F2336" s="71">
        <v>2</v>
      </c>
      <c r="G2336" s="2" t="s">
        <v>6090</v>
      </c>
      <c r="H2336" s="73" t="s">
        <v>8625</v>
      </c>
      <c r="I2336" s="100" t="s">
        <v>8656</v>
      </c>
      <c r="J2336" s="2" t="s">
        <v>24</v>
      </c>
      <c r="K2336" s="2" t="s">
        <v>23</v>
      </c>
      <c r="M2336" s="2" t="s">
        <v>24</v>
      </c>
      <c r="N2336" s="2" t="s">
        <v>23</v>
      </c>
      <c r="P2336" s="26">
        <v>0</v>
      </c>
      <c r="Q2336" s="99" t="s">
        <v>8767</v>
      </c>
    </row>
    <row r="2337" spans="1:18">
      <c r="A2337" s="71">
        <v>30</v>
      </c>
      <c r="B2337" s="2" t="s">
        <v>8296</v>
      </c>
      <c r="C2337" s="71">
        <v>7</v>
      </c>
      <c r="D2337" s="2" t="s">
        <v>8412</v>
      </c>
      <c r="E2337" s="74">
        <v>0</v>
      </c>
      <c r="F2337" s="71">
        <v>3</v>
      </c>
      <c r="G2337" s="2" t="s">
        <v>8301</v>
      </c>
      <c r="H2337" s="73" t="s">
        <v>8627</v>
      </c>
      <c r="I2337" s="100" t="s">
        <v>8658</v>
      </c>
      <c r="J2337" s="2" t="s">
        <v>24</v>
      </c>
      <c r="K2337" s="2" t="s">
        <v>23</v>
      </c>
      <c r="M2337" s="2" t="s">
        <v>24</v>
      </c>
      <c r="N2337" s="2" t="s">
        <v>23</v>
      </c>
      <c r="P2337" s="7">
        <v>0</v>
      </c>
      <c r="Q2337" s="99" t="s">
        <v>6862</v>
      </c>
    </row>
    <row r="2338" spans="1:18">
      <c r="A2338" s="71">
        <v>30</v>
      </c>
      <c r="B2338" s="2" t="s">
        <v>8296</v>
      </c>
      <c r="C2338" s="71">
        <v>7</v>
      </c>
      <c r="D2338" s="2" t="s">
        <v>8412</v>
      </c>
      <c r="E2338" s="74">
        <v>0</v>
      </c>
      <c r="F2338" s="71">
        <v>4</v>
      </c>
      <c r="G2338" s="2" t="s">
        <v>6660</v>
      </c>
      <c r="H2338" s="73" t="s">
        <v>8629</v>
      </c>
      <c r="I2338" s="100" t="s">
        <v>8660</v>
      </c>
      <c r="J2338" s="2" t="s">
        <v>24</v>
      </c>
      <c r="K2338" s="2" t="s">
        <v>133</v>
      </c>
      <c r="M2338" s="2" t="s">
        <v>24</v>
      </c>
      <c r="N2338" s="2" t="s">
        <v>133</v>
      </c>
      <c r="P2338" s="7">
        <v>0</v>
      </c>
      <c r="Q2338" s="99" t="s">
        <v>8768</v>
      </c>
      <c r="R2338" s="2" t="s">
        <v>8769</v>
      </c>
    </row>
    <row r="2339" spans="1:18">
      <c r="A2339" s="71">
        <v>30</v>
      </c>
      <c r="B2339" s="2" t="s">
        <v>8296</v>
      </c>
      <c r="C2339" s="71">
        <v>7</v>
      </c>
      <c r="D2339" s="2" t="s">
        <v>8412</v>
      </c>
      <c r="E2339" s="74">
        <v>0</v>
      </c>
      <c r="F2339" s="71">
        <v>5</v>
      </c>
      <c r="G2339" s="2" t="s">
        <v>6860</v>
      </c>
      <c r="H2339" s="73" t="s">
        <v>8631</v>
      </c>
      <c r="I2339" s="100" t="s">
        <v>8662</v>
      </c>
      <c r="J2339" s="2" t="s">
        <v>24</v>
      </c>
      <c r="K2339" s="2" t="s">
        <v>263</v>
      </c>
      <c r="M2339" s="2" t="s">
        <v>24</v>
      </c>
      <c r="N2339" s="2" t="s">
        <v>263</v>
      </c>
      <c r="P2339" s="7">
        <v>0</v>
      </c>
      <c r="Q2339" s="99" t="s">
        <v>8770</v>
      </c>
      <c r="R2339" s="2" t="s">
        <v>8769</v>
      </c>
    </row>
    <row r="2340" spans="1:18">
      <c r="A2340" s="71">
        <v>30</v>
      </c>
      <c r="B2340" s="2" t="s">
        <v>8296</v>
      </c>
      <c r="C2340" s="71">
        <v>7</v>
      </c>
      <c r="D2340" s="2" t="s">
        <v>8412</v>
      </c>
      <c r="E2340" s="74">
        <v>0</v>
      </c>
      <c r="F2340" s="71">
        <v>6</v>
      </c>
      <c r="G2340" s="2" t="s">
        <v>8452</v>
      </c>
      <c r="H2340" s="73" t="s">
        <v>8633</v>
      </c>
      <c r="I2340" s="100" t="s">
        <v>8664</v>
      </c>
      <c r="J2340" s="2" t="s">
        <v>24</v>
      </c>
      <c r="K2340" s="2" t="s">
        <v>25</v>
      </c>
      <c r="L2340" s="2" t="s">
        <v>8771</v>
      </c>
      <c r="M2340" s="2" t="s">
        <v>24</v>
      </c>
      <c r="N2340" s="2" t="s">
        <v>25</v>
      </c>
      <c r="O2340" s="2" t="s">
        <v>2556</v>
      </c>
      <c r="P2340" s="7">
        <v>0</v>
      </c>
      <c r="Q2340" s="99" t="s">
        <v>8772</v>
      </c>
    </row>
    <row r="2341" spans="1:18">
      <c r="A2341" s="71">
        <v>30</v>
      </c>
      <c r="B2341" s="2" t="s">
        <v>8296</v>
      </c>
      <c r="C2341" s="71">
        <v>7</v>
      </c>
      <c r="D2341" s="2" t="s">
        <v>8412</v>
      </c>
      <c r="E2341" s="74">
        <v>0</v>
      </c>
      <c r="F2341" s="71">
        <v>7</v>
      </c>
      <c r="G2341" s="2" t="s">
        <v>8453</v>
      </c>
      <c r="H2341" s="73" t="s">
        <v>8635</v>
      </c>
      <c r="I2341" s="100" t="s">
        <v>8666</v>
      </c>
      <c r="J2341" s="2" t="s">
        <v>24</v>
      </c>
      <c r="K2341" s="2" t="s">
        <v>25</v>
      </c>
      <c r="L2341" s="2" t="s">
        <v>8771</v>
      </c>
      <c r="M2341" s="2" t="s">
        <v>24</v>
      </c>
      <c r="N2341" s="2" t="s">
        <v>25</v>
      </c>
      <c r="O2341" s="2" t="s">
        <v>2556</v>
      </c>
      <c r="P2341" s="7">
        <v>0</v>
      </c>
      <c r="Q2341" s="99" t="s">
        <v>8773</v>
      </c>
    </row>
    <row r="2342" spans="1:18">
      <c r="A2342" s="71">
        <v>30</v>
      </c>
      <c r="B2342" s="2" t="s">
        <v>8296</v>
      </c>
      <c r="C2342" s="71">
        <v>7</v>
      </c>
      <c r="D2342" s="2" t="s">
        <v>8412</v>
      </c>
      <c r="E2342" s="74">
        <v>0</v>
      </c>
      <c r="F2342" s="71">
        <v>8</v>
      </c>
      <c r="G2342" s="2" t="s">
        <v>8454</v>
      </c>
      <c r="H2342" s="73" t="s">
        <v>8637</v>
      </c>
      <c r="I2342" s="100" t="s">
        <v>8668</v>
      </c>
      <c r="J2342" s="2" t="s">
        <v>24</v>
      </c>
      <c r="K2342" s="2" t="s">
        <v>25</v>
      </c>
      <c r="L2342" s="2" t="s">
        <v>8771</v>
      </c>
      <c r="M2342" s="2" t="s">
        <v>24</v>
      </c>
      <c r="N2342" s="2" t="s">
        <v>25</v>
      </c>
      <c r="O2342" s="2" t="s">
        <v>2556</v>
      </c>
      <c r="P2342" s="7">
        <v>0</v>
      </c>
      <c r="Q2342" s="99" t="s">
        <v>8774</v>
      </c>
    </row>
    <row r="2343" spans="1:18">
      <c r="A2343" s="71">
        <v>30</v>
      </c>
      <c r="B2343" s="2" t="s">
        <v>8296</v>
      </c>
      <c r="C2343" s="71">
        <v>7</v>
      </c>
      <c r="D2343" s="2" t="s">
        <v>8412</v>
      </c>
      <c r="E2343" s="74">
        <v>0</v>
      </c>
      <c r="F2343" s="71">
        <v>9</v>
      </c>
      <c r="G2343" s="2" t="s">
        <v>8455</v>
      </c>
      <c r="H2343" s="73" t="s">
        <v>8639</v>
      </c>
      <c r="I2343" s="100" t="s">
        <v>8670</v>
      </c>
      <c r="J2343" s="2" t="s">
        <v>24</v>
      </c>
      <c r="K2343" s="2" t="s">
        <v>25</v>
      </c>
      <c r="L2343" s="2" t="s">
        <v>8771</v>
      </c>
      <c r="M2343" s="2" t="s">
        <v>24</v>
      </c>
      <c r="N2343" s="2" t="s">
        <v>25</v>
      </c>
      <c r="O2343" s="2" t="s">
        <v>2556</v>
      </c>
      <c r="P2343" s="7">
        <v>0</v>
      </c>
      <c r="Q2343" s="99" t="s">
        <v>8775</v>
      </c>
    </row>
    <row r="2344" spans="1:18">
      <c r="A2344" s="71">
        <v>30</v>
      </c>
      <c r="B2344" s="2" t="s">
        <v>8296</v>
      </c>
      <c r="C2344" s="71">
        <v>7</v>
      </c>
      <c r="D2344" s="2" t="s">
        <v>8412</v>
      </c>
      <c r="E2344" s="74">
        <v>0</v>
      </c>
      <c r="F2344" s="71">
        <v>10</v>
      </c>
      <c r="G2344" s="2" t="s">
        <v>8456</v>
      </c>
      <c r="H2344" s="73" t="s">
        <v>8641</v>
      </c>
      <c r="I2344" s="100" t="s">
        <v>8672</v>
      </c>
      <c r="J2344" s="2" t="s">
        <v>24</v>
      </c>
      <c r="K2344" s="2" t="s">
        <v>25</v>
      </c>
      <c r="L2344" s="2" t="s">
        <v>8771</v>
      </c>
      <c r="M2344" s="2" t="s">
        <v>24</v>
      </c>
      <c r="N2344" s="2" t="s">
        <v>25</v>
      </c>
      <c r="O2344" s="2" t="s">
        <v>2556</v>
      </c>
      <c r="P2344" s="7">
        <v>0</v>
      </c>
      <c r="Q2344" s="99" t="s">
        <v>8776</v>
      </c>
    </row>
    <row r="2345" spans="1:18">
      <c r="A2345" s="71">
        <v>30</v>
      </c>
      <c r="B2345" s="2" t="s">
        <v>8296</v>
      </c>
      <c r="C2345" s="71">
        <v>7</v>
      </c>
      <c r="D2345" s="2" t="s">
        <v>8412</v>
      </c>
      <c r="E2345" s="74">
        <v>0</v>
      </c>
      <c r="F2345" s="71">
        <v>11</v>
      </c>
      <c r="G2345" s="2" t="s">
        <v>8457</v>
      </c>
      <c r="H2345" s="73" t="s">
        <v>8643</v>
      </c>
      <c r="I2345" s="100" t="s">
        <v>8673</v>
      </c>
      <c r="J2345" s="2" t="s">
        <v>24</v>
      </c>
      <c r="K2345" s="2" t="s">
        <v>25</v>
      </c>
      <c r="L2345" s="2" t="s">
        <v>8771</v>
      </c>
      <c r="M2345" s="2" t="s">
        <v>24</v>
      </c>
      <c r="N2345" s="2" t="s">
        <v>25</v>
      </c>
      <c r="O2345" s="2" t="s">
        <v>2556</v>
      </c>
      <c r="P2345" s="7">
        <v>0</v>
      </c>
      <c r="Q2345" s="99" t="s">
        <v>8777</v>
      </c>
    </row>
    <row r="2346" spans="1:18">
      <c r="A2346" s="71">
        <v>30</v>
      </c>
      <c r="B2346" s="2" t="s">
        <v>8296</v>
      </c>
      <c r="C2346" s="71">
        <v>7</v>
      </c>
      <c r="D2346" s="2" t="s">
        <v>8412</v>
      </c>
      <c r="E2346" s="74">
        <v>0</v>
      </c>
      <c r="F2346" s="71">
        <v>12</v>
      </c>
      <c r="G2346" t="s">
        <v>8458</v>
      </c>
      <c r="H2346" s="73" t="s">
        <v>8645</v>
      </c>
      <c r="I2346" s="100" t="s">
        <v>8674</v>
      </c>
      <c r="J2346" s="2" t="s">
        <v>24</v>
      </c>
      <c r="K2346" s="2" t="s">
        <v>133</v>
      </c>
      <c r="M2346" s="2" t="s">
        <v>24</v>
      </c>
      <c r="N2346" s="2" t="s">
        <v>133</v>
      </c>
      <c r="P2346" s="7">
        <v>0</v>
      </c>
      <c r="Q2346" s="99" t="s">
        <v>8778</v>
      </c>
      <c r="R2346" s="2" t="s">
        <v>188</v>
      </c>
    </row>
    <row r="2347" spans="1:18">
      <c r="A2347" s="71">
        <v>30</v>
      </c>
      <c r="B2347" s="2" t="s">
        <v>8296</v>
      </c>
      <c r="C2347" s="71">
        <v>7</v>
      </c>
      <c r="D2347" s="2" t="s">
        <v>8412</v>
      </c>
      <c r="E2347" s="74">
        <v>0</v>
      </c>
      <c r="F2347" s="71">
        <v>13</v>
      </c>
      <c r="G2347" t="s">
        <v>8459</v>
      </c>
      <c r="H2347" s="73" t="s">
        <v>8647</v>
      </c>
      <c r="I2347" s="100" t="s">
        <v>8675</v>
      </c>
      <c r="J2347" s="2" t="s">
        <v>24</v>
      </c>
      <c r="K2347" s="2" t="s">
        <v>23</v>
      </c>
      <c r="M2347" s="2" t="s">
        <v>24</v>
      </c>
      <c r="N2347" s="2" t="s">
        <v>23</v>
      </c>
      <c r="P2347" s="7">
        <v>0</v>
      </c>
      <c r="Q2347" s="99" t="s">
        <v>8779</v>
      </c>
      <c r="R2347" s="2" t="s">
        <v>188</v>
      </c>
    </row>
    <row r="2348" spans="1:18">
      <c r="A2348" s="71">
        <v>30</v>
      </c>
      <c r="B2348" s="2" t="s">
        <v>8296</v>
      </c>
      <c r="C2348" s="71">
        <v>7</v>
      </c>
      <c r="D2348" s="2" t="s">
        <v>8412</v>
      </c>
      <c r="E2348" s="74">
        <v>0</v>
      </c>
      <c r="F2348" s="71">
        <v>14</v>
      </c>
      <c r="G2348" t="s">
        <v>8460</v>
      </c>
      <c r="H2348" s="73" t="s">
        <v>8649</v>
      </c>
      <c r="I2348" s="100" t="s">
        <v>8676</v>
      </c>
      <c r="J2348" s="2" t="s">
        <v>24</v>
      </c>
      <c r="K2348" s="2" t="s">
        <v>121</v>
      </c>
      <c r="M2348" s="2" t="s">
        <v>24</v>
      </c>
      <c r="N2348" s="2" t="s">
        <v>121</v>
      </c>
      <c r="P2348" s="7">
        <v>0</v>
      </c>
      <c r="Q2348" s="99" t="s">
        <v>8780</v>
      </c>
      <c r="R2348" s="2" t="s">
        <v>8781</v>
      </c>
    </row>
    <row r="2349" spans="1:18">
      <c r="A2349" s="71">
        <v>30</v>
      </c>
      <c r="B2349" s="2" t="s">
        <v>8296</v>
      </c>
      <c r="C2349" s="71">
        <v>7</v>
      </c>
      <c r="D2349" s="2" t="s">
        <v>8412</v>
      </c>
      <c r="E2349" s="74">
        <v>0</v>
      </c>
      <c r="F2349" s="71">
        <v>15</v>
      </c>
      <c r="G2349" t="s">
        <v>8461</v>
      </c>
      <c r="H2349" s="73" t="s">
        <v>8651</v>
      </c>
      <c r="I2349" s="100" t="s">
        <v>8677</v>
      </c>
      <c r="J2349" s="2" t="s">
        <v>24</v>
      </c>
      <c r="K2349" s="2" t="s">
        <v>335</v>
      </c>
      <c r="M2349" s="2" t="s">
        <v>24</v>
      </c>
      <c r="N2349" s="2" t="s">
        <v>335</v>
      </c>
      <c r="P2349" s="7">
        <v>0</v>
      </c>
      <c r="Q2349" s="99" t="s">
        <v>8782</v>
      </c>
      <c r="R2349" s="2" t="s">
        <v>8783</v>
      </c>
    </row>
    <row r="2350" spans="1:18">
      <c r="A2350" s="71">
        <v>30</v>
      </c>
      <c r="B2350" s="2" t="s">
        <v>8296</v>
      </c>
      <c r="C2350" s="71">
        <v>7</v>
      </c>
      <c r="D2350" s="2" t="s">
        <v>8412</v>
      </c>
      <c r="E2350" s="74">
        <v>0</v>
      </c>
      <c r="F2350" s="71">
        <v>16</v>
      </c>
      <c r="G2350" t="s">
        <v>8462</v>
      </c>
      <c r="H2350" s="73" t="s">
        <v>9420</v>
      </c>
      <c r="I2350" s="100" t="s">
        <v>8678</v>
      </c>
      <c r="J2350" s="2" t="s">
        <v>24</v>
      </c>
      <c r="K2350" s="2" t="s">
        <v>116</v>
      </c>
      <c r="L2350" s="16" t="s">
        <v>8678</v>
      </c>
      <c r="M2350" s="2" t="s">
        <v>24</v>
      </c>
      <c r="N2350" s="2" t="s">
        <v>116</v>
      </c>
      <c r="O2350" s="16" t="s">
        <v>8678</v>
      </c>
      <c r="P2350" s="7">
        <v>0</v>
      </c>
      <c r="Q2350" s="99" t="s">
        <v>8784</v>
      </c>
    </row>
    <row r="2351" spans="1:18">
      <c r="A2351" s="71">
        <v>30</v>
      </c>
      <c r="B2351" s="2" t="s">
        <v>8296</v>
      </c>
      <c r="C2351" s="71">
        <v>7</v>
      </c>
      <c r="D2351" s="2" t="s">
        <v>8412</v>
      </c>
      <c r="E2351" s="74">
        <v>0</v>
      </c>
      <c r="F2351" s="71">
        <v>17</v>
      </c>
      <c r="G2351" t="s">
        <v>8463</v>
      </c>
      <c r="H2351" s="73" t="s">
        <v>9421</v>
      </c>
      <c r="I2351" s="100" t="s">
        <v>8679</v>
      </c>
      <c r="J2351" s="2" t="s">
        <v>24</v>
      </c>
      <c r="K2351" s="2" t="s">
        <v>335</v>
      </c>
      <c r="L2351" s="16"/>
      <c r="M2351" s="2" t="s">
        <v>24</v>
      </c>
      <c r="N2351" s="2" t="s">
        <v>335</v>
      </c>
      <c r="O2351" s="16"/>
      <c r="P2351" s="7">
        <v>0</v>
      </c>
      <c r="Q2351" s="99" t="s">
        <v>8785</v>
      </c>
    </row>
    <row r="2352" spans="1:18">
      <c r="A2352" s="71">
        <v>30</v>
      </c>
      <c r="B2352" s="2" t="s">
        <v>8296</v>
      </c>
      <c r="C2352" s="71">
        <v>7</v>
      </c>
      <c r="D2352" s="2" t="s">
        <v>8412</v>
      </c>
      <c r="E2352" s="74">
        <v>0</v>
      </c>
      <c r="F2352" s="71">
        <v>18</v>
      </c>
      <c r="G2352" t="s">
        <v>8464</v>
      </c>
      <c r="H2352" s="73" t="s">
        <v>9422</v>
      </c>
      <c r="I2352" s="100" t="s">
        <v>8680</v>
      </c>
      <c r="J2352" s="2" t="s">
        <v>24</v>
      </c>
      <c r="K2352" s="2" t="s">
        <v>139</v>
      </c>
      <c r="L2352" s="16"/>
      <c r="M2352" s="2" t="s">
        <v>24</v>
      </c>
      <c r="N2352" s="2" t="s">
        <v>139</v>
      </c>
      <c r="O2352" s="16"/>
      <c r="P2352" s="7">
        <v>0</v>
      </c>
      <c r="Q2352" s="99" t="s">
        <v>8786</v>
      </c>
      <c r="R2352" s="2" t="s">
        <v>8787</v>
      </c>
    </row>
    <row r="2353" spans="1:18">
      <c r="A2353" s="71">
        <v>30</v>
      </c>
      <c r="B2353" s="2" t="s">
        <v>8296</v>
      </c>
      <c r="C2353" s="71">
        <v>7</v>
      </c>
      <c r="D2353" s="2" t="s">
        <v>8412</v>
      </c>
      <c r="E2353" s="74">
        <v>0</v>
      </c>
      <c r="F2353" s="71">
        <v>19</v>
      </c>
      <c r="G2353" t="s">
        <v>8465</v>
      </c>
      <c r="H2353" s="73" t="s">
        <v>9423</v>
      </c>
      <c r="I2353" s="100" t="s">
        <v>8681</v>
      </c>
      <c r="J2353" s="2" t="s">
        <v>24</v>
      </c>
      <c r="K2353" s="2" t="s">
        <v>139</v>
      </c>
      <c r="L2353" s="16"/>
      <c r="M2353" s="2" t="s">
        <v>24</v>
      </c>
      <c r="N2353" s="2" t="s">
        <v>139</v>
      </c>
      <c r="O2353" s="16"/>
      <c r="P2353" s="7">
        <v>0</v>
      </c>
      <c r="Q2353" s="99" t="s">
        <v>8788</v>
      </c>
      <c r="R2353" s="2" t="s">
        <v>8789</v>
      </c>
    </row>
    <row r="2354" spans="1:18">
      <c r="A2354" s="71">
        <v>30</v>
      </c>
      <c r="B2354" s="2" t="s">
        <v>8296</v>
      </c>
      <c r="C2354" s="71">
        <v>7</v>
      </c>
      <c r="D2354" s="2" t="s">
        <v>8412</v>
      </c>
      <c r="E2354" s="74">
        <v>0</v>
      </c>
      <c r="F2354" s="71">
        <v>20</v>
      </c>
      <c r="G2354" t="s">
        <v>8466</v>
      </c>
      <c r="H2354" s="73" t="s">
        <v>9424</v>
      </c>
      <c r="I2354" s="100" t="s">
        <v>8682</v>
      </c>
      <c r="J2354" s="2" t="s">
        <v>24</v>
      </c>
      <c r="K2354" s="2" t="s">
        <v>139</v>
      </c>
      <c r="L2354" s="16"/>
      <c r="M2354" s="2" t="s">
        <v>24</v>
      </c>
      <c r="N2354" s="2" t="s">
        <v>139</v>
      </c>
      <c r="O2354" s="16"/>
      <c r="P2354" s="7">
        <v>0</v>
      </c>
      <c r="Q2354" s="99" t="s">
        <v>8790</v>
      </c>
    </row>
    <row r="2355" spans="1:18">
      <c r="A2355" s="71">
        <v>30</v>
      </c>
      <c r="B2355" s="2" t="s">
        <v>8296</v>
      </c>
      <c r="C2355" s="71">
        <v>7</v>
      </c>
      <c r="D2355" s="2" t="s">
        <v>8412</v>
      </c>
      <c r="E2355" s="74">
        <v>0</v>
      </c>
      <c r="F2355" s="71">
        <v>21</v>
      </c>
      <c r="G2355" t="s">
        <v>8467</v>
      </c>
      <c r="H2355" s="73" t="s">
        <v>9425</v>
      </c>
      <c r="I2355" s="100" t="s">
        <v>8683</v>
      </c>
      <c r="J2355" s="2" t="s">
        <v>24</v>
      </c>
      <c r="K2355" s="2" t="s">
        <v>139</v>
      </c>
      <c r="L2355" s="16"/>
      <c r="M2355" s="2" t="s">
        <v>24</v>
      </c>
      <c r="N2355" s="2" t="s">
        <v>139</v>
      </c>
      <c r="O2355" s="16"/>
      <c r="P2355" s="7">
        <v>0</v>
      </c>
      <c r="Q2355" s="99" t="s">
        <v>8791</v>
      </c>
    </row>
    <row r="2356" spans="1:18">
      <c r="A2356" s="71">
        <v>30</v>
      </c>
      <c r="B2356" s="2" t="s">
        <v>8296</v>
      </c>
      <c r="C2356" s="71">
        <v>7</v>
      </c>
      <c r="D2356" s="2" t="s">
        <v>8412</v>
      </c>
      <c r="E2356" s="74">
        <v>0</v>
      </c>
      <c r="F2356" s="71">
        <v>22</v>
      </c>
      <c r="G2356" t="s">
        <v>1962</v>
      </c>
      <c r="H2356" s="73" t="s">
        <v>9426</v>
      </c>
      <c r="I2356" s="100" t="s">
        <v>8684</v>
      </c>
      <c r="J2356" s="2" t="s">
        <v>24</v>
      </c>
      <c r="K2356" s="2" t="s">
        <v>139</v>
      </c>
      <c r="L2356" s="16"/>
      <c r="M2356" s="2" t="s">
        <v>24</v>
      </c>
      <c r="N2356" s="2" t="s">
        <v>139</v>
      </c>
      <c r="O2356" s="16"/>
      <c r="P2356" s="7">
        <v>0</v>
      </c>
      <c r="Q2356" s="99" t="s">
        <v>8792</v>
      </c>
    </row>
    <row r="2357" spans="1:18">
      <c r="A2357" s="71">
        <v>30</v>
      </c>
      <c r="B2357" s="2" t="s">
        <v>8296</v>
      </c>
      <c r="C2357" s="71">
        <v>7</v>
      </c>
      <c r="D2357" s="2" t="s">
        <v>8412</v>
      </c>
      <c r="E2357" s="74">
        <v>0</v>
      </c>
      <c r="F2357" s="71">
        <v>23</v>
      </c>
      <c r="G2357" s="2" t="s">
        <v>8468</v>
      </c>
      <c r="H2357" s="73" t="s">
        <v>9427</v>
      </c>
      <c r="I2357" s="100" t="s">
        <v>8685</v>
      </c>
      <c r="J2357" s="2" t="s">
        <v>24</v>
      </c>
      <c r="K2357" s="2" t="s">
        <v>133</v>
      </c>
      <c r="M2357" s="2" t="s">
        <v>24</v>
      </c>
      <c r="N2357" s="2" t="s">
        <v>133</v>
      </c>
      <c r="P2357" s="7">
        <v>0</v>
      </c>
      <c r="Q2357" s="99" t="s">
        <v>8793</v>
      </c>
    </row>
    <row r="2358" spans="1:18">
      <c r="A2358" s="71">
        <v>30</v>
      </c>
      <c r="B2358" s="2" t="s">
        <v>8296</v>
      </c>
      <c r="C2358" s="71">
        <v>7</v>
      </c>
      <c r="D2358" s="2" t="s">
        <v>8412</v>
      </c>
      <c r="E2358" s="74">
        <v>0</v>
      </c>
      <c r="F2358" s="71">
        <v>24</v>
      </c>
      <c r="G2358" s="2" t="s">
        <v>8469</v>
      </c>
      <c r="H2358" s="73" t="s">
        <v>9428</v>
      </c>
      <c r="I2358" s="100" t="s">
        <v>8686</v>
      </c>
      <c r="J2358" s="2" t="s">
        <v>24</v>
      </c>
      <c r="K2358" s="2" t="s">
        <v>263</v>
      </c>
      <c r="M2358" s="2" t="s">
        <v>24</v>
      </c>
      <c r="N2358" s="2" t="s">
        <v>263</v>
      </c>
      <c r="P2358" s="7">
        <v>0</v>
      </c>
      <c r="Q2358" s="99" t="s">
        <v>8794</v>
      </c>
    </row>
    <row r="2359" spans="1:18">
      <c r="A2359" s="71">
        <v>30</v>
      </c>
      <c r="B2359" s="2" t="s">
        <v>8296</v>
      </c>
      <c r="C2359" s="71">
        <v>7</v>
      </c>
      <c r="D2359" s="2" t="s">
        <v>8412</v>
      </c>
      <c r="E2359" s="74">
        <v>0</v>
      </c>
      <c r="F2359" s="71">
        <v>25</v>
      </c>
      <c r="G2359" s="2" t="s">
        <v>8470</v>
      </c>
      <c r="H2359" s="73" t="s">
        <v>9429</v>
      </c>
      <c r="I2359" s="100" t="s">
        <v>8687</v>
      </c>
      <c r="J2359" s="2" t="s">
        <v>24</v>
      </c>
      <c r="K2359" s="2" t="s">
        <v>23</v>
      </c>
      <c r="M2359" s="2" t="s">
        <v>24</v>
      </c>
      <c r="N2359" s="2" t="s">
        <v>23</v>
      </c>
      <c r="P2359" s="7">
        <v>0</v>
      </c>
      <c r="Q2359" s="99" t="s">
        <v>8795</v>
      </c>
    </row>
    <row r="2360" spans="1:18">
      <c r="A2360" s="71">
        <v>30</v>
      </c>
      <c r="B2360" s="2" t="s">
        <v>8296</v>
      </c>
      <c r="C2360" s="71">
        <v>7</v>
      </c>
      <c r="D2360" s="2" t="s">
        <v>8412</v>
      </c>
      <c r="E2360" s="74">
        <v>0</v>
      </c>
      <c r="F2360" s="71">
        <v>26</v>
      </c>
      <c r="G2360" s="2" t="s">
        <v>8471</v>
      </c>
      <c r="H2360" s="73" t="s">
        <v>9430</v>
      </c>
      <c r="I2360" s="100" t="s">
        <v>8688</v>
      </c>
      <c r="J2360" s="2" t="s">
        <v>24</v>
      </c>
      <c r="K2360" s="2" t="s">
        <v>23</v>
      </c>
      <c r="M2360" s="2" t="s">
        <v>24</v>
      </c>
      <c r="N2360" s="2" t="s">
        <v>23</v>
      </c>
      <c r="P2360" s="7">
        <v>0</v>
      </c>
      <c r="Q2360" s="99" t="s">
        <v>8796</v>
      </c>
    </row>
    <row r="2361" spans="1:18">
      <c r="A2361" s="71">
        <v>30</v>
      </c>
      <c r="B2361" s="2" t="s">
        <v>8296</v>
      </c>
      <c r="C2361" s="71">
        <v>7</v>
      </c>
      <c r="D2361" s="2" t="s">
        <v>8412</v>
      </c>
      <c r="E2361" s="74">
        <v>0</v>
      </c>
      <c r="F2361" s="71">
        <v>27</v>
      </c>
      <c r="G2361" s="2" t="s">
        <v>8472</v>
      </c>
      <c r="H2361" s="73" t="s">
        <v>9431</v>
      </c>
      <c r="I2361" s="100" t="s">
        <v>8689</v>
      </c>
      <c r="J2361" s="2" t="s">
        <v>24</v>
      </c>
      <c r="K2361" s="2" t="s">
        <v>133</v>
      </c>
      <c r="M2361" s="2" t="s">
        <v>24</v>
      </c>
      <c r="N2361" s="2" t="s">
        <v>133</v>
      </c>
      <c r="P2361" s="7">
        <v>0</v>
      </c>
      <c r="Q2361" s="107" t="s">
        <v>8797</v>
      </c>
      <c r="R2361" s="6" t="s">
        <v>188</v>
      </c>
    </row>
    <row r="2362" spans="1:18">
      <c r="A2362" s="71">
        <v>30</v>
      </c>
      <c r="B2362" s="2" t="s">
        <v>8296</v>
      </c>
      <c r="C2362" s="71">
        <v>7</v>
      </c>
      <c r="D2362" s="2" t="s">
        <v>8412</v>
      </c>
      <c r="E2362" s="74">
        <v>0</v>
      </c>
      <c r="F2362" s="71">
        <v>28</v>
      </c>
      <c r="G2362" s="2" t="s">
        <v>8473</v>
      </c>
      <c r="H2362" s="73" t="s">
        <v>9432</v>
      </c>
      <c r="I2362" s="100" t="s">
        <v>8690</v>
      </c>
      <c r="J2362" s="2" t="s">
        <v>24</v>
      </c>
      <c r="K2362" s="2" t="s">
        <v>133</v>
      </c>
      <c r="M2362" s="2" t="s">
        <v>24</v>
      </c>
      <c r="N2362" s="2" t="s">
        <v>133</v>
      </c>
      <c r="P2362" s="7">
        <v>0</v>
      </c>
      <c r="Q2362" s="107" t="s">
        <v>8798</v>
      </c>
      <c r="R2362" s="6" t="s">
        <v>188</v>
      </c>
    </row>
    <row r="2363" spans="1:18">
      <c r="A2363" s="71">
        <v>30</v>
      </c>
      <c r="B2363" s="2" t="s">
        <v>8296</v>
      </c>
      <c r="C2363" s="71">
        <v>7</v>
      </c>
      <c r="D2363" s="2" t="s">
        <v>8412</v>
      </c>
      <c r="E2363" s="74">
        <v>0</v>
      </c>
      <c r="F2363" s="71">
        <v>29</v>
      </c>
      <c r="G2363" s="2" t="s">
        <v>8474</v>
      </c>
      <c r="H2363" s="73" t="s">
        <v>9433</v>
      </c>
      <c r="I2363" s="100" t="s">
        <v>8691</v>
      </c>
      <c r="J2363" s="2" t="s">
        <v>24</v>
      </c>
      <c r="K2363" s="2" t="s">
        <v>133</v>
      </c>
      <c r="M2363" s="2" t="s">
        <v>24</v>
      </c>
      <c r="N2363" s="2" t="s">
        <v>133</v>
      </c>
      <c r="P2363" s="7">
        <v>0</v>
      </c>
      <c r="Q2363" s="107" t="s">
        <v>8799</v>
      </c>
      <c r="R2363" s="6" t="s">
        <v>188</v>
      </c>
    </row>
    <row r="2364" spans="1:18">
      <c r="A2364" s="71">
        <v>30</v>
      </c>
      <c r="B2364" s="2" t="s">
        <v>8296</v>
      </c>
      <c r="C2364" s="71">
        <v>7</v>
      </c>
      <c r="D2364" s="2" t="s">
        <v>8412</v>
      </c>
      <c r="E2364" s="74">
        <v>0</v>
      </c>
      <c r="F2364" s="71">
        <v>30</v>
      </c>
      <c r="G2364" s="2" t="s">
        <v>8475</v>
      </c>
      <c r="H2364" s="73" t="s">
        <v>9434</v>
      </c>
      <c r="I2364" s="100" t="s">
        <v>8692</v>
      </c>
      <c r="J2364" s="2" t="s">
        <v>24</v>
      </c>
      <c r="K2364" s="2" t="s">
        <v>133</v>
      </c>
      <c r="M2364" s="2" t="s">
        <v>24</v>
      </c>
      <c r="N2364" s="2" t="s">
        <v>133</v>
      </c>
      <c r="P2364" s="7">
        <v>0</v>
      </c>
      <c r="Q2364" s="107" t="s">
        <v>8800</v>
      </c>
      <c r="R2364" s="6" t="s">
        <v>188</v>
      </c>
    </row>
    <row r="2365" spans="1:18">
      <c r="A2365" s="71">
        <v>30</v>
      </c>
      <c r="B2365" s="2" t="s">
        <v>8296</v>
      </c>
      <c r="C2365" s="71">
        <v>7</v>
      </c>
      <c r="D2365" s="2" t="s">
        <v>8412</v>
      </c>
      <c r="E2365" s="74">
        <v>0</v>
      </c>
      <c r="F2365" s="71">
        <v>31</v>
      </c>
      <c r="G2365" s="2" t="s">
        <v>8476</v>
      </c>
      <c r="H2365" s="73" t="s">
        <v>9435</v>
      </c>
      <c r="I2365" s="100" t="s">
        <v>8693</v>
      </c>
      <c r="J2365" s="2" t="s">
        <v>24</v>
      </c>
      <c r="K2365" s="2" t="s">
        <v>133</v>
      </c>
      <c r="M2365" s="2" t="s">
        <v>24</v>
      </c>
      <c r="N2365" s="2" t="s">
        <v>133</v>
      </c>
      <c r="P2365" s="7">
        <v>0</v>
      </c>
      <c r="Q2365" s="107" t="s">
        <v>8801</v>
      </c>
      <c r="R2365" s="6" t="s">
        <v>188</v>
      </c>
    </row>
    <row r="2366" spans="1:18">
      <c r="A2366" s="71">
        <v>30</v>
      </c>
      <c r="B2366" s="2" t="s">
        <v>8296</v>
      </c>
      <c r="C2366" s="71">
        <v>7</v>
      </c>
      <c r="D2366" s="2" t="s">
        <v>8412</v>
      </c>
      <c r="E2366" s="74">
        <v>0</v>
      </c>
      <c r="F2366" s="71">
        <v>32</v>
      </c>
      <c r="G2366" s="2" t="s">
        <v>9129</v>
      </c>
      <c r="H2366" s="73" t="s">
        <v>9436</v>
      </c>
      <c r="I2366" s="100" t="s">
        <v>9130</v>
      </c>
      <c r="J2366" s="2" t="s">
        <v>24</v>
      </c>
      <c r="K2366" s="2" t="s">
        <v>206</v>
      </c>
      <c r="M2366" s="2" t="s">
        <v>24</v>
      </c>
      <c r="N2366" s="2" t="s">
        <v>206</v>
      </c>
      <c r="P2366" s="7">
        <v>0</v>
      </c>
      <c r="Q2366" s="107" t="s">
        <v>9131</v>
      </c>
      <c r="R2366" s="6"/>
    </row>
    <row r="2367" spans="1:18">
      <c r="A2367" s="71">
        <v>30</v>
      </c>
      <c r="B2367" s="2" t="s">
        <v>8296</v>
      </c>
      <c r="C2367" s="71">
        <v>7</v>
      </c>
      <c r="D2367" s="2" t="s">
        <v>8412</v>
      </c>
      <c r="E2367" s="74">
        <v>0</v>
      </c>
      <c r="F2367" s="71">
        <v>33</v>
      </c>
      <c r="G2367" s="2" t="s">
        <v>412</v>
      </c>
      <c r="H2367" s="73" t="s">
        <v>9437</v>
      </c>
      <c r="I2367" s="100" t="s">
        <v>9400</v>
      </c>
      <c r="J2367" s="2" t="s">
        <v>8105</v>
      </c>
      <c r="K2367" s="2" t="s">
        <v>8117</v>
      </c>
      <c r="L2367" s="16" t="s">
        <v>8115</v>
      </c>
      <c r="M2367" s="2" t="s">
        <v>8105</v>
      </c>
      <c r="N2367" s="2" t="s">
        <v>8117</v>
      </c>
      <c r="O2367" s="16" t="s">
        <v>8115</v>
      </c>
      <c r="P2367" s="7">
        <v>0</v>
      </c>
      <c r="Q2367" s="107" t="s">
        <v>9397</v>
      </c>
      <c r="R2367" s="6"/>
    </row>
    <row r="2368" spans="1:18">
      <c r="A2368" s="71">
        <v>30</v>
      </c>
      <c r="B2368" s="2" t="s">
        <v>8296</v>
      </c>
      <c r="C2368" s="71">
        <v>7</v>
      </c>
      <c r="D2368" s="2" t="s">
        <v>8412</v>
      </c>
      <c r="E2368" s="74">
        <v>0</v>
      </c>
      <c r="F2368" s="71">
        <v>34</v>
      </c>
      <c r="G2368" s="2" t="s">
        <v>10790</v>
      </c>
      <c r="H2368" s="73" t="s">
        <v>10792</v>
      </c>
      <c r="I2368" s="100" t="s">
        <v>10793</v>
      </c>
      <c r="J2368" s="2" t="s">
        <v>24</v>
      </c>
      <c r="K2368" s="2" t="s">
        <v>139</v>
      </c>
      <c r="M2368" s="2" t="s">
        <v>24</v>
      </c>
      <c r="N2368" s="2" t="s">
        <v>139</v>
      </c>
      <c r="P2368" s="7">
        <v>0</v>
      </c>
      <c r="Q2368" s="107" t="s">
        <v>10791</v>
      </c>
      <c r="R2368" s="6"/>
    </row>
    <row r="2369" spans="1:18">
      <c r="A2369" s="71">
        <v>30</v>
      </c>
      <c r="B2369" s="2" t="s">
        <v>8296</v>
      </c>
      <c r="C2369" s="71">
        <v>7</v>
      </c>
      <c r="D2369" s="2" t="s">
        <v>8412</v>
      </c>
      <c r="E2369" s="74">
        <v>0</v>
      </c>
      <c r="F2369" s="71">
        <v>35</v>
      </c>
      <c r="G2369" s="2" t="s">
        <v>7493</v>
      </c>
      <c r="H2369" s="73" t="s">
        <v>10795</v>
      </c>
      <c r="I2369" s="100" t="s">
        <v>10796</v>
      </c>
      <c r="J2369" s="2" t="s">
        <v>24</v>
      </c>
      <c r="K2369" s="2" t="s">
        <v>263</v>
      </c>
      <c r="M2369" s="2" t="s">
        <v>24</v>
      </c>
      <c r="N2369" s="2" t="s">
        <v>263</v>
      </c>
      <c r="P2369" s="7">
        <v>0</v>
      </c>
      <c r="Q2369" s="107" t="s">
        <v>10794</v>
      </c>
      <c r="R2369" s="6"/>
    </row>
    <row r="2370" spans="1:18">
      <c r="A2370" s="71">
        <v>30</v>
      </c>
      <c r="B2370" s="2" t="s">
        <v>8296</v>
      </c>
      <c r="C2370" s="71">
        <v>8</v>
      </c>
      <c r="D2370" s="2" t="s">
        <v>8413</v>
      </c>
      <c r="E2370" s="74">
        <v>0</v>
      </c>
      <c r="F2370" s="71">
        <v>0</v>
      </c>
      <c r="G2370" s="2" t="s">
        <v>20</v>
      </c>
      <c r="H2370" s="73" t="s">
        <v>8653</v>
      </c>
      <c r="I2370" s="76" t="s">
        <v>8695</v>
      </c>
      <c r="J2370" s="2" t="s">
        <v>24</v>
      </c>
      <c r="K2370" s="2" t="s">
        <v>25</v>
      </c>
      <c r="L2370" s="2" t="s">
        <v>26</v>
      </c>
      <c r="M2370" s="2" t="s">
        <v>24</v>
      </c>
      <c r="N2370" s="2" t="s">
        <v>25</v>
      </c>
      <c r="O2370" s="2" t="s">
        <v>26</v>
      </c>
      <c r="P2370" s="26">
        <v>0</v>
      </c>
      <c r="Q2370" s="1" t="s">
        <v>8802</v>
      </c>
    </row>
    <row r="2371" spans="1:18">
      <c r="A2371" s="71">
        <v>30</v>
      </c>
      <c r="B2371" s="2" t="s">
        <v>8296</v>
      </c>
      <c r="C2371" s="71">
        <v>8</v>
      </c>
      <c r="D2371" s="2" t="s">
        <v>8413</v>
      </c>
      <c r="E2371" s="74">
        <v>0</v>
      </c>
      <c r="F2371" s="71">
        <v>1</v>
      </c>
      <c r="G2371" s="2" t="s">
        <v>8843</v>
      </c>
      <c r="H2371" s="73" t="s">
        <v>8655</v>
      </c>
      <c r="I2371" s="100" t="s">
        <v>10838</v>
      </c>
      <c r="J2371" s="2" t="s">
        <v>8105</v>
      </c>
      <c r="K2371" s="2" t="s">
        <v>4275</v>
      </c>
      <c r="L2371" s="16" t="s">
        <v>9342</v>
      </c>
      <c r="M2371" s="2" t="s">
        <v>8105</v>
      </c>
      <c r="N2371" s="2" t="s">
        <v>4275</v>
      </c>
      <c r="O2371" s="16" t="s">
        <v>8847</v>
      </c>
      <c r="P2371" s="7">
        <v>0</v>
      </c>
      <c r="Q2371" s="99" t="s">
        <v>8844</v>
      </c>
    </row>
    <row r="2372" spans="1:18">
      <c r="A2372" s="71">
        <v>30</v>
      </c>
      <c r="B2372" s="2" t="s">
        <v>8296</v>
      </c>
      <c r="C2372" s="71">
        <v>8</v>
      </c>
      <c r="D2372" s="2" t="s">
        <v>8413</v>
      </c>
      <c r="E2372" s="74">
        <v>0</v>
      </c>
      <c r="F2372" s="71">
        <v>2</v>
      </c>
      <c r="G2372" s="2" t="s">
        <v>8301</v>
      </c>
      <c r="H2372" s="73" t="s">
        <v>8657</v>
      </c>
      <c r="I2372" s="100" t="s">
        <v>8696</v>
      </c>
      <c r="J2372" s="2" t="s">
        <v>24</v>
      </c>
      <c r="K2372" s="2" t="s">
        <v>23</v>
      </c>
      <c r="M2372" s="2" t="s">
        <v>24</v>
      </c>
      <c r="N2372" s="2" t="s">
        <v>23</v>
      </c>
      <c r="P2372" s="7">
        <v>0</v>
      </c>
      <c r="Q2372" s="99" t="s">
        <v>6862</v>
      </c>
    </row>
    <row r="2373" spans="1:18">
      <c r="A2373" s="71">
        <v>30</v>
      </c>
      <c r="B2373" s="2" t="s">
        <v>8296</v>
      </c>
      <c r="C2373" s="71">
        <v>8</v>
      </c>
      <c r="D2373" s="2" t="s">
        <v>8413</v>
      </c>
      <c r="E2373" s="74">
        <v>0</v>
      </c>
      <c r="F2373" s="71">
        <v>3</v>
      </c>
      <c r="G2373" s="2" t="s">
        <v>8439</v>
      </c>
      <c r="H2373" s="73" t="s">
        <v>8659</v>
      </c>
      <c r="I2373" s="100" t="s">
        <v>8697</v>
      </c>
      <c r="J2373" s="2" t="s">
        <v>24</v>
      </c>
      <c r="K2373" s="2" t="s">
        <v>133</v>
      </c>
      <c r="M2373" s="2" t="s">
        <v>24</v>
      </c>
      <c r="N2373" s="2" t="s">
        <v>133</v>
      </c>
      <c r="P2373" s="7">
        <v>0</v>
      </c>
      <c r="Q2373" s="99" t="s">
        <v>8803</v>
      </c>
    </row>
    <row r="2374" spans="1:18">
      <c r="A2374" s="71">
        <v>30</v>
      </c>
      <c r="B2374" s="2" t="s">
        <v>8296</v>
      </c>
      <c r="C2374" s="71">
        <v>8</v>
      </c>
      <c r="D2374" s="2" t="s">
        <v>8413</v>
      </c>
      <c r="E2374" s="74">
        <v>0</v>
      </c>
      <c r="F2374" s="71">
        <v>4</v>
      </c>
      <c r="G2374" s="2" t="s">
        <v>8440</v>
      </c>
      <c r="H2374" s="73" t="s">
        <v>8661</v>
      </c>
      <c r="I2374" s="100" t="s">
        <v>8698</v>
      </c>
      <c r="J2374" s="2" t="s">
        <v>24</v>
      </c>
      <c r="K2374" s="2" t="s">
        <v>263</v>
      </c>
      <c r="M2374" s="2" t="s">
        <v>24</v>
      </c>
      <c r="N2374" s="2" t="s">
        <v>263</v>
      </c>
      <c r="P2374" s="7">
        <v>0</v>
      </c>
      <c r="Q2374" s="99" t="s">
        <v>8804</v>
      </c>
    </row>
    <row r="2375" spans="1:18">
      <c r="A2375" s="71">
        <v>30</v>
      </c>
      <c r="B2375" s="2" t="s">
        <v>8296</v>
      </c>
      <c r="C2375" s="71">
        <v>8</v>
      </c>
      <c r="D2375" s="2" t="s">
        <v>8413</v>
      </c>
      <c r="E2375" s="74">
        <v>0</v>
      </c>
      <c r="F2375" s="71">
        <v>5</v>
      </c>
      <c r="G2375" s="2" t="s">
        <v>8441</v>
      </c>
      <c r="H2375" s="73" t="s">
        <v>8663</v>
      </c>
      <c r="I2375" s="100" t="s">
        <v>8699</v>
      </c>
      <c r="J2375" s="2" t="s">
        <v>24</v>
      </c>
      <c r="K2375" s="2" t="s">
        <v>133</v>
      </c>
      <c r="M2375" s="2" t="s">
        <v>24</v>
      </c>
      <c r="N2375" s="2" t="s">
        <v>133</v>
      </c>
      <c r="P2375" s="7">
        <v>0</v>
      </c>
      <c r="Q2375" s="99" t="s">
        <v>8805</v>
      </c>
    </row>
    <row r="2376" spans="1:18">
      <c r="A2376" s="71">
        <v>30</v>
      </c>
      <c r="B2376" s="2" t="s">
        <v>8296</v>
      </c>
      <c r="C2376" s="71">
        <v>8</v>
      </c>
      <c r="D2376" s="2" t="s">
        <v>8413</v>
      </c>
      <c r="E2376" s="74">
        <v>0</v>
      </c>
      <c r="F2376" s="71">
        <v>6</v>
      </c>
      <c r="G2376" s="2" t="s">
        <v>8442</v>
      </c>
      <c r="H2376" s="73" t="s">
        <v>8665</v>
      </c>
      <c r="I2376" s="100" t="s">
        <v>8700</v>
      </c>
      <c r="J2376" s="2" t="s">
        <v>24</v>
      </c>
      <c r="K2376" s="2" t="s">
        <v>263</v>
      </c>
      <c r="M2376" s="2" t="s">
        <v>24</v>
      </c>
      <c r="N2376" s="2" t="s">
        <v>263</v>
      </c>
      <c r="P2376" s="7">
        <v>0</v>
      </c>
      <c r="Q2376" s="99" t="s">
        <v>8806</v>
      </c>
    </row>
    <row r="2377" spans="1:18">
      <c r="A2377" s="71">
        <v>30</v>
      </c>
      <c r="B2377" s="2" t="s">
        <v>8296</v>
      </c>
      <c r="C2377" s="71">
        <v>8</v>
      </c>
      <c r="D2377" s="2" t="s">
        <v>8413</v>
      </c>
      <c r="E2377" s="74">
        <v>0</v>
      </c>
      <c r="F2377" s="71">
        <v>7</v>
      </c>
      <c r="G2377" s="2" t="s">
        <v>8443</v>
      </c>
      <c r="H2377" s="73" t="s">
        <v>8667</v>
      </c>
      <c r="I2377" s="100" t="s">
        <v>8701</v>
      </c>
      <c r="J2377" s="2" t="s">
        <v>24</v>
      </c>
      <c r="K2377" s="2" t="s">
        <v>23</v>
      </c>
      <c r="M2377" s="2" t="s">
        <v>24</v>
      </c>
      <c r="N2377" s="2" t="s">
        <v>23</v>
      </c>
      <c r="P2377" s="7">
        <v>0</v>
      </c>
      <c r="Q2377" s="99" t="s">
        <v>8807</v>
      </c>
    </row>
    <row r="2378" spans="1:18" ht="90">
      <c r="A2378" s="71">
        <v>30</v>
      </c>
      <c r="B2378" s="2" t="s">
        <v>8296</v>
      </c>
      <c r="C2378" s="71">
        <v>8</v>
      </c>
      <c r="D2378" s="2" t="s">
        <v>8413</v>
      </c>
      <c r="E2378" s="74">
        <v>0</v>
      </c>
      <c r="F2378" s="71">
        <v>8</v>
      </c>
      <c r="G2378" s="2" t="s">
        <v>8477</v>
      </c>
      <c r="H2378" s="73" t="s">
        <v>8669</v>
      </c>
      <c r="I2378" s="100" t="s">
        <v>8702</v>
      </c>
      <c r="J2378" s="2" t="s">
        <v>24</v>
      </c>
      <c r="K2378" s="2" t="s">
        <v>116</v>
      </c>
      <c r="L2378" s="16" t="s">
        <v>8702</v>
      </c>
      <c r="M2378" s="2" t="s">
        <v>24</v>
      </c>
      <c r="N2378" s="2" t="s">
        <v>116</v>
      </c>
      <c r="O2378" s="16" t="s">
        <v>8702</v>
      </c>
      <c r="P2378" s="7">
        <v>0</v>
      </c>
      <c r="Q2378" s="99" t="s">
        <v>8808</v>
      </c>
      <c r="R2378" s="6" t="s">
        <v>8809</v>
      </c>
    </row>
    <row r="2379" spans="1:18" ht="60">
      <c r="A2379" s="71">
        <v>30</v>
      </c>
      <c r="B2379" s="2" t="s">
        <v>8296</v>
      </c>
      <c r="C2379" s="71">
        <v>8</v>
      </c>
      <c r="D2379" s="2" t="s">
        <v>8413</v>
      </c>
      <c r="E2379" s="74">
        <v>0</v>
      </c>
      <c r="F2379" s="71">
        <v>9</v>
      </c>
      <c r="G2379" s="2" t="s">
        <v>8478</v>
      </c>
      <c r="H2379" s="73" t="s">
        <v>8671</v>
      </c>
      <c r="I2379" s="100" t="s">
        <v>8703</v>
      </c>
      <c r="J2379" s="2" t="s">
        <v>24</v>
      </c>
      <c r="K2379" s="2" t="s">
        <v>25</v>
      </c>
      <c r="L2379" s="2" t="s">
        <v>8810</v>
      </c>
      <c r="M2379" s="2" t="s">
        <v>24</v>
      </c>
      <c r="N2379" s="2" t="s">
        <v>25</v>
      </c>
      <c r="O2379" s="2" t="s">
        <v>8810</v>
      </c>
      <c r="P2379" s="7">
        <v>0</v>
      </c>
      <c r="Q2379" s="99" t="s">
        <v>8811</v>
      </c>
      <c r="R2379" s="6" t="s">
        <v>8812</v>
      </c>
    </row>
    <row r="2380" spans="1:18">
      <c r="A2380" s="71">
        <v>30</v>
      </c>
      <c r="B2380" s="2" t="s">
        <v>8296</v>
      </c>
      <c r="C2380" s="71">
        <v>8</v>
      </c>
      <c r="D2380" s="2" t="s">
        <v>8413</v>
      </c>
      <c r="E2380" s="74">
        <v>0</v>
      </c>
      <c r="F2380" s="71">
        <v>10</v>
      </c>
      <c r="G2380" s="2" t="s">
        <v>5933</v>
      </c>
      <c r="H2380" s="73" t="s">
        <v>10783</v>
      </c>
      <c r="I2380" s="100" t="s">
        <v>8704</v>
      </c>
      <c r="J2380" s="2" t="s">
        <v>24</v>
      </c>
      <c r="K2380" s="2" t="s">
        <v>335</v>
      </c>
      <c r="M2380" s="2" t="s">
        <v>24</v>
      </c>
      <c r="N2380" s="2" t="s">
        <v>335</v>
      </c>
      <c r="P2380" s="7">
        <v>0</v>
      </c>
      <c r="Q2380" s="99" t="s">
        <v>8813</v>
      </c>
      <c r="R2380" s="2" t="s">
        <v>8814</v>
      </c>
    </row>
    <row r="2381" spans="1:18">
      <c r="A2381" s="71">
        <v>30</v>
      </c>
      <c r="B2381" s="2" t="s">
        <v>8296</v>
      </c>
      <c r="C2381" s="71">
        <v>8</v>
      </c>
      <c r="D2381" s="2" t="s">
        <v>8413</v>
      </c>
      <c r="E2381" s="74">
        <v>0</v>
      </c>
      <c r="F2381" s="71">
        <v>11</v>
      </c>
      <c r="G2381" s="2" t="s">
        <v>10007</v>
      </c>
      <c r="H2381" s="73" t="s">
        <v>10839</v>
      </c>
      <c r="I2381" s="100" t="s">
        <v>10784</v>
      </c>
      <c r="J2381" s="2" t="s">
        <v>24</v>
      </c>
      <c r="K2381" s="2" t="s">
        <v>133</v>
      </c>
      <c r="M2381" s="2" t="s">
        <v>24</v>
      </c>
      <c r="N2381" s="2" t="s">
        <v>133</v>
      </c>
      <c r="P2381" s="7">
        <v>0</v>
      </c>
      <c r="Q2381" s="99" t="s">
        <v>10782</v>
      </c>
    </row>
    <row r="2382" spans="1:18">
      <c r="A2382" s="21">
        <v>30</v>
      </c>
      <c r="B2382" s="2" t="s">
        <v>8296</v>
      </c>
      <c r="C2382" s="21">
        <v>9</v>
      </c>
      <c r="D2382" s="2" t="s">
        <v>9132</v>
      </c>
      <c r="E2382" s="14">
        <v>0</v>
      </c>
      <c r="F2382" s="21">
        <v>0</v>
      </c>
      <c r="G2382" s="2" t="s">
        <v>20</v>
      </c>
      <c r="H2382" s="23" t="s">
        <v>8694</v>
      </c>
      <c r="I2382" s="34" t="s">
        <v>9133</v>
      </c>
      <c r="J2382" s="2" t="s">
        <v>24</v>
      </c>
      <c r="K2382" s="2" t="s">
        <v>25</v>
      </c>
      <c r="L2382" s="2" t="s">
        <v>26</v>
      </c>
      <c r="M2382" s="2" t="s">
        <v>24</v>
      </c>
      <c r="N2382" s="2" t="s">
        <v>25</v>
      </c>
      <c r="O2382" s="2" t="s">
        <v>26</v>
      </c>
      <c r="P2382" s="26">
        <v>1</v>
      </c>
      <c r="Q2382" s="1" t="s">
        <v>9134</v>
      </c>
    </row>
    <row r="2383" spans="1:18">
      <c r="A2383" s="21">
        <v>30</v>
      </c>
      <c r="B2383" s="2" t="s">
        <v>8296</v>
      </c>
      <c r="C2383" s="21">
        <v>9</v>
      </c>
      <c r="D2383" s="2" t="s">
        <v>9132</v>
      </c>
      <c r="E2383" s="14">
        <v>0</v>
      </c>
      <c r="F2383" s="21">
        <v>1</v>
      </c>
      <c r="G2383" s="2" t="s">
        <v>9553</v>
      </c>
      <c r="H2383" s="23" t="s">
        <v>9560</v>
      </c>
      <c r="I2383" s="101" t="s">
        <v>9561</v>
      </c>
      <c r="J2383" s="2" t="s">
        <v>23</v>
      </c>
      <c r="K2383" s="2" t="s">
        <v>23</v>
      </c>
      <c r="M2383" s="2" t="s">
        <v>8105</v>
      </c>
      <c r="N2383" s="2" t="s">
        <v>4275</v>
      </c>
      <c r="O2383" s="16" t="s">
        <v>8847</v>
      </c>
      <c r="P2383" s="26">
        <v>1</v>
      </c>
      <c r="Q2383" s="99" t="s">
        <v>9554</v>
      </c>
    </row>
    <row r="2384" spans="1:18">
      <c r="A2384" s="71">
        <v>30</v>
      </c>
      <c r="B2384" s="2" t="s">
        <v>8296</v>
      </c>
      <c r="C2384" s="71">
        <v>9</v>
      </c>
      <c r="D2384" s="2" t="s">
        <v>9132</v>
      </c>
      <c r="E2384" s="74">
        <v>0</v>
      </c>
      <c r="F2384" s="71">
        <v>2</v>
      </c>
      <c r="G2384" s="2" t="s">
        <v>9555</v>
      </c>
      <c r="H2384" s="73" t="s">
        <v>9562</v>
      </c>
      <c r="I2384" s="100" t="s">
        <v>9563</v>
      </c>
      <c r="J2384" s="2" t="s">
        <v>163</v>
      </c>
      <c r="K2384" s="2" t="s">
        <v>23</v>
      </c>
      <c r="M2384" s="2" t="s">
        <v>24</v>
      </c>
      <c r="N2384" s="2" t="s">
        <v>25</v>
      </c>
      <c r="P2384" s="26">
        <v>0</v>
      </c>
      <c r="Q2384" s="99" t="s">
        <v>9556</v>
      </c>
    </row>
    <row r="2385" spans="1:17">
      <c r="A2385" s="21">
        <v>30</v>
      </c>
      <c r="B2385" s="2" t="s">
        <v>8296</v>
      </c>
      <c r="C2385" s="21">
        <v>9</v>
      </c>
      <c r="D2385" s="2" t="s">
        <v>9132</v>
      </c>
      <c r="E2385" s="14">
        <v>0</v>
      </c>
      <c r="F2385" s="21">
        <v>3</v>
      </c>
      <c r="G2385" s="2" t="s">
        <v>268</v>
      </c>
      <c r="H2385" s="23" t="s">
        <v>9566</v>
      </c>
      <c r="I2385" s="101" t="s">
        <v>9567</v>
      </c>
      <c r="J2385" s="2" t="s">
        <v>23</v>
      </c>
      <c r="K2385" s="2" t="s">
        <v>23</v>
      </c>
      <c r="M2385" s="2" t="s">
        <v>24</v>
      </c>
      <c r="N2385" s="2" t="s">
        <v>206</v>
      </c>
      <c r="P2385" s="26">
        <v>1</v>
      </c>
      <c r="Q2385" s="99" t="s">
        <v>9565</v>
      </c>
    </row>
    <row r="2386" spans="1:17">
      <c r="A2386" s="21">
        <v>30</v>
      </c>
      <c r="B2386" s="2" t="s">
        <v>8296</v>
      </c>
      <c r="C2386" s="21">
        <v>10</v>
      </c>
      <c r="D2386" s="2" t="s">
        <v>10618</v>
      </c>
      <c r="E2386" s="14">
        <v>0</v>
      </c>
      <c r="F2386" s="21">
        <v>0</v>
      </c>
      <c r="G2386" s="2" t="s">
        <v>20</v>
      </c>
      <c r="H2386" s="23" t="s">
        <v>10620</v>
      </c>
      <c r="I2386" s="34" t="s">
        <v>10621</v>
      </c>
      <c r="J2386" s="2" t="s">
        <v>24</v>
      </c>
      <c r="K2386" s="2" t="s">
        <v>25</v>
      </c>
      <c r="L2386" s="2" t="s">
        <v>26</v>
      </c>
      <c r="M2386" s="2" t="s">
        <v>24</v>
      </c>
      <c r="N2386" s="2" t="s">
        <v>25</v>
      </c>
      <c r="O2386" s="2" t="s">
        <v>26</v>
      </c>
      <c r="P2386" s="26">
        <v>1</v>
      </c>
      <c r="Q2386" s="1" t="s">
        <v>10619</v>
      </c>
    </row>
    <row r="2387" spans="1:17">
      <c r="A2387" s="21">
        <v>30</v>
      </c>
      <c r="B2387" s="2" t="s">
        <v>8296</v>
      </c>
      <c r="C2387" s="21">
        <v>10</v>
      </c>
      <c r="D2387" s="2" t="s">
        <v>10618</v>
      </c>
      <c r="E2387" s="14">
        <v>0</v>
      </c>
      <c r="F2387" s="21">
        <v>1</v>
      </c>
      <c r="G2387" s="2" t="s">
        <v>8843</v>
      </c>
      <c r="H2387" s="23" t="s">
        <v>10622</v>
      </c>
      <c r="I2387" s="101" t="s">
        <v>10623</v>
      </c>
      <c r="J2387" s="2" t="s">
        <v>8105</v>
      </c>
      <c r="K2387" s="2" t="s">
        <v>4275</v>
      </c>
      <c r="L2387" s="16" t="s">
        <v>9342</v>
      </c>
      <c r="M2387" s="2" t="s">
        <v>8105</v>
      </c>
      <c r="N2387" s="2" t="s">
        <v>4275</v>
      </c>
      <c r="O2387" s="16" t="s">
        <v>8847</v>
      </c>
      <c r="P2387" s="7">
        <v>1</v>
      </c>
      <c r="Q2387" s="99" t="s">
        <v>8844</v>
      </c>
    </row>
    <row r="2388" spans="1:17">
      <c r="A2388" s="21">
        <v>30</v>
      </c>
      <c r="B2388" s="2" t="s">
        <v>8296</v>
      </c>
      <c r="C2388" s="21">
        <v>10</v>
      </c>
      <c r="D2388" s="2" t="s">
        <v>10618</v>
      </c>
      <c r="E2388" s="14">
        <v>0</v>
      </c>
      <c r="F2388" s="21">
        <v>2</v>
      </c>
      <c r="G2388" s="2" t="s">
        <v>2392</v>
      </c>
      <c r="H2388" s="23" t="s">
        <v>10625</v>
      </c>
      <c r="I2388" s="101" t="s">
        <v>10626</v>
      </c>
      <c r="J2388" s="2" t="s">
        <v>24</v>
      </c>
      <c r="K2388" s="2" t="s">
        <v>116</v>
      </c>
      <c r="L2388" s="16" t="s">
        <v>10626</v>
      </c>
      <c r="M2388" s="2" t="s">
        <v>24</v>
      </c>
      <c r="N2388" s="2" t="s">
        <v>116</v>
      </c>
      <c r="O2388" s="16" t="s">
        <v>10626</v>
      </c>
      <c r="P2388" s="7">
        <v>1</v>
      </c>
      <c r="Q2388" s="99" t="s">
        <v>10624</v>
      </c>
    </row>
    <row r="2389" spans="1:17">
      <c r="A2389" s="21">
        <v>30</v>
      </c>
      <c r="B2389" s="2" t="s">
        <v>8296</v>
      </c>
      <c r="C2389" s="21">
        <v>10</v>
      </c>
      <c r="D2389" s="2" t="s">
        <v>10618</v>
      </c>
      <c r="E2389" s="14">
        <v>0</v>
      </c>
      <c r="F2389" s="21">
        <v>3</v>
      </c>
      <c r="G2389" s="2" t="s">
        <v>10630</v>
      </c>
      <c r="H2389" s="23" t="s">
        <v>10646</v>
      </c>
      <c r="I2389" s="101" t="s">
        <v>10647</v>
      </c>
      <c r="J2389" s="2" t="s">
        <v>24</v>
      </c>
      <c r="K2389" s="2" t="s">
        <v>133</v>
      </c>
      <c r="M2389" s="2" t="s">
        <v>24</v>
      </c>
      <c r="N2389" s="2" t="s">
        <v>133</v>
      </c>
      <c r="P2389" s="7">
        <v>1</v>
      </c>
      <c r="Q2389" s="99" t="s">
        <v>10629</v>
      </c>
    </row>
    <row r="2390" spans="1:17">
      <c r="A2390" s="21">
        <v>30</v>
      </c>
      <c r="B2390" s="2" t="s">
        <v>8296</v>
      </c>
      <c r="C2390" s="21">
        <v>10</v>
      </c>
      <c r="D2390" s="2" t="s">
        <v>10618</v>
      </c>
      <c r="E2390" s="14">
        <v>0</v>
      </c>
      <c r="F2390" s="21">
        <v>4</v>
      </c>
      <c r="G2390" s="2" t="s">
        <v>6332</v>
      </c>
      <c r="H2390" s="23" t="s">
        <v>10648</v>
      </c>
      <c r="I2390" s="101" t="s">
        <v>10649</v>
      </c>
      <c r="J2390" s="2" t="s">
        <v>24</v>
      </c>
      <c r="K2390" s="2" t="s">
        <v>263</v>
      </c>
      <c r="M2390" s="2" t="s">
        <v>24</v>
      </c>
      <c r="N2390" s="2" t="s">
        <v>263</v>
      </c>
      <c r="P2390" s="7">
        <v>1</v>
      </c>
      <c r="Q2390" s="99" t="s">
        <v>10631</v>
      </c>
    </row>
    <row r="2391" spans="1:17">
      <c r="A2391" s="21">
        <v>30</v>
      </c>
      <c r="B2391" s="2" t="s">
        <v>8296</v>
      </c>
      <c r="C2391" s="21">
        <v>10</v>
      </c>
      <c r="D2391" s="2" t="s">
        <v>10618</v>
      </c>
      <c r="E2391" s="14">
        <v>0</v>
      </c>
      <c r="F2391" s="21">
        <v>5</v>
      </c>
      <c r="G2391" s="2" t="s">
        <v>10632</v>
      </c>
      <c r="H2391" s="23" t="s">
        <v>10650</v>
      </c>
      <c r="I2391" s="101" t="s">
        <v>10651</v>
      </c>
      <c r="J2391" s="2" t="s">
        <v>24</v>
      </c>
      <c r="K2391" s="2" t="s">
        <v>133</v>
      </c>
      <c r="M2391" s="2" t="s">
        <v>24</v>
      </c>
      <c r="N2391" s="2" t="s">
        <v>133</v>
      </c>
      <c r="P2391" s="7">
        <v>1</v>
      </c>
      <c r="Q2391" s="99" t="s">
        <v>10633</v>
      </c>
    </row>
    <row r="2392" spans="1:17">
      <c r="A2392" s="21">
        <v>30</v>
      </c>
      <c r="B2392" s="2" t="s">
        <v>8296</v>
      </c>
      <c r="C2392" s="21">
        <v>10</v>
      </c>
      <c r="D2392" s="2" t="s">
        <v>10618</v>
      </c>
      <c r="E2392" s="14">
        <v>0</v>
      </c>
      <c r="F2392" s="21">
        <v>6</v>
      </c>
      <c r="G2392" s="2" t="s">
        <v>10634</v>
      </c>
      <c r="H2392" s="23" t="s">
        <v>10652</v>
      </c>
      <c r="I2392" s="101" t="s">
        <v>10653</v>
      </c>
      <c r="J2392" s="2" t="s">
        <v>24</v>
      </c>
      <c r="K2392" s="2" t="s">
        <v>10871</v>
      </c>
      <c r="M2392" s="2" t="s">
        <v>24</v>
      </c>
      <c r="N2392" s="2" t="s">
        <v>10871</v>
      </c>
      <c r="P2392" s="7">
        <v>1</v>
      </c>
      <c r="Q2392" s="99" t="s">
        <v>10635</v>
      </c>
    </row>
    <row r="2393" spans="1:17">
      <c r="A2393" s="21">
        <v>30</v>
      </c>
      <c r="B2393" s="2" t="s">
        <v>8296</v>
      </c>
      <c r="C2393" s="21">
        <v>10</v>
      </c>
      <c r="D2393" s="2" t="s">
        <v>10618</v>
      </c>
      <c r="E2393" s="14">
        <v>0</v>
      </c>
      <c r="F2393" s="21">
        <v>7</v>
      </c>
      <c r="G2393" s="2" t="s">
        <v>10636</v>
      </c>
      <c r="H2393" s="23" t="s">
        <v>10654</v>
      </c>
      <c r="I2393" s="101" t="s">
        <v>10655</v>
      </c>
      <c r="J2393" s="2" t="s">
        <v>24</v>
      </c>
      <c r="K2393" s="2" t="s">
        <v>133</v>
      </c>
      <c r="M2393" s="2" t="s">
        <v>24</v>
      </c>
      <c r="N2393" s="2" t="s">
        <v>133</v>
      </c>
      <c r="P2393" s="7">
        <v>1</v>
      </c>
      <c r="Q2393" s="99" t="s">
        <v>10637</v>
      </c>
    </row>
    <row r="2394" spans="1:17">
      <c r="A2394" s="21">
        <v>30</v>
      </c>
      <c r="B2394" s="2" t="s">
        <v>8296</v>
      </c>
      <c r="C2394" s="21">
        <v>10</v>
      </c>
      <c r="D2394" s="2" t="s">
        <v>10618</v>
      </c>
      <c r="E2394" s="14">
        <v>0</v>
      </c>
      <c r="F2394" s="21">
        <v>8</v>
      </c>
      <c r="G2394" s="2" t="s">
        <v>10640</v>
      </c>
      <c r="H2394" s="23" t="s">
        <v>10656</v>
      </c>
      <c r="I2394" s="101" t="s">
        <v>10657</v>
      </c>
      <c r="J2394" s="2" t="s">
        <v>24</v>
      </c>
      <c r="K2394" s="2" t="s">
        <v>139</v>
      </c>
      <c r="M2394" s="2" t="s">
        <v>24</v>
      </c>
      <c r="N2394" s="2" t="s">
        <v>139</v>
      </c>
      <c r="P2394" s="7">
        <v>1</v>
      </c>
      <c r="Q2394" s="99" t="s">
        <v>10638</v>
      </c>
    </row>
    <row r="2395" spans="1:17">
      <c r="A2395" s="21">
        <v>30</v>
      </c>
      <c r="B2395" s="2" t="s">
        <v>8296</v>
      </c>
      <c r="C2395" s="21">
        <v>10</v>
      </c>
      <c r="D2395" s="2" t="s">
        <v>10618</v>
      </c>
      <c r="E2395" s="14">
        <v>0</v>
      </c>
      <c r="F2395" s="21">
        <v>9</v>
      </c>
      <c r="G2395" s="2" t="s">
        <v>10641</v>
      </c>
      <c r="H2395" s="23" t="s">
        <v>10658</v>
      </c>
      <c r="I2395" s="101" t="s">
        <v>10659</v>
      </c>
      <c r="J2395" s="2" t="s">
        <v>24</v>
      </c>
      <c r="K2395" s="2" t="s">
        <v>139</v>
      </c>
      <c r="M2395" s="2" t="s">
        <v>24</v>
      </c>
      <c r="N2395" s="2" t="s">
        <v>139</v>
      </c>
      <c r="P2395" s="7">
        <v>1</v>
      </c>
      <c r="Q2395" s="99" t="s">
        <v>10639</v>
      </c>
    </row>
    <row r="2396" spans="1:17">
      <c r="A2396" s="21">
        <v>30</v>
      </c>
      <c r="B2396" s="2" t="s">
        <v>8296</v>
      </c>
      <c r="C2396" s="21">
        <v>10</v>
      </c>
      <c r="D2396" s="2" t="s">
        <v>10618</v>
      </c>
      <c r="E2396" s="14">
        <v>0</v>
      </c>
      <c r="F2396" s="21">
        <v>10</v>
      </c>
      <c r="G2396" s="2" t="s">
        <v>7240</v>
      </c>
      <c r="H2396" s="23" t="s">
        <v>10660</v>
      </c>
      <c r="I2396" s="101" t="s">
        <v>10661</v>
      </c>
      <c r="J2396" s="2" t="s">
        <v>24</v>
      </c>
      <c r="K2396" s="2" t="s">
        <v>263</v>
      </c>
      <c r="M2396" s="2" t="s">
        <v>24</v>
      </c>
      <c r="N2396" s="2" t="s">
        <v>263</v>
      </c>
      <c r="P2396" s="7">
        <v>1</v>
      </c>
      <c r="Q2396" s="99" t="s">
        <v>10740</v>
      </c>
    </row>
    <row r="2397" spans="1:17">
      <c r="A2397" s="21">
        <v>30</v>
      </c>
      <c r="B2397" s="2" t="s">
        <v>8296</v>
      </c>
      <c r="C2397" s="21">
        <v>10</v>
      </c>
      <c r="D2397" s="2" t="s">
        <v>10618</v>
      </c>
      <c r="E2397" s="14">
        <v>0</v>
      </c>
      <c r="F2397" s="21">
        <v>11</v>
      </c>
      <c r="G2397" s="2" t="s">
        <v>10642</v>
      </c>
      <c r="H2397" s="23" t="s">
        <v>10662</v>
      </c>
      <c r="I2397" s="101" t="s">
        <v>10663</v>
      </c>
      <c r="J2397" s="2" t="s">
        <v>24</v>
      </c>
      <c r="K2397" s="2" t="s">
        <v>133</v>
      </c>
      <c r="M2397" s="2" t="s">
        <v>24</v>
      </c>
      <c r="N2397" s="2" t="s">
        <v>133</v>
      </c>
      <c r="P2397" s="7">
        <v>1</v>
      </c>
      <c r="Q2397" s="99" t="s">
        <v>10643</v>
      </c>
    </row>
    <row r="2398" spans="1:17">
      <c r="A2398" s="21">
        <v>30</v>
      </c>
      <c r="B2398" s="2" t="s">
        <v>8296</v>
      </c>
      <c r="C2398" s="21">
        <v>10</v>
      </c>
      <c r="D2398" s="2" t="s">
        <v>10618</v>
      </c>
      <c r="E2398" s="14">
        <v>0</v>
      </c>
      <c r="F2398" s="21">
        <v>12</v>
      </c>
      <c r="G2398" s="2" t="s">
        <v>10644</v>
      </c>
      <c r="H2398" s="23" t="s">
        <v>10664</v>
      </c>
      <c r="I2398" s="101" t="s">
        <v>10665</v>
      </c>
      <c r="J2398" s="2" t="s">
        <v>24</v>
      </c>
      <c r="K2398" s="2" t="s">
        <v>25</v>
      </c>
      <c r="L2398" s="2" t="s">
        <v>7413</v>
      </c>
      <c r="M2398" s="2" t="s">
        <v>24</v>
      </c>
      <c r="N2398" s="2" t="s">
        <v>25</v>
      </c>
      <c r="O2398" s="2" t="s">
        <v>6286</v>
      </c>
      <c r="P2398" s="7">
        <v>1</v>
      </c>
      <c r="Q2398" s="99" t="s">
        <v>10645</v>
      </c>
    </row>
    <row r="2399" spans="1:17">
      <c r="A2399" s="21">
        <v>30</v>
      </c>
      <c r="B2399" s="2" t="s">
        <v>8296</v>
      </c>
      <c r="C2399" s="21">
        <v>10</v>
      </c>
      <c r="D2399" s="2" t="s">
        <v>10618</v>
      </c>
      <c r="E2399" s="14">
        <v>0</v>
      </c>
      <c r="F2399" s="21">
        <v>13</v>
      </c>
      <c r="G2399" s="2" t="s">
        <v>10669</v>
      </c>
      <c r="H2399" s="23" t="s">
        <v>10667</v>
      </c>
      <c r="I2399" s="101" t="s">
        <v>10671</v>
      </c>
      <c r="J2399" s="2" t="s">
        <v>24</v>
      </c>
      <c r="K2399" s="2" t="s">
        <v>25</v>
      </c>
      <c r="L2399" s="2" t="s">
        <v>7413</v>
      </c>
      <c r="M2399" s="2" t="s">
        <v>24</v>
      </c>
      <c r="N2399" s="2" t="s">
        <v>25</v>
      </c>
      <c r="O2399" s="2" t="s">
        <v>6286</v>
      </c>
      <c r="P2399" s="7">
        <v>1</v>
      </c>
      <c r="Q2399" s="99" t="s">
        <v>10670</v>
      </c>
    </row>
    <row r="2400" spans="1:17">
      <c r="A2400" s="21">
        <v>30</v>
      </c>
      <c r="B2400" s="2" t="s">
        <v>8296</v>
      </c>
      <c r="C2400" s="21">
        <v>10</v>
      </c>
      <c r="D2400" s="2" t="s">
        <v>10618</v>
      </c>
      <c r="E2400" s="14">
        <v>0</v>
      </c>
      <c r="F2400" s="21">
        <v>14</v>
      </c>
      <c r="G2400" s="2" t="s">
        <v>412</v>
      </c>
      <c r="H2400" s="23" t="s">
        <v>10672</v>
      </c>
      <c r="I2400" s="101" t="s">
        <v>10668</v>
      </c>
      <c r="J2400" s="2" t="s">
        <v>8105</v>
      </c>
      <c r="K2400" s="2" t="s">
        <v>8117</v>
      </c>
      <c r="L2400" s="16" t="s">
        <v>8115</v>
      </c>
      <c r="M2400" s="2" t="s">
        <v>8105</v>
      </c>
      <c r="N2400" s="2" t="s">
        <v>8117</v>
      </c>
      <c r="O2400" s="16" t="s">
        <v>8115</v>
      </c>
      <c r="P2400" s="7">
        <v>1</v>
      </c>
      <c r="Q2400" s="99" t="s">
        <v>10666</v>
      </c>
    </row>
    <row r="2401" spans="1:18">
      <c r="A2401" s="21">
        <v>30</v>
      </c>
      <c r="B2401" s="2" t="s">
        <v>8296</v>
      </c>
      <c r="C2401" s="21">
        <v>10</v>
      </c>
      <c r="D2401" s="2" t="s">
        <v>10618</v>
      </c>
      <c r="E2401" s="14">
        <v>0</v>
      </c>
      <c r="F2401" s="21">
        <v>15</v>
      </c>
      <c r="G2401" s="2" t="s">
        <v>7023</v>
      </c>
      <c r="H2401" s="23" t="s">
        <v>10759</v>
      </c>
      <c r="I2401" s="101" t="s">
        <v>10760</v>
      </c>
      <c r="J2401" s="2" t="s">
        <v>24</v>
      </c>
      <c r="K2401" s="2" t="s">
        <v>25</v>
      </c>
      <c r="L2401" s="2" t="s">
        <v>7030</v>
      </c>
      <c r="M2401" s="2" t="s">
        <v>24</v>
      </c>
      <c r="N2401" s="2" t="s">
        <v>25</v>
      </c>
      <c r="O2401" s="2" t="s">
        <v>7030</v>
      </c>
      <c r="P2401" s="7">
        <v>1</v>
      </c>
      <c r="Q2401" s="99" t="s">
        <v>7031</v>
      </c>
      <c r="R2401" s="2" t="s">
        <v>7032</v>
      </c>
    </row>
    <row r="2402" spans="1:18">
      <c r="A2402" s="21">
        <v>30</v>
      </c>
      <c r="B2402" s="2" t="s">
        <v>8296</v>
      </c>
      <c r="C2402" s="21">
        <v>11</v>
      </c>
      <c r="D2402" s="2" t="s">
        <v>10681</v>
      </c>
      <c r="E2402" s="14">
        <v>0</v>
      </c>
      <c r="F2402" s="21">
        <v>0</v>
      </c>
      <c r="G2402" s="2" t="s">
        <v>20</v>
      </c>
      <c r="H2402" s="23" t="s">
        <v>10683</v>
      </c>
      <c r="I2402" s="34" t="s">
        <v>10684</v>
      </c>
      <c r="J2402" s="2" t="s">
        <v>24</v>
      </c>
      <c r="K2402" s="2" t="s">
        <v>25</v>
      </c>
      <c r="L2402" s="2" t="s">
        <v>26</v>
      </c>
      <c r="M2402" s="2" t="s">
        <v>24</v>
      </c>
      <c r="N2402" s="2" t="s">
        <v>25</v>
      </c>
      <c r="O2402" s="2" t="s">
        <v>26</v>
      </c>
      <c r="P2402" s="26">
        <v>1</v>
      </c>
      <c r="Q2402" s="1" t="s">
        <v>10682</v>
      </c>
    </row>
    <row r="2403" spans="1:18">
      <c r="A2403" s="21">
        <v>30</v>
      </c>
      <c r="B2403" s="2" t="s">
        <v>8296</v>
      </c>
      <c r="C2403" s="21">
        <v>11</v>
      </c>
      <c r="D2403" s="2" t="s">
        <v>10681</v>
      </c>
      <c r="E2403" s="14">
        <v>0</v>
      </c>
      <c r="F2403" s="21">
        <v>1</v>
      </c>
      <c r="G2403" s="2" t="s">
        <v>8843</v>
      </c>
      <c r="H2403" s="23" t="s">
        <v>10685</v>
      </c>
      <c r="I2403" s="101" t="s">
        <v>10686</v>
      </c>
      <c r="J2403" s="2" t="s">
        <v>8105</v>
      </c>
      <c r="K2403" s="2" t="s">
        <v>4275</v>
      </c>
      <c r="L2403" s="16" t="s">
        <v>9342</v>
      </c>
      <c r="M2403" s="2" t="s">
        <v>8105</v>
      </c>
      <c r="N2403" s="2" t="s">
        <v>4275</v>
      </c>
      <c r="O2403" s="16" t="s">
        <v>8847</v>
      </c>
      <c r="P2403" s="7">
        <v>1</v>
      </c>
      <c r="Q2403" s="99" t="s">
        <v>8844</v>
      </c>
    </row>
    <row r="2404" spans="1:18">
      <c r="A2404" s="21">
        <v>30</v>
      </c>
      <c r="B2404" s="2" t="s">
        <v>8296</v>
      </c>
      <c r="C2404" s="21">
        <v>11</v>
      </c>
      <c r="D2404" s="2" t="s">
        <v>10681</v>
      </c>
      <c r="E2404" s="14">
        <v>0</v>
      </c>
      <c r="F2404" s="21">
        <v>2</v>
      </c>
      <c r="G2404" s="2" t="s">
        <v>2392</v>
      </c>
      <c r="H2404" s="23" t="s">
        <v>10687</v>
      </c>
      <c r="I2404" s="101" t="s">
        <v>10688</v>
      </c>
      <c r="J2404" s="2" t="s">
        <v>24</v>
      </c>
      <c r="K2404" s="2" t="s">
        <v>116</v>
      </c>
      <c r="L2404" s="16" t="s">
        <v>6910</v>
      </c>
      <c r="M2404" s="2" t="s">
        <v>24</v>
      </c>
      <c r="N2404" s="2" t="s">
        <v>116</v>
      </c>
      <c r="O2404" s="16" t="s">
        <v>6910</v>
      </c>
      <c r="P2404" s="7">
        <v>1</v>
      </c>
      <c r="Q2404" s="99" t="s">
        <v>290</v>
      </c>
    </row>
    <row r="2405" spans="1:18">
      <c r="A2405" s="21">
        <v>30</v>
      </c>
      <c r="B2405" s="2" t="s">
        <v>8296</v>
      </c>
      <c r="C2405" s="21">
        <v>11</v>
      </c>
      <c r="D2405" s="2" t="s">
        <v>10681</v>
      </c>
      <c r="E2405" s="14">
        <v>0</v>
      </c>
      <c r="F2405" s="21">
        <v>3</v>
      </c>
      <c r="G2405" s="2" t="s">
        <v>7490</v>
      </c>
      <c r="H2405" s="23" t="s">
        <v>10690</v>
      </c>
      <c r="I2405" s="101" t="s">
        <v>10691</v>
      </c>
      <c r="J2405" s="2" t="s">
        <v>24</v>
      </c>
      <c r="K2405" s="2" t="s">
        <v>116</v>
      </c>
      <c r="L2405" s="16" t="s">
        <v>9154</v>
      </c>
      <c r="M2405" s="2" t="s">
        <v>24</v>
      </c>
      <c r="N2405" s="2" t="s">
        <v>116</v>
      </c>
      <c r="O2405" s="16" t="s">
        <v>9154</v>
      </c>
      <c r="P2405" s="7">
        <v>1</v>
      </c>
      <c r="Q2405" s="99" t="s">
        <v>7496</v>
      </c>
    </row>
    <row r="2406" spans="1:18">
      <c r="A2406" s="21">
        <v>30</v>
      </c>
      <c r="B2406" s="2" t="s">
        <v>8296</v>
      </c>
      <c r="C2406" s="21">
        <v>11</v>
      </c>
      <c r="D2406" s="2" t="s">
        <v>10681</v>
      </c>
      <c r="E2406" s="14">
        <v>0</v>
      </c>
      <c r="F2406" s="21">
        <v>4</v>
      </c>
      <c r="G2406" s="2" t="s">
        <v>8415</v>
      </c>
      <c r="H2406" s="23" t="s">
        <v>10693</v>
      </c>
      <c r="I2406" s="101" t="s">
        <v>10694</v>
      </c>
      <c r="J2406" s="2" t="s">
        <v>24</v>
      </c>
      <c r="K2406" s="2" t="s">
        <v>298</v>
      </c>
      <c r="M2406" s="2" t="s">
        <v>24</v>
      </c>
      <c r="N2406" s="2" t="s">
        <v>298</v>
      </c>
      <c r="P2406" s="7">
        <v>1</v>
      </c>
      <c r="Q2406" s="99" t="s">
        <v>8709</v>
      </c>
    </row>
    <row r="2407" spans="1:18">
      <c r="A2407" s="21">
        <v>30</v>
      </c>
      <c r="B2407" s="2" t="s">
        <v>8296</v>
      </c>
      <c r="C2407" s="21">
        <v>11</v>
      </c>
      <c r="D2407" s="2" t="s">
        <v>10681</v>
      </c>
      <c r="E2407" s="14">
        <v>0</v>
      </c>
      <c r="F2407" s="21">
        <v>5</v>
      </c>
      <c r="G2407" s="2" t="s">
        <v>7024</v>
      </c>
      <c r="H2407" s="23" t="s">
        <v>10695</v>
      </c>
      <c r="I2407" s="101" t="s">
        <v>10696</v>
      </c>
      <c r="J2407" s="2" t="s">
        <v>24</v>
      </c>
      <c r="K2407" s="2" t="s">
        <v>133</v>
      </c>
      <c r="M2407" s="2" t="s">
        <v>24</v>
      </c>
      <c r="N2407" s="2" t="s">
        <v>133</v>
      </c>
      <c r="P2407" s="7">
        <v>1</v>
      </c>
      <c r="Q2407" s="99" t="s">
        <v>7033</v>
      </c>
    </row>
    <row r="2408" spans="1:18">
      <c r="A2408" s="21">
        <v>30</v>
      </c>
      <c r="B2408" s="2" t="s">
        <v>8296</v>
      </c>
      <c r="C2408" s="21">
        <v>11</v>
      </c>
      <c r="D2408" s="2" t="s">
        <v>10681</v>
      </c>
      <c r="E2408" s="14">
        <v>0</v>
      </c>
      <c r="F2408" s="21">
        <v>6</v>
      </c>
      <c r="G2408" s="2" t="s">
        <v>10632</v>
      </c>
      <c r="H2408" s="23" t="s">
        <v>10697</v>
      </c>
      <c r="I2408" s="101" t="s">
        <v>10698</v>
      </c>
      <c r="J2408" s="2" t="s">
        <v>24</v>
      </c>
      <c r="K2408" s="2" t="s">
        <v>133</v>
      </c>
      <c r="M2408" s="2" t="s">
        <v>24</v>
      </c>
      <c r="N2408" s="2" t="s">
        <v>133</v>
      </c>
      <c r="P2408" s="7">
        <v>1</v>
      </c>
      <c r="Q2408" s="99" t="s">
        <v>10692</v>
      </c>
    </row>
    <row r="2409" spans="1:18">
      <c r="A2409" s="21">
        <v>30</v>
      </c>
      <c r="B2409" s="2" t="s">
        <v>8296</v>
      </c>
      <c r="C2409" s="21">
        <v>11</v>
      </c>
      <c r="D2409" s="2" t="s">
        <v>10681</v>
      </c>
      <c r="E2409" s="14">
        <v>0</v>
      </c>
      <c r="F2409" s="21">
        <v>7</v>
      </c>
      <c r="G2409" s="2" t="s">
        <v>10699</v>
      </c>
      <c r="H2409" s="23" t="s">
        <v>10709</v>
      </c>
      <c r="I2409" s="101" t="s">
        <v>10710</v>
      </c>
      <c r="J2409" s="2" t="s">
        <v>24</v>
      </c>
      <c r="K2409" s="2" t="s">
        <v>10871</v>
      </c>
      <c r="M2409" s="2" t="s">
        <v>24</v>
      </c>
      <c r="N2409" s="2" t="s">
        <v>10871</v>
      </c>
      <c r="P2409" s="7">
        <v>1</v>
      </c>
      <c r="Q2409" s="99" t="s">
        <v>10700</v>
      </c>
    </row>
    <row r="2410" spans="1:18">
      <c r="A2410" s="21">
        <v>30</v>
      </c>
      <c r="B2410" s="2" t="s">
        <v>8296</v>
      </c>
      <c r="C2410" s="21">
        <v>11</v>
      </c>
      <c r="D2410" s="2" t="s">
        <v>10681</v>
      </c>
      <c r="E2410" s="14">
        <v>0</v>
      </c>
      <c r="F2410" s="21">
        <v>8</v>
      </c>
      <c r="G2410" s="2" t="s">
        <v>10701</v>
      </c>
      <c r="H2410" s="23" t="s">
        <v>10711</v>
      </c>
      <c r="I2410" s="101" t="s">
        <v>10712</v>
      </c>
      <c r="J2410" s="2" t="s">
        <v>24</v>
      </c>
      <c r="K2410" s="13" t="s">
        <v>10873</v>
      </c>
      <c r="M2410" s="2" t="s">
        <v>24</v>
      </c>
      <c r="N2410" s="13" t="s">
        <v>10873</v>
      </c>
      <c r="P2410" s="7">
        <v>1</v>
      </c>
      <c r="Q2410" s="99" t="s">
        <v>10702</v>
      </c>
    </row>
    <row r="2411" spans="1:18">
      <c r="A2411" s="21">
        <v>30</v>
      </c>
      <c r="B2411" s="2" t="s">
        <v>8296</v>
      </c>
      <c r="C2411" s="21">
        <v>11</v>
      </c>
      <c r="D2411" s="2" t="s">
        <v>10681</v>
      </c>
      <c r="E2411" s="14">
        <v>0</v>
      </c>
      <c r="F2411" s="21">
        <v>9</v>
      </c>
      <c r="G2411" s="2" t="s">
        <v>10703</v>
      </c>
      <c r="H2411" s="23" t="s">
        <v>10713</v>
      </c>
      <c r="I2411" s="101" t="s">
        <v>10714</v>
      </c>
      <c r="J2411" s="2" t="s">
        <v>24</v>
      </c>
      <c r="K2411" s="13" t="s">
        <v>10873</v>
      </c>
      <c r="M2411" s="2" t="s">
        <v>24</v>
      </c>
      <c r="N2411" s="13" t="s">
        <v>10873</v>
      </c>
      <c r="P2411" s="7">
        <v>1</v>
      </c>
      <c r="Q2411" s="99" t="s">
        <v>7013</v>
      </c>
    </row>
    <row r="2412" spans="1:18">
      <c r="A2412" s="21">
        <v>30</v>
      </c>
      <c r="B2412" s="2" t="s">
        <v>8296</v>
      </c>
      <c r="C2412" s="21">
        <v>11</v>
      </c>
      <c r="D2412" s="2" t="s">
        <v>10681</v>
      </c>
      <c r="E2412" s="14">
        <v>0</v>
      </c>
      <c r="F2412" s="21">
        <v>10</v>
      </c>
      <c r="G2412" s="2" t="s">
        <v>7009</v>
      </c>
      <c r="H2412" s="23" t="s">
        <v>10715</v>
      </c>
      <c r="I2412" s="101" t="s">
        <v>10716</v>
      </c>
      <c r="J2412" s="2" t="s">
        <v>24</v>
      </c>
      <c r="K2412" s="2" t="s">
        <v>10871</v>
      </c>
      <c r="M2412" s="2" t="s">
        <v>24</v>
      </c>
      <c r="N2412" s="2" t="s">
        <v>10871</v>
      </c>
      <c r="P2412" s="7">
        <v>1</v>
      </c>
      <c r="Q2412" s="99" t="s">
        <v>7020</v>
      </c>
    </row>
    <row r="2413" spans="1:18">
      <c r="A2413" s="21">
        <v>30</v>
      </c>
      <c r="B2413" s="2" t="s">
        <v>8296</v>
      </c>
      <c r="C2413" s="21">
        <v>11</v>
      </c>
      <c r="D2413" s="2" t="s">
        <v>10681</v>
      </c>
      <c r="E2413" s="14">
        <v>0</v>
      </c>
      <c r="F2413" s="21">
        <v>11</v>
      </c>
      <c r="G2413" s="2" t="s">
        <v>7493</v>
      </c>
      <c r="H2413" s="23" t="s">
        <v>10717</v>
      </c>
      <c r="I2413" s="101" t="s">
        <v>10718</v>
      </c>
      <c r="J2413" s="2" t="s">
        <v>24</v>
      </c>
      <c r="K2413" s="2" t="s">
        <v>263</v>
      </c>
      <c r="M2413" s="2" t="s">
        <v>24</v>
      </c>
      <c r="N2413" s="2" t="s">
        <v>263</v>
      </c>
      <c r="P2413" s="7">
        <v>1</v>
      </c>
      <c r="Q2413" s="99" t="s">
        <v>10704</v>
      </c>
    </row>
    <row r="2414" spans="1:18">
      <c r="A2414" s="21">
        <v>30</v>
      </c>
      <c r="B2414" s="2" t="s">
        <v>8296</v>
      </c>
      <c r="C2414" s="21">
        <v>11</v>
      </c>
      <c r="D2414" s="2" t="s">
        <v>10681</v>
      </c>
      <c r="E2414" s="14">
        <v>0</v>
      </c>
      <c r="F2414" s="21">
        <v>12</v>
      </c>
      <c r="G2414" s="2" t="s">
        <v>10705</v>
      </c>
      <c r="H2414" s="23" t="s">
        <v>10719</v>
      </c>
      <c r="I2414" s="101" t="s">
        <v>10720</v>
      </c>
      <c r="J2414" s="2" t="s">
        <v>24</v>
      </c>
      <c r="K2414" s="2" t="s">
        <v>133</v>
      </c>
      <c r="M2414" s="2" t="s">
        <v>24</v>
      </c>
      <c r="N2414" s="2" t="s">
        <v>133</v>
      </c>
      <c r="P2414" s="7">
        <v>1</v>
      </c>
      <c r="Q2414" s="99" t="s">
        <v>10706</v>
      </c>
    </row>
    <row r="2415" spans="1:18">
      <c r="A2415" s="21">
        <v>30</v>
      </c>
      <c r="B2415" s="2" t="s">
        <v>8296</v>
      </c>
      <c r="C2415" s="21">
        <v>11</v>
      </c>
      <c r="D2415" s="2" t="s">
        <v>10681</v>
      </c>
      <c r="E2415" s="14">
        <v>0</v>
      </c>
      <c r="F2415" s="21">
        <v>13</v>
      </c>
      <c r="G2415" s="2" t="s">
        <v>10707</v>
      </c>
      <c r="H2415" s="23" t="s">
        <v>10721</v>
      </c>
      <c r="I2415" s="101" t="s">
        <v>10722</v>
      </c>
      <c r="J2415" s="2" t="s">
        <v>24</v>
      </c>
      <c r="K2415" s="2" t="s">
        <v>133</v>
      </c>
      <c r="M2415" s="2" t="s">
        <v>24</v>
      </c>
      <c r="N2415" s="2" t="s">
        <v>133</v>
      </c>
      <c r="P2415" s="7">
        <v>1</v>
      </c>
      <c r="Q2415" s="99" t="s">
        <v>10708</v>
      </c>
    </row>
    <row r="2416" spans="1:18">
      <c r="A2416" s="21">
        <v>30</v>
      </c>
      <c r="B2416" s="2" t="s">
        <v>8296</v>
      </c>
      <c r="C2416" s="21">
        <v>11</v>
      </c>
      <c r="D2416" s="2" t="s">
        <v>10681</v>
      </c>
      <c r="E2416" s="14">
        <v>0</v>
      </c>
      <c r="F2416" s="21">
        <v>14</v>
      </c>
      <c r="G2416" s="2" t="s">
        <v>8305</v>
      </c>
      <c r="H2416" s="23" t="s">
        <v>10723</v>
      </c>
      <c r="I2416" s="101" t="s">
        <v>10724</v>
      </c>
      <c r="J2416" s="2" t="s">
        <v>24</v>
      </c>
      <c r="K2416" s="2" t="s">
        <v>133</v>
      </c>
      <c r="M2416" s="2" t="s">
        <v>24</v>
      </c>
      <c r="N2416" s="2" t="s">
        <v>133</v>
      </c>
      <c r="P2416" s="7">
        <v>1</v>
      </c>
      <c r="Q2416" s="99" t="s">
        <v>2308</v>
      </c>
    </row>
    <row r="2417" spans="1:17">
      <c r="A2417" s="21">
        <v>30</v>
      </c>
      <c r="B2417" s="2" t="s">
        <v>8296</v>
      </c>
      <c r="C2417" s="21">
        <v>11</v>
      </c>
      <c r="D2417" s="2" t="s">
        <v>10681</v>
      </c>
      <c r="E2417" s="14">
        <v>0</v>
      </c>
      <c r="F2417" s="21">
        <v>15</v>
      </c>
      <c r="G2417" s="2" t="s">
        <v>8306</v>
      </c>
      <c r="H2417" s="23" t="s">
        <v>10726</v>
      </c>
      <c r="I2417" s="101" t="s">
        <v>10727</v>
      </c>
      <c r="J2417" s="2" t="s">
        <v>24</v>
      </c>
      <c r="K2417" s="2" t="s">
        <v>49</v>
      </c>
      <c r="M2417" s="2" t="s">
        <v>24</v>
      </c>
      <c r="N2417" s="2" t="s">
        <v>49</v>
      </c>
      <c r="P2417" s="7">
        <v>1</v>
      </c>
      <c r="Q2417" s="99" t="s">
        <v>8332</v>
      </c>
    </row>
    <row r="2418" spans="1:17">
      <c r="A2418" s="21">
        <v>30</v>
      </c>
      <c r="B2418" s="2" t="s">
        <v>8296</v>
      </c>
      <c r="C2418" s="21">
        <v>11</v>
      </c>
      <c r="D2418" s="2" t="s">
        <v>10681</v>
      </c>
      <c r="E2418" s="14">
        <v>0</v>
      </c>
      <c r="F2418" s="21">
        <v>16</v>
      </c>
      <c r="G2418" s="2" t="s">
        <v>8307</v>
      </c>
      <c r="H2418" s="23" t="s">
        <v>10728</v>
      </c>
      <c r="I2418" s="101" t="s">
        <v>10729</v>
      </c>
      <c r="J2418" s="2" t="s">
        <v>24</v>
      </c>
      <c r="K2418" s="2" t="s">
        <v>23</v>
      </c>
      <c r="M2418" s="2" t="s">
        <v>24</v>
      </c>
      <c r="N2418" s="2" t="s">
        <v>23</v>
      </c>
      <c r="P2418" s="7">
        <v>1</v>
      </c>
      <c r="Q2418" s="99" t="s">
        <v>10725</v>
      </c>
    </row>
    <row r="2419" spans="1:17">
      <c r="A2419" s="21">
        <v>30</v>
      </c>
      <c r="B2419" s="2" t="s">
        <v>8296</v>
      </c>
      <c r="C2419" s="21">
        <v>11</v>
      </c>
      <c r="D2419" s="2" t="s">
        <v>10681</v>
      </c>
      <c r="E2419" s="14">
        <v>0</v>
      </c>
      <c r="F2419" s="21">
        <v>17</v>
      </c>
      <c r="G2419" s="2" t="s">
        <v>7579</v>
      </c>
      <c r="H2419" s="23" t="s">
        <v>10730</v>
      </c>
      <c r="I2419" s="101" t="s">
        <v>10731</v>
      </c>
      <c r="J2419" s="2" t="s">
        <v>24</v>
      </c>
      <c r="K2419" s="2" t="s">
        <v>133</v>
      </c>
      <c r="M2419" s="2" t="s">
        <v>24</v>
      </c>
      <c r="N2419" s="2" t="s">
        <v>133</v>
      </c>
      <c r="P2419" s="7">
        <v>1</v>
      </c>
      <c r="Q2419" s="99" t="s">
        <v>7583</v>
      </c>
    </row>
    <row r="2420" spans="1:17">
      <c r="A2420" s="21">
        <v>30</v>
      </c>
      <c r="B2420" s="2" t="s">
        <v>8296</v>
      </c>
      <c r="C2420" s="21">
        <v>11</v>
      </c>
      <c r="D2420" s="2" t="s">
        <v>10681</v>
      </c>
      <c r="E2420" s="14">
        <v>0</v>
      </c>
      <c r="F2420" s="21">
        <v>18</v>
      </c>
      <c r="G2420" s="2" t="s">
        <v>8313</v>
      </c>
      <c r="H2420" s="23" t="s">
        <v>10732</v>
      </c>
      <c r="I2420" s="101" t="s">
        <v>10733</v>
      </c>
      <c r="J2420" s="2" t="s">
        <v>24</v>
      </c>
      <c r="K2420" s="2" t="s">
        <v>49</v>
      </c>
      <c r="M2420" s="2" t="s">
        <v>24</v>
      </c>
      <c r="N2420" s="2" t="s">
        <v>49</v>
      </c>
      <c r="P2420" s="7">
        <v>1</v>
      </c>
      <c r="Q2420" s="99" t="s">
        <v>7608</v>
      </c>
    </row>
    <row r="2421" spans="1:17">
      <c r="A2421" s="21">
        <v>30</v>
      </c>
      <c r="B2421" s="2" t="s">
        <v>8296</v>
      </c>
      <c r="C2421" s="21">
        <v>11</v>
      </c>
      <c r="D2421" s="2" t="s">
        <v>10681</v>
      </c>
      <c r="E2421" s="14">
        <v>0</v>
      </c>
      <c r="F2421" s="21">
        <v>19</v>
      </c>
      <c r="G2421" s="2" t="s">
        <v>7580</v>
      </c>
      <c r="H2421" s="23" t="s">
        <v>10734</v>
      </c>
      <c r="I2421" s="101" t="s">
        <v>10735</v>
      </c>
      <c r="J2421" s="2" t="s">
        <v>24</v>
      </c>
      <c r="K2421" s="2" t="s">
        <v>133</v>
      </c>
      <c r="M2421" s="2" t="s">
        <v>24</v>
      </c>
      <c r="N2421" s="2" t="s">
        <v>133</v>
      </c>
      <c r="P2421" s="7">
        <v>1</v>
      </c>
      <c r="Q2421" s="99" t="s">
        <v>7585</v>
      </c>
    </row>
    <row r="2422" spans="1:17">
      <c r="A2422" s="21">
        <v>30</v>
      </c>
      <c r="B2422" s="2" t="s">
        <v>8296</v>
      </c>
      <c r="C2422" s="21">
        <v>11</v>
      </c>
      <c r="D2422" s="2" t="s">
        <v>10681</v>
      </c>
      <c r="E2422" s="14">
        <v>0</v>
      </c>
      <c r="F2422" s="21">
        <v>20</v>
      </c>
      <c r="G2422" s="2" t="s">
        <v>8309</v>
      </c>
      <c r="H2422" s="23" t="s">
        <v>10736</v>
      </c>
      <c r="I2422" s="101" t="s">
        <v>10737</v>
      </c>
      <c r="J2422" s="2" t="s">
        <v>24</v>
      </c>
      <c r="K2422" s="2" t="s">
        <v>133</v>
      </c>
      <c r="M2422" s="2" t="s">
        <v>24</v>
      </c>
      <c r="N2422" s="2" t="s">
        <v>133</v>
      </c>
      <c r="P2422" s="7">
        <v>1</v>
      </c>
      <c r="Q2422" s="99" t="s">
        <v>9795</v>
      </c>
    </row>
    <row r="2423" spans="1:17">
      <c r="A2423" s="21">
        <v>30</v>
      </c>
      <c r="B2423" s="2" t="s">
        <v>8296</v>
      </c>
      <c r="C2423" s="21">
        <v>11</v>
      </c>
      <c r="D2423" s="2" t="s">
        <v>10681</v>
      </c>
      <c r="E2423" s="14">
        <v>0</v>
      </c>
      <c r="F2423" s="21">
        <v>21</v>
      </c>
      <c r="G2423" s="2" t="s">
        <v>8310</v>
      </c>
      <c r="H2423" s="23" t="s">
        <v>10738</v>
      </c>
      <c r="I2423" s="101" t="s">
        <v>10739</v>
      </c>
      <c r="J2423" s="2" t="s">
        <v>24</v>
      </c>
      <c r="K2423" s="2" t="s">
        <v>23</v>
      </c>
      <c r="M2423" s="2" t="s">
        <v>24</v>
      </c>
      <c r="N2423" s="2" t="s">
        <v>23</v>
      </c>
      <c r="P2423" s="7">
        <v>1</v>
      </c>
      <c r="Q2423" s="99" t="s">
        <v>8334</v>
      </c>
    </row>
    <row r="2424" spans="1:17">
      <c r="A2424" s="21">
        <v>30</v>
      </c>
      <c r="B2424" s="2" t="s">
        <v>8296</v>
      </c>
      <c r="C2424" s="21">
        <v>11</v>
      </c>
      <c r="D2424" s="2" t="s">
        <v>10681</v>
      </c>
      <c r="E2424" s="14">
        <v>0</v>
      </c>
      <c r="F2424" s="21">
        <v>22</v>
      </c>
      <c r="G2424" s="2" t="s">
        <v>10761</v>
      </c>
      <c r="H2424" s="23" t="s">
        <v>10763</v>
      </c>
      <c r="I2424" s="101" t="s">
        <v>10764</v>
      </c>
      <c r="J2424" s="2" t="s">
        <v>24</v>
      </c>
      <c r="K2424" s="2" t="s">
        <v>133</v>
      </c>
      <c r="M2424" s="2" t="s">
        <v>24</v>
      </c>
      <c r="N2424" s="2" t="s">
        <v>133</v>
      </c>
      <c r="P2424" s="7">
        <v>1</v>
      </c>
      <c r="Q2424" s="99" t="s">
        <v>10762</v>
      </c>
    </row>
    <row r="2425" spans="1:17">
      <c r="A2425" s="21">
        <v>30</v>
      </c>
      <c r="B2425" s="2" t="s">
        <v>8296</v>
      </c>
      <c r="C2425" s="21">
        <v>11</v>
      </c>
      <c r="D2425" s="2" t="s">
        <v>10681</v>
      </c>
      <c r="E2425" s="14">
        <v>0</v>
      </c>
      <c r="F2425" s="21">
        <v>23</v>
      </c>
      <c r="G2425" s="2" t="s">
        <v>10765</v>
      </c>
      <c r="H2425" s="23" t="s">
        <v>10769</v>
      </c>
      <c r="I2425" s="101" t="s">
        <v>10770</v>
      </c>
      <c r="J2425" s="2" t="s">
        <v>24</v>
      </c>
      <c r="K2425" s="2" t="s">
        <v>133</v>
      </c>
      <c r="M2425" s="2" t="s">
        <v>24</v>
      </c>
      <c r="N2425" s="2" t="s">
        <v>133</v>
      </c>
      <c r="P2425" s="7">
        <v>1</v>
      </c>
      <c r="Q2425" s="99" t="s">
        <v>7602</v>
      </c>
    </row>
    <row r="2426" spans="1:17">
      <c r="A2426" s="21">
        <v>30</v>
      </c>
      <c r="B2426" s="2" t="s">
        <v>8296</v>
      </c>
      <c r="C2426" s="21">
        <v>11</v>
      </c>
      <c r="D2426" s="2" t="s">
        <v>10681</v>
      </c>
      <c r="E2426" s="14">
        <v>0</v>
      </c>
      <c r="F2426" s="21">
        <v>24</v>
      </c>
      <c r="G2426" s="2" t="s">
        <v>10766</v>
      </c>
      <c r="H2426" s="23" t="s">
        <v>10771</v>
      </c>
      <c r="I2426" s="101" t="s">
        <v>10772</v>
      </c>
      <c r="J2426" s="2" t="s">
        <v>24</v>
      </c>
      <c r="K2426" s="2" t="s">
        <v>133</v>
      </c>
      <c r="M2426" s="2" t="s">
        <v>24</v>
      </c>
      <c r="N2426" s="2" t="s">
        <v>133</v>
      </c>
      <c r="P2426" s="7">
        <v>1</v>
      </c>
      <c r="Q2426" s="99" t="s">
        <v>7604</v>
      </c>
    </row>
    <row r="2427" spans="1:17">
      <c r="A2427" s="21">
        <v>30</v>
      </c>
      <c r="B2427" s="2" t="s">
        <v>8296</v>
      </c>
      <c r="C2427" s="21">
        <v>11</v>
      </c>
      <c r="D2427" s="2" t="s">
        <v>10681</v>
      </c>
      <c r="E2427" s="14">
        <v>0</v>
      </c>
      <c r="F2427" s="21">
        <v>25</v>
      </c>
      <c r="G2427" s="2" t="s">
        <v>10767</v>
      </c>
      <c r="H2427" s="23" t="s">
        <v>10773</v>
      </c>
      <c r="I2427" s="101" t="s">
        <v>10774</v>
      </c>
      <c r="J2427" s="2" t="s">
        <v>24</v>
      </c>
      <c r="K2427" s="2" t="s">
        <v>121</v>
      </c>
      <c r="M2427" s="2" t="s">
        <v>24</v>
      </c>
      <c r="N2427" s="2" t="s">
        <v>121</v>
      </c>
      <c r="P2427" s="7">
        <v>1</v>
      </c>
      <c r="Q2427" s="99" t="s">
        <v>7606</v>
      </c>
    </row>
    <row r="2428" spans="1:17">
      <c r="A2428" s="21">
        <v>30</v>
      </c>
      <c r="B2428" s="2" t="s">
        <v>8296</v>
      </c>
      <c r="C2428" s="21">
        <v>11</v>
      </c>
      <c r="D2428" s="2" t="s">
        <v>10681</v>
      </c>
      <c r="E2428" s="14">
        <v>0</v>
      </c>
      <c r="F2428" s="21">
        <v>26</v>
      </c>
      <c r="G2428" s="2" t="s">
        <v>10768</v>
      </c>
      <c r="H2428" s="23" t="s">
        <v>10775</v>
      </c>
      <c r="I2428" s="101" t="s">
        <v>10776</v>
      </c>
      <c r="J2428" s="2" t="s">
        <v>24</v>
      </c>
      <c r="K2428" s="2" t="s">
        <v>133</v>
      </c>
      <c r="M2428" s="2" t="s">
        <v>24</v>
      </c>
      <c r="N2428" s="2" t="s">
        <v>133</v>
      </c>
      <c r="P2428" s="7">
        <v>1</v>
      </c>
      <c r="Q2428" s="99" t="s">
        <v>2574</v>
      </c>
    </row>
    <row r="2429" spans="1:17">
      <c r="A2429" s="21">
        <v>30</v>
      </c>
      <c r="B2429" s="2" t="s">
        <v>8296</v>
      </c>
      <c r="C2429" s="21">
        <v>11</v>
      </c>
      <c r="D2429" s="2" t="s">
        <v>10681</v>
      </c>
      <c r="E2429" s="14">
        <v>0</v>
      </c>
      <c r="F2429" s="21">
        <v>27</v>
      </c>
      <c r="G2429" s="2" t="s">
        <v>10777</v>
      </c>
      <c r="H2429" s="23" t="s">
        <v>10778</v>
      </c>
      <c r="I2429" s="101" t="s">
        <v>10779</v>
      </c>
      <c r="J2429" s="2" t="s">
        <v>24</v>
      </c>
      <c r="K2429" s="2" t="s">
        <v>263</v>
      </c>
      <c r="M2429" s="2" t="s">
        <v>24</v>
      </c>
      <c r="N2429" s="2" t="s">
        <v>263</v>
      </c>
      <c r="P2429" s="7">
        <v>1</v>
      </c>
      <c r="Q2429" s="99" t="s">
        <v>2579</v>
      </c>
    </row>
    <row r="2430" spans="1:17">
      <c r="A2430" s="21">
        <v>30</v>
      </c>
      <c r="B2430" s="2" t="s">
        <v>8296</v>
      </c>
      <c r="C2430" s="21">
        <v>11</v>
      </c>
      <c r="D2430" s="2" t="s">
        <v>10681</v>
      </c>
      <c r="E2430" s="14">
        <v>0</v>
      </c>
      <c r="F2430" s="21">
        <v>28</v>
      </c>
      <c r="G2430" s="2" t="s">
        <v>273</v>
      </c>
      <c r="H2430" s="23" t="s">
        <v>10780</v>
      </c>
      <c r="I2430" s="101" t="s">
        <v>10781</v>
      </c>
      <c r="J2430" s="2" t="s">
        <v>24</v>
      </c>
      <c r="K2430" s="2" t="s">
        <v>139</v>
      </c>
      <c r="M2430" s="2" t="s">
        <v>24</v>
      </c>
      <c r="N2430" s="2" t="s">
        <v>139</v>
      </c>
      <c r="P2430" s="7">
        <v>1</v>
      </c>
      <c r="Q2430" s="99" t="s">
        <v>3053</v>
      </c>
    </row>
    <row r="2431" spans="1:17">
      <c r="A2431" s="72"/>
      <c r="C2431" s="72"/>
      <c r="E2431" s="86"/>
      <c r="F2431" s="72"/>
      <c r="H2431" s="87" t="s">
        <v>234</v>
      </c>
      <c r="I2431" s="105"/>
      <c r="Q2431" s="99"/>
    </row>
    <row r="2432" spans="1:17">
      <c r="A2432" s="71">
        <v>31</v>
      </c>
      <c r="B2432" s="2" t="s">
        <v>8911</v>
      </c>
      <c r="C2432" s="71">
        <v>0</v>
      </c>
      <c r="D2432" s="2" t="s">
        <v>8912</v>
      </c>
      <c r="E2432" s="74">
        <v>0</v>
      </c>
      <c r="F2432" s="71">
        <v>0</v>
      </c>
      <c r="G2432" s="2" t="s">
        <v>20</v>
      </c>
      <c r="H2432" s="73" t="s">
        <v>8914</v>
      </c>
      <c r="I2432" s="76" t="s">
        <v>8915</v>
      </c>
      <c r="J2432" s="2" t="s">
        <v>24</v>
      </c>
      <c r="K2432" s="2" t="s">
        <v>25</v>
      </c>
      <c r="L2432" s="2" t="s">
        <v>26</v>
      </c>
      <c r="M2432" s="2" t="s">
        <v>24</v>
      </c>
      <c r="N2432" s="2" t="s">
        <v>25</v>
      </c>
      <c r="O2432" s="2" t="s">
        <v>26</v>
      </c>
      <c r="P2432" s="26">
        <v>0</v>
      </c>
      <c r="Q2432" s="1" t="s">
        <v>8913</v>
      </c>
    </row>
    <row r="2433" spans="1:18">
      <c r="A2433" s="71">
        <v>31</v>
      </c>
      <c r="B2433" s="2" t="s">
        <v>8911</v>
      </c>
      <c r="C2433" s="71">
        <v>0</v>
      </c>
      <c r="D2433" s="2" t="s">
        <v>8912</v>
      </c>
      <c r="E2433" s="74">
        <v>0</v>
      </c>
      <c r="F2433" s="71">
        <v>1</v>
      </c>
      <c r="G2433" s="2" t="s">
        <v>8916</v>
      </c>
      <c r="H2433" s="73" t="s">
        <v>8918</v>
      </c>
      <c r="I2433" s="100" t="s">
        <v>8919</v>
      </c>
      <c r="J2433" s="2" t="s">
        <v>24</v>
      </c>
      <c r="K2433" s="2" t="s">
        <v>116</v>
      </c>
      <c r="L2433" s="16" t="s">
        <v>8919</v>
      </c>
      <c r="M2433" s="2" t="s">
        <v>24</v>
      </c>
      <c r="N2433" s="2" t="s">
        <v>116</v>
      </c>
      <c r="O2433" s="16" t="s">
        <v>8919</v>
      </c>
      <c r="P2433" s="7">
        <v>0</v>
      </c>
      <c r="Q2433" s="99" t="s">
        <v>8917</v>
      </c>
    </row>
    <row r="2434" spans="1:18">
      <c r="A2434" s="21">
        <v>31</v>
      </c>
      <c r="B2434" s="2" t="s">
        <v>8911</v>
      </c>
      <c r="C2434" s="21">
        <v>1</v>
      </c>
      <c r="D2434" s="2" t="s">
        <v>6341</v>
      </c>
      <c r="E2434" s="14">
        <v>0</v>
      </c>
      <c r="F2434" s="21">
        <v>0</v>
      </c>
      <c r="G2434" s="2" t="s">
        <v>20</v>
      </c>
      <c r="H2434" s="23" t="s">
        <v>9083</v>
      </c>
      <c r="I2434" s="34" t="s">
        <v>9049</v>
      </c>
      <c r="J2434" s="2" t="s">
        <v>24</v>
      </c>
      <c r="K2434" s="2" t="s">
        <v>25</v>
      </c>
      <c r="L2434" s="2" t="s">
        <v>26</v>
      </c>
      <c r="M2434" s="2" t="s">
        <v>24</v>
      </c>
      <c r="N2434" s="2" t="s">
        <v>25</v>
      </c>
      <c r="O2434" s="2" t="s">
        <v>26</v>
      </c>
      <c r="P2434" s="26">
        <v>1</v>
      </c>
      <c r="Q2434" s="1" t="s">
        <v>9050</v>
      </c>
      <c r="R2434" s="2" t="s">
        <v>9041</v>
      </c>
    </row>
    <row r="2435" spans="1:18">
      <c r="A2435" s="21">
        <v>31</v>
      </c>
      <c r="B2435" s="2" t="s">
        <v>8911</v>
      </c>
      <c r="C2435" s="21">
        <v>1</v>
      </c>
      <c r="D2435" s="2" t="s">
        <v>6341</v>
      </c>
      <c r="E2435" s="14">
        <v>0</v>
      </c>
      <c r="F2435" s="21">
        <v>1</v>
      </c>
      <c r="G2435" s="2" t="s">
        <v>9039</v>
      </c>
      <c r="H2435" s="23" t="s">
        <v>9084</v>
      </c>
      <c r="I2435" s="101" t="s">
        <v>9051</v>
      </c>
      <c r="J2435" s="2" t="s">
        <v>23</v>
      </c>
      <c r="K2435" s="2" t="s">
        <v>23</v>
      </c>
      <c r="L2435" s="16"/>
      <c r="M2435" s="2" t="s">
        <v>38</v>
      </c>
      <c r="N2435" s="2" t="s">
        <v>23</v>
      </c>
      <c r="O2435" s="16"/>
      <c r="P2435" s="7">
        <v>1</v>
      </c>
      <c r="Q2435" s="99" t="s">
        <v>9040</v>
      </c>
      <c r="R2435" s="2" t="s">
        <v>9053</v>
      </c>
    </row>
    <row r="2436" spans="1:18">
      <c r="A2436" s="21">
        <v>31</v>
      </c>
      <c r="B2436" s="2" t="s">
        <v>8911</v>
      </c>
      <c r="C2436" s="21">
        <v>1</v>
      </c>
      <c r="D2436" s="2" t="s">
        <v>6341</v>
      </c>
      <c r="E2436" s="14">
        <v>0</v>
      </c>
      <c r="F2436" s="21">
        <v>2</v>
      </c>
      <c r="G2436" s="2" t="s">
        <v>2901</v>
      </c>
      <c r="H2436" s="23" t="s">
        <v>9085</v>
      </c>
      <c r="I2436" s="101" t="s">
        <v>9055</v>
      </c>
      <c r="J2436" s="2" t="s">
        <v>8100</v>
      </c>
      <c r="K2436" s="2" t="s">
        <v>23</v>
      </c>
      <c r="L2436" s="16"/>
      <c r="M2436" s="2" t="s">
        <v>8100</v>
      </c>
      <c r="N2436" s="2" t="s">
        <v>23</v>
      </c>
      <c r="O2436" s="16"/>
      <c r="P2436" s="7">
        <v>1</v>
      </c>
      <c r="Q2436" s="99" t="s">
        <v>9052</v>
      </c>
      <c r="R2436" s="2" t="s">
        <v>9054</v>
      </c>
    </row>
    <row r="2437" spans="1:18">
      <c r="A2437" s="21">
        <v>31</v>
      </c>
      <c r="B2437" s="2" t="s">
        <v>8911</v>
      </c>
      <c r="C2437" s="21">
        <v>1</v>
      </c>
      <c r="D2437" s="2" t="s">
        <v>6341</v>
      </c>
      <c r="E2437" s="14">
        <v>0</v>
      </c>
      <c r="F2437" s="21">
        <v>3</v>
      </c>
      <c r="G2437" s="2" t="s">
        <v>181</v>
      </c>
      <c r="H2437" s="23" t="s">
        <v>9086</v>
      </c>
      <c r="I2437" s="101" t="s">
        <v>9056</v>
      </c>
      <c r="J2437" s="2" t="s">
        <v>38</v>
      </c>
      <c r="K2437" s="2" t="s">
        <v>23</v>
      </c>
      <c r="L2437" s="16"/>
      <c r="M2437" s="2" t="s">
        <v>38</v>
      </c>
      <c r="N2437" s="2" t="s">
        <v>23</v>
      </c>
      <c r="O2437" s="16"/>
      <c r="P2437" s="7">
        <v>1</v>
      </c>
      <c r="Q2437" s="99" t="s">
        <v>2836</v>
      </c>
    </row>
    <row r="2438" spans="1:18">
      <c r="A2438" s="21">
        <v>31</v>
      </c>
      <c r="B2438" s="2" t="s">
        <v>8911</v>
      </c>
      <c r="C2438" s="21">
        <v>1</v>
      </c>
      <c r="D2438" s="2" t="s">
        <v>6341</v>
      </c>
      <c r="E2438" s="14">
        <v>0</v>
      </c>
      <c r="F2438" s="21">
        <v>4</v>
      </c>
      <c r="G2438" s="2" t="s">
        <v>2392</v>
      </c>
      <c r="H2438" s="23" t="s">
        <v>9087</v>
      </c>
      <c r="I2438" s="101" t="s">
        <v>9058</v>
      </c>
      <c r="J2438" s="2" t="s">
        <v>23</v>
      </c>
      <c r="K2438" s="2" t="s">
        <v>23</v>
      </c>
      <c r="L2438" s="16"/>
      <c r="M2438" s="2" t="s">
        <v>24</v>
      </c>
      <c r="N2438" s="2" t="s">
        <v>116</v>
      </c>
      <c r="O2438" s="16" t="s">
        <v>9058</v>
      </c>
      <c r="P2438" s="7">
        <v>1</v>
      </c>
      <c r="Q2438" s="99" t="s">
        <v>9057</v>
      </c>
    </row>
    <row r="2439" spans="1:18">
      <c r="A2439" s="21">
        <v>31</v>
      </c>
      <c r="B2439" s="2" t="s">
        <v>8911</v>
      </c>
      <c r="C2439" s="21">
        <v>1</v>
      </c>
      <c r="D2439" s="2" t="s">
        <v>6341</v>
      </c>
      <c r="E2439" s="14">
        <v>0</v>
      </c>
      <c r="F2439" s="21">
        <v>5</v>
      </c>
      <c r="G2439" s="2" t="s">
        <v>9063</v>
      </c>
      <c r="H2439" s="23" t="s">
        <v>9088</v>
      </c>
      <c r="I2439" s="101" t="s">
        <v>9065</v>
      </c>
      <c r="J2439" s="2" t="s">
        <v>8105</v>
      </c>
      <c r="K2439" s="2" t="s">
        <v>4275</v>
      </c>
      <c r="L2439" s="16" t="s">
        <v>9342</v>
      </c>
      <c r="M2439" s="2" t="s">
        <v>8105</v>
      </c>
      <c r="N2439" s="2" t="s">
        <v>4275</v>
      </c>
      <c r="O2439" s="16" t="s">
        <v>8847</v>
      </c>
      <c r="P2439" s="7">
        <v>1</v>
      </c>
      <c r="Q2439" s="99" t="s">
        <v>9064</v>
      </c>
    </row>
    <row r="2440" spans="1:18">
      <c r="A2440" s="21">
        <v>31</v>
      </c>
      <c r="B2440" s="2" t="s">
        <v>8911</v>
      </c>
      <c r="C2440" s="21">
        <v>1</v>
      </c>
      <c r="D2440" s="2" t="s">
        <v>6341</v>
      </c>
      <c r="E2440" s="14">
        <v>0</v>
      </c>
      <c r="F2440" s="21">
        <v>6</v>
      </c>
      <c r="G2440" s="2" t="s">
        <v>9066</v>
      </c>
      <c r="H2440" s="23" t="s">
        <v>9089</v>
      </c>
      <c r="I2440" s="101" t="s">
        <v>9069</v>
      </c>
      <c r="J2440" s="2" t="s">
        <v>8105</v>
      </c>
      <c r="K2440" s="2" t="s">
        <v>4275</v>
      </c>
      <c r="L2440" s="16" t="s">
        <v>9342</v>
      </c>
      <c r="M2440" s="2" t="s">
        <v>8105</v>
      </c>
      <c r="N2440" s="2" t="s">
        <v>4275</v>
      </c>
      <c r="O2440" s="16" t="s">
        <v>8847</v>
      </c>
      <c r="P2440" s="7">
        <v>1</v>
      </c>
      <c r="Q2440" s="99" t="s">
        <v>9067</v>
      </c>
    </row>
    <row r="2441" spans="1:18">
      <c r="A2441" s="21">
        <v>31</v>
      </c>
      <c r="B2441" s="2" t="s">
        <v>8911</v>
      </c>
      <c r="C2441" s="21">
        <v>1</v>
      </c>
      <c r="D2441" s="2" t="s">
        <v>6341</v>
      </c>
      <c r="E2441" s="14">
        <v>0</v>
      </c>
      <c r="F2441" s="21">
        <v>7</v>
      </c>
      <c r="G2441" s="2" t="s">
        <v>8452</v>
      </c>
      <c r="H2441" s="23" t="s">
        <v>9090</v>
      </c>
      <c r="I2441" s="101" t="s">
        <v>9070</v>
      </c>
      <c r="J2441" s="2" t="s">
        <v>24</v>
      </c>
      <c r="K2441" s="2" t="s">
        <v>116</v>
      </c>
      <c r="L2441" s="16" t="s">
        <v>9070</v>
      </c>
      <c r="M2441" s="2" t="s">
        <v>24</v>
      </c>
      <c r="N2441" s="2" t="s">
        <v>116</v>
      </c>
      <c r="O2441" s="16" t="s">
        <v>9070</v>
      </c>
      <c r="P2441" s="7">
        <v>1</v>
      </c>
      <c r="Q2441" s="99" t="s">
        <v>9068</v>
      </c>
    </row>
    <row r="2442" spans="1:18">
      <c r="A2442" s="21">
        <v>31</v>
      </c>
      <c r="B2442" s="2" t="s">
        <v>8911</v>
      </c>
      <c r="C2442" s="21">
        <v>1</v>
      </c>
      <c r="D2442" s="2" t="s">
        <v>6341</v>
      </c>
      <c r="E2442" s="14">
        <v>0</v>
      </c>
      <c r="F2442" s="21">
        <v>8</v>
      </c>
      <c r="G2442" s="2" t="s">
        <v>9072</v>
      </c>
      <c r="H2442" s="23" t="s">
        <v>9091</v>
      </c>
      <c r="I2442" s="101" t="s">
        <v>9074</v>
      </c>
      <c r="J2442" s="2" t="s">
        <v>24</v>
      </c>
      <c r="K2442" s="2" t="s">
        <v>116</v>
      </c>
      <c r="L2442" s="16" t="s">
        <v>9074</v>
      </c>
      <c r="M2442" s="2" t="s">
        <v>24</v>
      </c>
      <c r="N2442" s="2" t="s">
        <v>116</v>
      </c>
      <c r="O2442" s="16" t="s">
        <v>9074</v>
      </c>
      <c r="P2442" s="7">
        <v>1</v>
      </c>
      <c r="Q2442" s="99" t="s">
        <v>9073</v>
      </c>
    </row>
    <row r="2443" spans="1:18">
      <c r="A2443" s="71">
        <v>31</v>
      </c>
      <c r="B2443" s="2" t="s">
        <v>8911</v>
      </c>
      <c r="C2443" s="71">
        <v>1</v>
      </c>
      <c r="D2443" s="2" t="s">
        <v>6341</v>
      </c>
      <c r="E2443" s="74">
        <v>0</v>
      </c>
      <c r="F2443" s="71">
        <v>9</v>
      </c>
      <c r="G2443" s="2" t="s">
        <v>9075</v>
      </c>
      <c r="H2443" s="73" t="s">
        <v>9092</v>
      </c>
      <c r="I2443" s="100" t="s">
        <v>9076</v>
      </c>
      <c r="J2443" s="2" t="s">
        <v>163</v>
      </c>
      <c r="K2443" s="2" t="s">
        <v>23</v>
      </c>
      <c r="L2443" s="16"/>
      <c r="M2443" s="2" t="s">
        <v>8100</v>
      </c>
      <c r="N2443" s="2" t="s">
        <v>4275</v>
      </c>
      <c r="O2443" s="16"/>
      <c r="P2443" s="7">
        <v>0</v>
      </c>
      <c r="Q2443" s="99" t="s">
        <v>9119</v>
      </c>
    </row>
    <row r="2444" spans="1:18">
      <c r="A2444" s="71">
        <v>31</v>
      </c>
      <c r="B2444" s="2" t="s">
        <v>8911</v>
      </c>
      <c r="C2444" s="71">
        <v>1</v>
      </c>
      <c r="D2444" s="2" t="s">
        <v>6341</v>
      </c>
      <c r="E2444" s="74">
        <v>0</v>
      </c>
      <c r="F2444" s="71">
        <v>10</v>
      </c>
      <c r="G2444" s="2" t="s">
        <v>9077</v>
      </c>
      <c r="H2444" s="73" t="s">
        <v>9093</v>
      </c>
      <c r="I2444" s="100" t="s">
        <v>9078</v>
      </c>
      <c r="J2444" s="2" t="s">
        <v>163</v>
      </c>
      <c r="K2444" s="2" t="s">
        <v>23</v>
      </c>
      <c r="L2444" s="16"/>
      <c r="M2444" s="2" t="s">
        <v>23</v>
      </c>
      <c r="N2444" s="2" t="s">
        <v>23</v>
      </c>
      <c r="O2444" s="16"/>
      <c r="P2444" s="7">
        <v>0</v>
      </c>
      <c r="Q2444" s="99" t="s">
        <v>9484</v>
      </c>
    </row>
    <row r="2445" spans="1:18">
      <c r="A2445" s="71">
        <v>31</v>
      </c>
      <c r="B2445" s="2" t="s">
        <v>8911</v>
      </c>
      <c r="C2445" s="71">
        <v>2</v>
      </c>
      <c r="D2445" s="2" t="s">
        <v>9080</v>
      </c>
      <c r="E2445" s="74">
        <v>0</v>
      </c>
      <c r="F2445" s="71">
        <v>0</v>
      </c>
      <c r="G2445" s="2" t="s">
        <v>20</v>
      </c>
      <c r="H2445" s="73" t="s">
        <v>9094</v>
      </c>
      <c r="I2445" s="76" t="s">
        <v>9082</v>
      </c>
      <c r="J2445" s="2" t="s">
        <v>24</v>
      </c>
      <c r="K2445" s="2" t="s">
        <v>25</v>
      </c>
      <c r="L2445" s="2" t="s">
        <v>26</v>
      </c>
      <c r="M2445" s="2" t="s">
        <v>24</v>
      </c>
      <c r="N2445" s="2" t="s">
        <v>25</v>
      </c>
      <c r="O2445" s="2" t="s">
        <v>26</v>
      </c>
      <c r="P2445" s="26">
        <v>0</v>
      </c>
      <c r="Q2445" s="1" t="s">
        <v>9081</v>
      </c>
    </row>
    <row r="2446" spans="1:18">
      <c r="A2446" s="71">
        <v>31</v>
      </c>
      <c r="B2446" s="2" t="s">
        <v>8911</v>
      </c>
      <c r="C2446" s="71">
        <v>2</v>
      </c>
      <c r="D2446" s="2" t="s">
        <v>9080</v>
      </c>
      <c r="E2446" s="74">
        <v>0</v>
      </c>
      <c r="F2446" s="71">
        <v>1</v>
      </c>
      <c r="G2446" s="2" t="s">
        <v>9095</v>
      </c>
      <c r="H2446" s="73" t="s">
        <v>9097</v>
      </c>
      <c r="I2446" s="100" t="s">
        <v>9098</v>
      </c>
      <c r="J2446" s="2" t="s">
        <v>24</v>
      </c>
      <c r="K2446" s="2" t="s">
        <v>23</v>
      </c>
      <c r="L2446" s="16"/>
      <c r="M2446" s="2" t="s">
        <v>24</v>
      </c>
      <c r="N2446" s="2" t="s">
        <v>23</v>
      </c>
      <c r="O2446" s="16"/>
      <c r="P2446" s="7">
        <v>0</v>
      </c>
      <c r="Q2446" s="99" t="s">
        <v>9096</v>
      </c>
    </row>
    <row r="2447" spans="1:18">
      <c r="A2447" s="71">
        <v>31</v>
      </c>
      <c r="B2447" s="2" t="s">
        <v>8911</v>
      </c>
      <c r="C2447" s="71">
        <v>2</v>
      </c>
      <c r="D2447" s="2" t="s">
        <v>9080</v>
      </c>
      <c r="E2447" s="74">
        <v>0</v>
      </c>
      <c r="F2447" s="71">
        <v>2</v>
      </c>
      <c r="G2447" s="2" t="s">
        <v>9099</v>
      </c>
      <c r="H2447" s="73" t="s">
        <v>9102</v>
      </c>
      <c r="I2447" s="100" t="s">
        <v>9103</v>
      </c>
      <c r="J2447" s="2" t="s">
        <v>8105</v>
      </c>
      <c r="K2447" s="2" t="s">
        <v>23</v>
      </c>
      <c r="L2447" s="16" t="s">
        <v>9100</v>
      </c>
      <c r="M2447" s="2" t="s">
        <v>8105</v>
      </c>
      <c r="N2447" s="2" t="s">
        <v>23</v>
      </c>
      <c r="O2447" s="16" t="s">
        <v>9100</v>
      </c>
      <c r="P2447" s="7">
        <v>0</v>
      </c>
      <c r="Q2447" s="99" t="s">
        <v>9104</v>
      </c>
    </row>
    <row r="2448" spans="1:18">
      <c r="A2448" s="71">
        <v>31</v>
      </c>
      <c r="B2448" s="2" t="s">
        <v>8911</v>
      </c>
      <c r="C2448" s="71">
        <v>2</v>
      </c>
      <c r="D2448" s="2" t="s">
        <v>9080</v>
      </c>
      <c r="E2448" s="74">
        <v>0</v>
      </c>
      <c r="F2448" s="71">
        <v>3</v>
      </c>
      <c r="G2448" s="2" t="s">
        <v>9105</v>
      </c>
      <c r="H2448" s="73" t="s">
        <v>9107</v>
      </c>
      <c r="I2448" s="100" t="s">
        <v>9108</v>
      </c>
      <c r="J2448" s="2" t="s">
        <v>24</v>
      </c>
      <c r="K2448" s="2" t="s">
        <v>23</v>
      </c>
      <c r="L2448" s="16"/>
      <c r="M2448" s="2" t="s">
        <v>24</v>
      </c>
      <c r="N2448" s="2" t="s">
        <v>23</v>
      </c>
      <c r="O2448" s="16"/>
      <c r="P2448" s="7">
        <v>0</v>
      </c>
      <c r="Q2448" s="99" t="s">
        <v>9106</v>
      </c>
    </row>
    <row r="2449" spans="1:18">
      <c r="A2449" s="71">
        <v>31</v>
      </c>
      <c r="B2449" s="2" t="s">
        <v>8911</v>
      </c>
      <c r="C2449" s="71">
        <v>2</v>
      </c>
      <c r="D2449" s="2" t="s">
        <v>9080</v>
      </c>
      <c r="E2449" s="74">
        <v>0</v>
      </c>
      <c r="F2449" s="71">
        <v>4</v>
      </c>
      <c r="G2449" s="2" t="s">
        <v>346</v>
      </c>
      <c r="H2449" s="73" t="s">
        <v>9112</v>
      </c>
      <c r="I2449" s="100" t="s">
        <v>9113</v>
      </c>
      <c r="J2449" s="2" t="s">
        <v>24</v>
      </c>
      <c r="K2449" s="2" t="s">
        <v>139</v>
      </c>
      <c r="L2449" s="16"/>
      <c r="M2449" s="2" t="s">
        <v>24</v>
      </c>
      <c r="N2449" s="2" t="s">
        <v>139</v>
      </c>
      <c r="O2449" s="16"/>
      <c r="P2449" s="7">
        <v>0</v>
      </c>
      <c r="Q2449" s="99" t="s">
        <v>9109</v>
      </c>
    </row>
    <row r="2450" spans="1:18">
      <c r="A2450" s="71">
        <v>31</v>
      </c>
      <c r="B2450" s="2" t="s">
        <v>8911</v>
      </c>
      <c r="C2450" s="71">
        <v>2</v>
      </c>
      <c r="D2450" s="2" t="s">
        <v>9080</v>
      </c>
      <c r="E2450" s="74">
        <v>0</v>
      </c>
      <c r="F2450" s="71">
        <v>5</v>
      </c>
      <c r="G2450" s="2" t="s">
        <v>9110</v>
      </c>
      <c r="H2450" s="73" t="s">
        <v>9114</v>
      </c>
      <c r="I2450" s="100" t="s">
        <v>9115</v>
      </c>
      <c r="J2450" s="2" t="s">
        <v>24</v>
      </c>
      <c r="K2450" s="2" t="s">
        <v>139</v>
      </c>
      <c r="L2450" s="16"/>
      <c r="M2450" s="2" t="s">
        <v>24</v>
      </c>
      <c r="N2450" s="2" t="s">
        <v>139</v>
      </c>
      <c r="O2450" s="16"/>
      <c r="P2450" s="7">
        <v>0</v>
      </c>
      <c r="Q2450" s="99" t="s">
        <v>9111</v>
      </c>
    </row>
    <row r="2451" spans="1:18">
      <c r="A2451" s="71">
        <v>31</v>
      </c>
      <c r="B2451" s="2" t="s">
        <v>8911</v>
      </c>
      <c r="C2451" s="71">
        <v>2</v>
      </c>
      <c r="D2451" s="2" t="s">
        <v>9080</v>
      </c>
      <c r="E2451" s="74">
        <v>0</v>
      </c>
      <c r="F2451" s="71">
        <v>6</v>
      </c>
      <c r="G2451" s="2" t="s">
        <v>9066</v>
      </c>
      <c r="H2451" s="73" t="s">
        <v>9116</v>
      </c>
      <c r="I2451" s="100" t="s">
        <v>9117</v>
      </c>
      <c r="J2451" s="2" t="s">
        <v>8105</v>
      </c>
      <c r="K2451" s="2" t="s">
        <v>4275</v>
      </c>
      <c r="L2451" s="16" t="s">
        <v>9342</v>
      </c>
      <c r="M2451" s="2" t="s">
        <v>8105</v>
      </c>
      <c r="N2451" s="2" t="s">
        <v>4275</v>
      </c>
      <c r="O2451" s="16" t="s">
        <v>8847</v>
      </c>
      <c r="P2451" s="7">
        <v>0</v>
      </c>
      <c r="Q2451" s="99" t="s">
        <v>9118</v>
      </c>
    </row>
    <row r="2452" spans="1:18">
      <c r="A2452" s="21">
        <v>31</v>
      </c>
      <c r="B2452" s="2" t="s">
        <v>8911</v>
      </c>
      <c r="C2452" s="21">
        <v>3</v>
      </c>
      <c r="D2452" s="2" t="s">
        <v>10558</v>
      </c>
      <c r="E2452" s="14">
        <v>0</v>
      </c>
      <c r="F2452" s="21">
        <v>0</v>
      </c>
      <c r="G2452" s="2" t="s">
        <v>20</v>
      </c>
      <c r="H2452" s="23" t="s">
        <v>10561</v>
      </c>
      <c r="I2452" s="34" t="s">
        <v>10562</v>
      </c>
      <c r="J2452" s="2" t="s">
        <v>24</v>
      </c>
      <c r="K2452" s="2" t="s">
        <v>25</v>
      </c>
      <c r="L2452" s="2" t="s">
        <v>26</v>
      </c>
      <c r="M2452" s="2" t="s">
        <v>24</v>
      </c>
      <c r="N2452" s="2" t="s">
        <v>25</v>
      </c>
      <c r="O2452" s="2" t="s">
        <v>26</v>
      </c>
      <c r="P2452" s="26">
        <v>1</v>
      </c>
      <c r="Q2452" s="1" t="s">
        <v>10559</v>
      </c>
      <c r="R2452" s="2" t="s">
        <v>10568</v>
      </c>
    </row>
    <row r="2453" spans="1:18">
      <c r="A2453" s="21">
        <v>31</v>
      </c>
      <c r="B2453" s="2" t="s">
        <v>8911</v>
      </c>
      <c r="C2453" s="21">
        <v>3</v>
      </c>
      <c r="D2453" s="2" t="s">
        <v>10558</v>
      </c>
      <c r="E2453" s="14">
        <v>0</v>
      </c>
      <c r="F2453" s="21">
        <v>1</v>
      </c>
      <c r="G2453" s="2" t="s">
        <v>10560</v>
      </c>
      <c r="H2453" s="23" t="s">
        <v>10563</v>
      </c>
      <c r="I2453" s="101" t="s">
        <v>10564</v>
      </c>
      <c r="J2453" s="2" t="s">
        <v>24</v>
      </c>
      <c r="K2453" s="2" t="s">
        <v>116</v>
      </c>
      <c r="L2453" s="16" t="s">
        <v>9058</v>
      </c>
      <c r="M2453" s="2" t="s">
        <v>8105</v>
      </c>
      <c r="N2453" s="2" t="s">
        <v>4275</v>
      </c>
      <c r="O2453" s="16" t="s">
        <v>10566</v>
      </c>
      <c r="P2453" s="7">
        <v>1</v>
      </c>
      <c r="Q2453" s="99" t="s">
        <v>10567</v>
      </c>
    </row>
  </sheetData>
  <sheetProtection formatCells="0" formatColumns="0" formatRows="0" insertColumns="0" insertRows="0" insertHyperlinks="0" deleteColumns="0" deleteRows="0" selectLockedCells="1" sort="0" autoFilter="0" pivotTables="0"/>
  <autoFilter ref="A1:R2432" xr:uid="{A6A4902C-F25F-429F-9C08-546FA9B68EEA}"/>
  <phoneticPr fontId="2" type="noConversion"/>
  <conditionalFormatting sqref="T520:T958 T1:T491 T963:T1048576">
    <cfRule type="top10" dxfId="5" priority="11" rank="1"/>
    <cfRule type="top10" priority="12" rank="1"/>
  </conditionalFormatting>
  <conditionalFormatting sqref="T959">
    <cfRule type="top10" dxfId="4" priority="9" rank="1"/>
    <cfRule type="top10" priority="10" rank="1"/>
  </conditionalFormatting>
  <conditionalFormatting sqref="T960">
    <cfRule type="top10" dxfId="3" priority="7" rank="1"/>
    <cfRule type="top10" priority="8" rank="1"/>
  </conditionalFormatting>
  <conditionalFormatting sqref="T961">
    <cfRule type="top10" dxfId="2" priority="5" rank="1"/>
    <cfRule type="top10" priority="6" rank="1"/>
  </conditionalFormatting>
  <conditionalFormatting sqref="T962">
    <cfRule type="top10" dxfId="1" priority="3" rank="1"/>
    <cfRule type="top10" priority="4" rank="1"/>
  </conditionalFormatting>
  <conditionalFormatting sqref="T492:T519">
    <cfRule type="top10" dxfId="0" priority="1" rank="1"/>
    <cfRule type="top10" priority="2" rank="1"/>
  </conditionalFormatting>
  <hyperlinks>
    <hyperlink ref="O66" location="ac_ac_0_fanspeed" display="ac0fspd" xr:uid="{6D7BB72F-E3F0-4E07-9B67-4A648F2B6D9D}"/>
    <hyperlink ref="O67" location="ac_ac_0_mode" display="ac0md" xr:uid="{F609064F-9011-4B59-8922-B361B60F78EF}"/>
    <hyperlink ref="O73" location="ac_ac_0_model" display="ac0mdl" xr:uid="{6778F3C0-0BAA-433F-8DCD-80B3DFD886D4}"/>
    <hyperlink ref="O120" location="sys_sys_0_logoType" display="sys0logo" xr:uid="{3000A520-BE20-4C6E-A094-EFAF01C8015A}"/>
    <hyperlink ref="O160" location="heater_htr_0_energySel" display="htr0esel" xr:uid="{8AA33222-0475-41E9-B4F2-ADBF997DD52E}"/>
    <hyperlink ref="O159" location="heater_htr_0_wtrTemp" display="htr0wtrtemp" xr:uid="{AF63BE56-831B-4715-B9CD-D07DCAF5EC2E}"/>
    <hyperlink ref="O162" location="heater_htr_0_model" display="htr0mdl" xr:uid="{6F0A1FF1-9A4C-4644-8A9F-2C3128CCEF1A}"/>
    <hyperlink ref="O204" location="fridge_fridge_0_mode" display="frg0md" xr:uid="{ABC1D9B9-94B0-45F2-9F48-B87CA2F86736}"/>
    <hyperlink ref="O210" location="sat_kat_0_model" display="satkat0mdl" xr:uid="{9F52984B-4401-4379-A2C3-127540626E17}"/>
    <hyperlink ref="O211" location="sat_kat_0_status" display="satkat0sts" xr:uid="{3B0D7E10-F5C9-439B-A65B-2DEF620EC743}"/>
    <hyperlink ref="O212" location="sat_kat_0_cmd" display="satkat0cmd" xr:uid="{F096B035-B678-41FF-BB12-9016E207F191}"/>
    <hyperlink ref="O215" location="sat_kat_0_orbitPos" display="satkat0opos" xr:uid="{8AE0A12E-C63C-45FB-9050-1DC0D1547281}"/>
    <hyperlink ref="O164" location="htr0el" display="htr0el" xr:uid="{74ED5772-6B9C-48FA-9249-1567FCF37BAF}"/>
    <hyperlink ref="O23" location="gw0rrsn" display="gw0rrsn" xr:uid="{BD44F291-CC15-445D-A227-05E7FA9BD308}"/>
    <hyperlink ref="O166" location="Enums!A16" display="htr0amd" xr:uid="{979A44D0-636D-4D4B-A0CC-00FAB3D9B0AF}"/>
    <hyperlink ref="O169" location="Enums!A17" display="htr0errst" xr:uid="{24A34CAF-4381-45AD-80E2-13C3BCACDA69}"/>
    <hyperlink ref="O347" location="Enums!A18" display="mb0errst" xr:uid="{B8F15388-0D87-49DD-B806-B6C9596DAB75}"/>
    <hyperlink ref="O61" location="Enums!A19" display="ibs0battyp" xr:uid="{8B885B30-A361-4A6C-852A-6E76EC1F3D37}"/>
    <hyperlink ref="O167" location="Enums!A20" display="fanspeed" xr:uid="{2D513B7D-AB65-4401-A453-6BD3C3B3DFFD}"/>
    <hyperlink ref="O168" location="Enums!A20" display="fanspeed" xr:uid="{12DA6915-FF8E-4829-AEFC-1DACBE524BE7}"/>
    <hyperlink ref="O175" location="Enums!A21" display="htr0sysu" xr:uid="{C4325EFE-5D95-4A17-8232-22085A53F56B}"/>
    <hyperlink ref="O420" location="Enums!A23" display="ts0omd" xr:uid="{EA6920F8-4E26-4C03-8C71-0D54EEDFF987}"/>
    <hyperlink ref="O597" location="Enums!A19" display="ibs0battyp" xr:uid="{EE0658A8-6290-43CC-8C71-AED5D79A2ACF}"/>
    <hyperlink ref="O606" location="Enums!A25" display="ibs0battyp" xr:uid="{39A7C47C-8BC8-4D5E-B1C9-5B93B6B7A97F}"/>
    <hyperlink ref="O618" location="Enums!A26" display="gntr0cmd" xr:uid="{48BF6752-CCD0-41BA-A60D-CA58E7C783FF}"/>
    <hyperlink ref="O619" location="Enums!A27" display="gntr0type" xr:uid="{2B781C5A-C01F-42E3-8AF5-5C004F31B4FB}"/>
    <hyperlink ref="O642" location="Enums!A28" display="acch0acchos" xr:uid="{DBE08846-F8CC-4CE6-BBA7-B37AC16ABE36}"/>
    <hyperlink ref="O645" location="Enums!A29" display="acch0acchfc" xr:uid="{33C5DDFE-FD83-422F-A94A-557645AB2D07}"/>
    <hyperlink ref="O570" location="Enums!A30" display="aw0motion" xr:uid="{DE080C2F-0553-4C56-84A4-7407C37921A8}"/>
    <hyperlink ref="O600" location="Enums!A31" display="gntr0dcost" xr:uid="{85232728-182F-4E9D-8BBF-3F644FCAABEC}"/>
    <hyperlink ref="O700" location="Enums!A32" display="currentStatus" xr:uid="{ECDEF564-F194-4D00-8151-30575D392FDE}"/>
    <hyperlink ref="O579" location="Enums!A32" display="currentStatus" xr:uid="{FA5BAB12-8A6B-4F05-B825-85FB13884EDA}"/>
    <hyperlink ref="O683" location="Enums!A33" display="ts0type" xr:uid="{2BF66A0F-DED0-4F61-8254-175883771298}"/>
    <hyperlink ref="O709" location="Enums!A32" display="currentStatus" xr:uid="{61332CA6-9310-42F8-9A7C-1F48A729A3BA}"/>
    <hyperlink ref="O717" location="Enums!A32" display="currentStatus" xr:uid="{F75788D5-4A6C-47EE-9864-5D7B618E16A5}"/>
    <hyperlink ref="O457" location="Enums!A34" display="modeState" xr:uid="{1022485A-1124-411B-8198-9DD3BB8AAEE4}"/>
    <hyperlink ref="O460" location="Enums!A34" display="modeState" xr:uid="{B67F9315-0A63-4DCA-8696-087A7CBF7324}"/>
    <hyperlink ref="O706" location="Enums!A35" display="dcl0cmd" xr:uid="{75B71493-641D-4712-929F-30213F40A753}"/>
    <hyperlink ref="O713" location="Enums!A36" display="dim0cmd" xr:uid="{BB4A57E6-A2A0-455A-A6B3-7EF0F0619F4F}"/>
    <hyperlink ref="O649" location="Enums!A37" display="iter0md" xr:uid="{B45A13DA-5559-421D-950C-0375E67A9DB5}"/>
    <hyperlink ref="O463" location="Enums!A34" display="modeState" xr:uid="{3B2CCAC8-3142-6448-AA35-CC47077EBE9A}"/>
    <hyperlink ref="O702" location="Enums!A39" display="wh0opstat" xr:uid="{9B7EB046-5292-4005-A321-AAACF09A9F5A}"/>
    <hyperlink ref="O703" location="Enums!A40" display="wh0hlvl" xr:uid="{AB22407F-93EA-4FB5-B1B3-5FD5D111DFFC}"/>
    <hyperlink ref="O624" location="Enums!A42" display="gntr0extactr" xr:uid="{1A41403E-7CF2-4303-A6EE-F2422774DA54}"/>
    <hyperlink ref="O625" location="Enums!A43" display="gntr0quiett" xr:uid="{DA007068-FFBE-44C5-A4D8-707418DFFE03}"/>
    <hyperlink ref="O634" location="Enums!A44" display="gntr0exdw" xr:uid="{A5E122E7-8E31-4990-926C-701D374CB56B}"/>
    <hyperlink ref="O734" location="Enums!A44" display="gntr0exdw" xr:uid="{3F2AAF34-E043-3241-AF61-7F56B775B247}"/>
    <hyperlink ref="O724" location="Enums!A45" display="sc0stat" xr:uid="{273ABCB2-1E14-4BD5-9881-7D31A434366B}"/>
    <hyperlink ref="O197" location="Enums!A51" display="htr0wtrts" xr:uid="{B15FA300-09E1-4F18-9A24-CDDA2E617704}"/>
    <hyperlink ref="O710" location="Enums!A52" display="dcl0type" xr:uid="{34BC2095-DD66-4B21-9FB9-107B9A64401A}"/>
    <hyperlink ref="O580" location="Enums!A32" display="currentStatus" xr:uid="{F3DDE977-13AB-294A-8033-DDE9D7F9D2BA}"/>
    <hyperlink ref="O262" location="Enums!A47" display="wctrl0cstat" xr:uid="{4E6961DD-F8FD-4ED6-8A30-21F969B0E3C7}"/>
    <hyperlink ref="O274" location="bt0pair_out" display="bt0pair_out" xr:uid="{74B7A1E3-B487-4BE0-813C-1887C374C486}"/>
    <hyperlink ref="L274" location="bt0pair_in" display="bt0pair_in" xr:uid="{CD507D50-B54B-456F-9E7E-F5EF3A20A5BF}"/>
    <hyperlink ref="L61" location="Enums!A19" display="ibs0battyp" xr:uid="{208D2B20-ED15-4268-B11C-06F9DF6DD3A2}"/>
    <hyperlink ref="L66" location="ac_ac_0_fanspeed" display="ac0fspd" xr:uid="{8A6F3308-C223-491C-B8DC-44414EC32FFD}"/>
    <hyperlink ref="L159" location="heater_htr_0_wtrTemp" display="htr0wtrtemp" xr:uid="{9F14C4B3-F115-4F25-B4BF-EC3AAFA92BB2}"/>
    <hyperlink ref="L160" location="heater_htr_0_energySel" display="htr0esel" xr:uid="{C83955AA-C8CB-4DA2-9D51-25D187BBEEA6}"/>
    <hyperlink ref="L164" location="htr0el" display="htr0el" xr:uid="{0B698480-1FE4-4304-A314-9116FCFCAE78}"/>
    <hyperlink ref="L166" location="Enums!A16" display="htr0amd" xr:uid="{E4192C7E-391B-45EE-B92A-AD001A6F218D}"/>
    <hyperlink ref="L167" location="Enums!A20" display="fanspeed" xr:uid="{858C2054-52B2-474C-BFA1-3218BED9336F}"/>
    <hyperlink ref="L168" location="Enums!A20" display="fanspeed" xr:uid="{D9923937-3788-4E6B-AF9E-38C4C4200979}"/>
    <hyperlink ref="L175" location="Enums!A21" display="htr0sysu" xr:uid="{734431C9-B893-457B-AE50-C98A8756E6E1}"/>
    <hyperlink ref="L204" location="fridge_fridge_0_mode" display="frg0md" xr:uid="{7CE0231E-BFD3-4807-B114-19DFE630CB21}"/>
    <hyperlink ref="L420" location="Enums!A23" display="ts0omd" xr:uid="{9DF72C83-2D49-484C-804E-A2BE28DEF5A4}"/>
    <hyperlink ref="L570" location="Enums!A30" display="aw0motion" xr:uid="{1545F0EC-DC2D-4B94-B48C-C3D12235223A}"/>
    <hyperlink ref="L579" location="Enums!A32" display="currentStatus" xr:uid="{B676D005-2FA6-4729-A6D1-637F746A222C}"/>
    <hyperlink ref="L580" location="Enums!A32" display="currentStatus" xr:uid="{26371BEB-83A7-431B-ACD7-1536880CF25C}"/>
    <hyperlink ref="L624" location="Enums!A42" display="gntr0extactr" xr:uid="{F709A3F8-0B8B-4E34-B9A8-9C9547C56906}"/>
    <hyperlink ref="L625" location="Enums!A43" display="gntr0quiett" xr:uid="{00DF1959-DC58-49A7-8425-E9D3616F2E18}"/>
    <hyperlink ref="L634" location="Enums!A44" display="gntr0exdw" xr:uid="{AE03753A-7129-4AAA-93C2-FA9DA1695551}"/>
    <hyperlink ref="L645" location="Enums!A29" display="acch0acchfc" xr:uid="{696FE3ED-C875-45DD-8A30-ACE89BE8456C}"/>
    <hyperlink ref="L700" location="Enums!A32" display="currentStatus" xr:uid="{9E9F6955-7CDF-4BFF-81E1-C537A9F149CA}"/>
    <hyperlink ref="L702" location="Enums!A39" display="wh0opstat" xr:uid="{4EE0E077-88E6-4244-A2A4-21883BC280AD}"/>
    <hyperlink ref="L703" location="Enums!A40" display="wh0hlvl" xr:uid="{7BB05981-0502-43E5-BE3A-63C409806EAC}"/>
    <hyperlink ref="L709" location="Enums!A32" display="currentStatus" xr:uid="{A821B7ED-77A9-4638-9622-8A1407B73896}"/>
    <hyperlink ref="L706" location="Enums!A35" display="dcl0cmd" xr:uid="{F929651F-A9CE-47D6-8539-DFB51FD69C9F}"/>
    <hyperlink ref="L710" location="Enums!A52" display="dcl0type" xr:uid="{91DF7E2B-250F-4411-876A-07CA24D8361A}"/>
    <hyperlink ref="L717" location="Enums!A32" display="currentStatus" xr:uid="{6D7F9B6E-1657-4ADC-812E-F7773F3C79C8}"/>
    <hyperlink ref="L713" location="Enums!A36" display="dim0cmd" xr:uid="{610CDEBE-D2E4-4786-A596-6A4F0B45A4D3}"/>
    <hyperlink ref="L724" location="Enums!A45" display="sc0stat" xr:uid="{D91E99E9-F43C-4A16-A2BD-8AB31F9BFF7A}"/>
    <hyperlink ref="L734" location="Enums!A44" display="gntr0exdw" xr:uid="{FC787B56-58FC-44D3-96B0-19C9C92DEC33}"/>
    <hyperlink ref="O480" location="Enums!A23" display="ts0omd" xr:uid="{F97BB7C0-5FF9-4076-B839-FB9040394E07}"/>
    <hyperlink ref="L480" location="Enums!A23" display="ts0omd" xr:uid="{561023E2-A912-4FF5-9FAF-49E9B22A6078}"/>
    <hyperlink ref="O441" location="cz0hmd" display="cz0hmd" xr:uid="{F4AF731A-2B59-4E4F-A32B-879ECD4D5AF0}"/>
    <hyperlink ref="L441" location="cz0hmd" display="cz0hmd" xr:uid="{AEFE198A-CA5B-4F09-8CF2-C9A69736A8CE}"/>
    <hyperlink ref="O968" location="ngn0trans" display="ngn0trans" xr:uid="{F0357F1E-1B63-404D-987F-59E2F658D434}"/>
    <hyperlink ref="O989" location="bms0flow" display="bms0flow" xr:uid="{01E79302-3761-458D-86F9-52366C32DAD3}"/>
    <hyperlink ref="O1025" location="Enums!A33" display="ts0type" xr:uid="{CCD4601D-3CDA-44ED-B601-37BB864D25D6}"/>
    <hyperlink ref="O235" location="hd0ptype" display="hd0ptype" xr:uid="{E31384D8-79B5-471C-85EA-790507792395}"/>
    <hyperlink ref="O1009" location="Enums!A65" display="bos0id" xr:uid="{A290BC7E-B6C6-4E66-BB52-B84698DADEFA}"/>
    <hyperlink ref="L1009" location="Enums!A65" display="bos0id" xr:uid="{ADA98520-8B3E-4884-8234-30F60D78104F}"/>
    <hyperlink ref="O990" location="Enums!A64" display="bms0id" xr:uid="{73A347CE-7C2B-4339-9508-94A87F67F919}"/>
    <hyperlink ref="L990" location="Enums!A64" display="bms0id" xr:uid="{2068D4BD-DDF9-44B4-915D-B1F96FA9856B}"/>
    <hyperlink ref="L1025" location="Enums!A33" display="ts0type" xr:uid="{91F62306-76BF-464C-B69B-8CDC79A890EB}"/>
    <hyperlink ref="L989" location="bms0flow" display="bms0flow" xr:uid="{E8CD0C43-2E9C-413A-AC78-D71560FFDCED}"/>
    <hyperlink ref="O280" location="btwl0addrtp" display="btwl0addrtp" xr:uid="{62C4155E-FB6F-4DE2-8EF2-926FE0E2A70F}"/>
    <hyperlink ref="L235" location="hd0ptype" display="hd0ptype" xr:uid="{6EA4CF40-EE72-4332-A561-221E87FC4C36}"/>
    <hyperlink ref="O451" location="cz0hprio" display="cz0hprio" xr:uid="{3498B22C-2515-4FBE-B05D-E1F483915F32}"/>
    <hyperlink ref="L451" location="cz0hprio" display="cz0hprio" xr:uid="{AD92CC48-B61F-4602-9AB6-00D568B84097}"/>
    <hyperlink ref="L452" location="cz0filind" display="cz0filind" xr:uid="{ACFC276C-0C72-4766-8642-D813C5E4FAF4}"/>
    <hyperlink ref="O452" location="cz0filind" display="cz0filind" xr:uid="{3CD41016-1807-44DD-91DD-9CDAB3BA9729}"/>
    <hyperlink ref="L587" location="mtr0dir" display="mtr0dir" xr:uid="{1A12D3F0-9F82-4F97-8380-B7DDF7417766}"/>
    <hyperlink ref="O587" location="mtr0dir" display="mtr0dir" xr:uid="{7B330798-F003-42AF-8146-408E78C56F47}"/>
    <hyperlink ref="O305" location="mqtt0stat" display="mqtt0stat" xr:uid="{01D31103-3F1B-4A3C-B711-AD8CE8912641}"/>
    <hyperlink ref="O675" location="pmic0bstat" display="pmic0bstat" xr:uid="{07ADD519-9665-4227-A3A8-B4FB461033AF}"/>
    <hyperlink ref="O676" location="pmic0chrgt" display="pmic0chrgt" xr:uid="{B156DB84-B8E6-477F-9537-B08BAB96CF63}"/>
    <hyperlink ref="O680" location="pmic0bhlt" display="pmic0bhlt" xr:uid="{07246889-1416-4D9C-B78E-C95D002FFE77}"/>
    <hyperlink ref="L934" location="sw0mind" display="sw0mind" xr:uid="{001D07C5-F16C-4669-A746-E70E3CA46D6C}"/>
    <hyperlink ref="L931" location="sw0icon" display="sw0icon" xr:uid="{92AB851F-30AA-41CC-9975-F584A4D18A23}"/>
    <hyperlink ref="L928" location="sw0type" display="sw0type" xr:uid="{EC645F63-1E40-4C5E-A887-57CA85D86313}"/>
    <hyperlink ref="O934" location="sw0mind" display="sw0mind" xr:uid="{1F3A35AD-9BBF-4573-90D7-ED239420D9F9}"/>
    <hyperlink ref="O932" location="sw0mstate" display="sw0mstate" xr:uid="{21B15BFE-F9D5-4826-9980-F75141137799}"/>
    <hyperlink ref="L932" location="sw0mstate" display="sw0mstate" xr:uid="{A5A4CCCA-CE9D-40A6-9C61-0AEF1A2316FE}"/>
    <hyperlink ref="O931" location="sw0icon" display="sw0icon" xr:uid="{8675321B-A5F1-4B0E-9837-16FA51CFD08D}"/>
    <hyperlink ref="O928" location="sw0type" display="sw0type" xr:uid="{594596F3-D263-42F5-BC5C-5BB599E44F49}"/>
    <hyperlink ref="O740" location="sdev0mdl" display="sdev0mdl" xr:uid="{BAA0499C-EE87-42C3-A0F7-AB84B2CD7C56}"/>
    <hyperlink ref="O738" location="snode0mfgr" display="snode0mfgr" xr:uid="{27427EFC-D8C1-44ED-AE0E-F3EEF4F1B0BD}"/>
    <hyperlink ref="L1137" location="key0door" display="key0door" xr:uid="{4A3C567B-D536-41A7-8EA5-3DEC79854BD5}"/>
    <hyperlink ref="O1137" location="key0door" display="key0door" xr:uid="{AA5AC7ED-6D96-472A-AC13-64EFCB70B64E}"/>
    <hyperlink ref="L1013" location="Enums!A80" display="bms0alrts" xr:uid="{50CA8056-0A25-4649-B7A1-B0DAC52E8094}"/>
    <hyperlink ref="L1018" location="Enums!A81" display="bms0wrns" xr:uid="{BBA8544E-B602-419A-96D0-9ADD3AC3B7F2}"/>
    <hyperlink ref="O1018" location="Enums!A81" display="bms0wrns" xr:uid="{D097B157-F54B-49F9-81AB-ED6D0F07D526}"/>
    <hyperlink ref="O1013" location="Enums!A80" display="bms0alrts" xr:uid="{904D2389-4BD6-4659-8EF2-CD90CE8269DC}"/>
    <hyperlink ref="L238" location="hd0tempcm" display="hd0tempcm" xr:uid="{91634636-23C3-4F04-B78E-959DC3544AF3}"/>
    <hyperlink ref="O238" location="hd0tempcm" display="hd0tempcm" xr:uid="{1FD4775E-90D0-449F-9402-3B9F6716F5F7}"/>
    <hyperlink ref="O265" location="wifi0ev" display="wifi0ev" xr:uid="{1AE87DB0-A2A0-41F8-B7A3-E006BACAAD44}"/>
    <hyperlink ref="O266" location="wifi0md" display="wifi0md" xr:uid="{7F0BA916-A59B-4929-96F2-977C2FA20FC4}"/>
    <hyperlink ref="L266" location="wifi0md" display="wifi0md" xr:uid="{67C6F1AE-CBD6-472A-8370-986AC8AA0F40}"/>
    <hyperlink ref="L24" location="gw0btpair_in" display="gw0btpair_in" xr:uid="{32DC7B2E-01BB-4297-BBAE-EEB71ED3F0AA}"/>
    <hyperlink ref="O24" location="gw0btpair_out" display="gw0btpair_out" xr:uid="{623AC922-730E-4DE9-86E1-FC803E8D46AB}"/>
    <hyperlink ref="O1056" location="Enums!A21" display="htr0sysu" xr:uid="{CF3A5FAA-C5DC-41EF-AAB7-A38FB566AA53}"/>
    <hyperlink ref="L1056" location="Enums!A21" display="htr0sysu" xr:uid="{3EED17A0-58C3-4DA6-A75C-33F3F0C487ED}"/>
    <hyperlink ref="O82" location="ac0tmd" display="ac0tmd" xr:uid="{1C56851C-3B4D-4E7D-9684-2EAC238B8247}"/>
    <hyperlink ref="O80" location="Enums!A21" display="htr0sysu" xr:uid="{CFEA11EB-FAE5-4A7A-83FE-05EF1A260E40}"/>
    <hyperlink ref="L80" location="Enums!A21" display="htr0sysu" xr:uid="{F6878E31-6C33-470B-8DA5-516DB9D5F67A}"/>
    <hyperlink ref="O76" location="ac0fmd" display="ac0fmd" xr:uid="{33D219E3-2D7D-4C5E-B65D-E0422B33DF65}"/>
    <hyperlink ref="L924" location="demo0mode" display="demo0mode" xr:uid="{DBD73E32-D035-4241-AE6A-86401A78E2AF}"/>
    <hyperlink ref="O924" location="demo0mode" display="demo0mode" xr:uid="{8CBFD4DA-7201-48E4-9317-629EC9AABA25}"/>
    <hyperlink ref="O46" location="cfg0ostat" display="cfg0ostat" xr:uid="{F3399B9E-BF01-4815-956A-462ADCE2C6AA}"/>
    <hyperlink ref="L1123" location="mpcsvc0region" display="mpcsvc0region" xr:uid="{673EC14A-458A-4283-B869-2A418FF7AFFB}"/>
    <hyperlink ref="O1123" location="mpcsvc0region" display="mpcsvc0region" xr:uid="{D1DF99D2-BD21-4A32-B864-64A011CECB19}"/>
    <hyperlink ref="L1124" location="mpcsvc0size" display="mpcsvc0size" xr:uid="{A61A4B25-2F45-4A90-ABB4-5E6CAFAD6C56}"/>
    <hyperlink ref="O1124" location="mpcsvc0size" display="mpcsvc0size" xr:uid="{E6BEC8B1-3C40-49C3-AE37-1AEE675BDF8B}"/>
    <hyperlink ref="L1126" location="mpcsvc0unit" display="mpcsvc0unit" xr:uid="{057E6A32-1209-423D-A85B-C910949F5BB6}"/>
    <hyperlink ref="O1126" location="mpcsvc0unit" display="mpcsvc0unit" xr:uid="{B74DA094-E1F0-4F39-98BE-1704356F4C7F}"/>
    <hyperlink ref="L67" location="ac_ac_0_mode" display="ac0md" xr:uid="{5D052137-71A3-4AEF-BAC9-9B904D688442}"/>
    <hyperlink ref="L94" location="ac0actext_in" display="ac0actext_in" xr:uid="{8268A6F6-C8E5-4242-AA11-610C3CFC84A0}"/>
    <hyperlink ref="O94" location="ac0actext_out" display="ac0actext_out" xr:uid="{16A76E74-3C17-428E-923C-7FF47892DA8B}"/>
    <hyperlink ref="O21" location="gw0ptype" display="gw0ptype" xr:uid="{4DD09367-C096-4BE7-B676-6E239D8CDBD2}"/>
    <hyperlink ref="R90" location="Errorcodes!A1" display="Sent as array of active errors/alerts, where each code is a uint16, see link" xr:uid="{54148F29-B3BB-45CC-B657-AB47D46E1690}"/>
    <hyperlink ref="L28" location="gw0cupd" display="gw0cupd" xr:uid="{060BE151-4B5C-44C1-ACE7-F0A415E91EDB}"/>
    <hyperlink ref="L247" location="hd0tempcm" display="hd0tempcm" xr:uid="{F99F9BDE-5323-4C4B-98EC-B4A9321B8C21}"/>
    <hyperlink ref="O247" location="hd0tempcm" display="hd0tempcm" xr:uid="{E3D12B13-23D4-46C4-B09A-B000D97BBFE2}"/>
    <hyperlink ref="L244" location="hd0batprot" display="hd0batprot" xr:uid="{40C4F226-3EF3-4940-8DE7-ECBDE8F0FF12}"/>
    <hyperlink ref="O244" location="hd0batprot" display="hd0batprot" xr:uid="{400FFFB0-4FBD-4826-BA0E-ACFA6522C533}"/>
    <hyperlink ref="R248" location="Errorcodes!A1" display="Sent as array of active errors/alerts, where each code is a uint16, see link" xr:uid="{9AA5ED4F-ADB3-4198-9A08-B638FCE93BBB}"/>
    <hyperlink ref="L96" location="ac0test" display="ac0test" xr:uid="{3BCC63F0-0A1D-41AF-91A0-099279CA3F9C}"/>
    <hyperlink ref="O96" location="ac0test" display="ac0test" xr:uid="{6E1C03B7-8E1F-4025-B745-A94976405158}"/>
    <hyperlink ref="O1059" location="usm0stat" display="usm0stat" xr:uid="{CE0CE4BC-278A-4D45-9CD1-626BCD534A01}"/>
    <hyperlink ref="L495" location="cc0pcy" display="cc0pcy" xr:uid="{8E47A127-AF73-485E-9E3E-D11753E7C5D3}"/>
    <hyperlink ref="O495" location="cc0pcy" display="cc0pcy" xr:uid="{4D5F906D-9DF7-418E-9BDE-1EFD0A7F9508}"/>
    <hyperlink ref="O1079" location="svc0tsrc" display="svc0tsrc" xr:uid="{31C00FF4-3F5F-46E6-89AE-4AF72436FB63}"/>
    <hyperlink ref="O494" location="cc0sts" display="cc0sts" xr:uid="{936CB9C7-AEF4-492C-842A-68D5E5456583}"/>
    <hyperlink ref="R271" r:id="rId1" location="BT0---Bluetooth-manager" xr:uid="{6ADCAE16-BF3B-48B7-AC71-2AB28080C23D}"/>
    <hyperlink ref="R279" r:id="rId2" location="BTWLx---Bluetooth-whitelist" xr:uid="{26D2874A-616E-4D0E-A45E-4368DDF36FBD}"/>
    <hyperlink ref="R1075" r:id="rId3" location="SVC0---System-services" xr:uid="{50ED59D4-0A47-43DB-9349-F72081D7FB1B}"/>
    <hyperlink ref="R2" r:id="rId4" location="GW0---Gateway" xr:uid="{5D333D82-BBA6-471F-9C88-EF1AA19D3EC6}"/>
    <hyperlink ref="R37" r:id="rId5" location="CFG0---Configuration" xr:uid="{F6DB601E-3E09-404E-A36B-129664D49D2C}"/>
    <hyperlink ref="O387" location="th0fav" display="th0fav" xr:uid="{8D44EECB-A2CA-492C-9C08-CFBF7664E456}"/>
    <hyperlink ref="L387" location="th0fav" display="th0fav" xr:uid="{FAD9C331-2394-4E1A-80E1-F1202F9293A4}"/>
    <hyperlink ref="L394" location="iv0mode" display="iv0mode" xr:uid="{A8839E21-B508-490D-BA19-A63BBD6C5E55}"/>
    <hyperlink ref="O394" location="iv0mode" display="iv0mode" xr:uid="{0EDFDF1E-60DB-4392-91BD-D0006456DDED}"/>
    <hyperlink ref="O396" location="iv0filstat" display="iv0filst" xr:uid="{828D1087-B5B4-4739-9F43-5A6C7A8FA732}"/>
    <hyperlink ref="L396" location="iv0filstat" display="iv0filst" xr:uid="{8CFB8544-F168-4462-8AD3-5B613A8929E8}"/>
    <hyperlink ref="O397" location="iv0vehmd" display="iv0storage" xr:uid="{DE151F53-16EE-4521-A1CF-DFB44260A26A}"/>
    <hyperlink ref="L397" location="iv0vehmd" display="iv0storage" xr:uid="{B44F1927-4B90-4BAF-977D-C5171A9E355B}"/>
    <hyperlink ref="O371" location="nrx0mode" display="nrx0mode" xr:uid="{23477E03-255E-4EAD-867F-C60751F2142E}"/>
    <hyperlink ref="O372" location="nrx0level" display="nrx0level" xr:uid="{8D021ED6-919A-437C-814B-455BF4C9EB66}"/>
    <hyperlink ref="O379" location="nrx0errst" display="nrx0errst" xr:uid="{8CA3374D-CC51-489E-81A9-7197199A28BA}"/>
    <hyperlink ref="L371" location="nrx0mode" display="nrx0mode" xr:uid="{4BC984A6-058E-41FA-8084-1AD45629DD45}"/>
    <hyperlink ref="L372" location="nrx0level" display="nrx0level" xr:uid="{3E584133-E30B-4FC5-A3F2-F98F00927834}"/>
    <hyperlink ref="L395" location="iv0pwron" display="iv0pwron" xr:uid="{E3E26199-6F09-4F05-9FB2-639115D5DDBD}"/>
    <hyperlink ref="O395" location="iv0pwron" display="iv0pwron" xr:uid="{CA107B18-5B7C-4ADA-80FF-DDDED8C6129E}"/>
    <hyperlink ref="O399" location="iv0warn" display="iv0warn" xr:uid="{F0475EE3-FC3B-4F68-9589-B1C7E4C7102C}"/>
    <hyperlink ref="O400" location="iv0pwrsrc" display="iv0pwrsrc" xr:uid="{41AB862E-1A1B-4090-8E7C-383D91368D83}"/>
    <hyperlink ref="O401" location="iv0aqst" display="iv0aqst" xr:uid="{578A08FE-6655-45E8-947D-F19115985739}"/>
    <hyperlink ref="O402" location="iv0prst" display="iv0prst" xr:uid="{6F26CAD3-E91B-44E5-B113-F477C2333B0C}"/>
    <hyperlink ref="L403" location="iv0blreq" display="iv0blreq" xr:uid="{5507680D-24EE-4790-857F-016B5F36D563}"/>
    <hyperlink ref="O403" location="iv0blreq" display="iv0blreq" xr:uid="{080FBFBD-E4ED-48ED-9C34-F27BC3018F0D}"/>
    <hyperlink ref="O404" location="iv0ionst" display="iv0ionst" xr:uid="{DDEA3461-9BA4-4B56-9AE1-70F90111C1A9}"/>
    <hyperlink ref="O410" location="ivpmgr0state" display="ivpmgr0state" xr:uid="{B91E3CC2-EF3E-4F2C-9967-65058F75FE83}"/>
    <hyperlink ref="O528" location="Enums!A24" display="ts0om" xr:uid="{F0A967C8-DCA1-4230-8AAF-2B80AE8FFC27}"/>
    <hyperlink ref="L528" location="Enums!A24" display="ts0om" xr:uid="{AF185468-D2EB-4F04-9F6D-7CB5ACA62CB1}"/>
    <hyperlink ref="L532" location="rfan0dmmode" display="rfan0dmmode" xr:uid="{489CE018-B742-4F3E-B79C-1AB0A09CE638}"/>
    <hyperlink ref="O532" location="rfan0dmmode" display="rfan0dmmode" xr:uid="{959A0C74-A21E-448A-863A-35626B87B791}"/>
    <hyperlink ref="O547" location="Enums!A32" display="currentStatus" xr:uid="{3553676B-1B9E-4C42-8C64-B95E7B2B66FB}"/>
    <hyperlink ref="O543" location="Enums!A36" display="dim0cmd" xr:uid="{172373D2-A9F1-4F74-AA8B-A908C3788756}"/>
    <hyperlink ref="O548" location="Enums!A41" display="dim0lstat" xr:uid="{379B59EB-86EE-47C4-B5CD-6F4621A21785}"/>
    <hyperlink ref="L547" location="Enums!A32" display="currentStatus" xr:uid="{29405D99-B05E-4572-9F72-6EBFDAA19AA5}"/>
    <hyperlink ref="O540" location="rfan0rainsnssts" display="rfan0rainsnssts" xr:uid="{A39EECA9-6ABB-4CDB-B8FF-8FC03C929B03}"/>
    <hyperlink ref="L543" location="Enums!A36" display="dim0cmd" xr:uid="{836C4931-DDA5-4547-8D1C-F714DBFEE3F2}"/>
    <hyperlink ref="L548" location="Enums!A41" display="dim0lstat" xr:uid="{2CD23C0D-CDED-44CB-9A7F-7480CBBBEA2B}"/>
    <hyperlink ref="L553" location="rfan0sleepfmode" display="rfan0sleepfmode" xr:uid="{AFEF6475-287C-46BC-8958-CC3C21219F0A}"/>
    <hyperlink ref="O553" location="rfan0sleepfmode" display="rfan0sleepfmode" xr:uid="{DFA2F2EA-5574-46FB-A95F-D5326C3CE4D0}"/>
    <hyperlink ref="O558" location="rfan0sleepfmode" display="rfan0sleepfmode" xr:uid="{88E9B387-2534-4E06-AFD3-B1DAA0E8603B}"/>
    <hyperlink ref="L558" location="rfan0sleepfmode" display="rfan0sleepfmode" xr:uid="{5A758B80-F66A-43E4-93ED-C890E698269C}"/>
    <hyperlink ref="L563" location="rfan0sleepfmode" display="rfan0sleepfmode" xr:uid="{7DB0BAF5-C5E5-4428-967C-81579EB2F18C}"/>
    <hyperlink ref="O563" location="rfan0sleepfmode" display="rfan0sleepfmode" xr:uid="{F523E845-FC94-4280-A0BE-202C739905B9}"/>
    <hyperlink ref="L534" location="rfan0setpctldm" display="rfan0setpctldm" xr:uid="{0EA599C2-323E-406A-B74D-C923C71D7F53}"/>
    <hyperlink ref="L535" location="rfan0dmclsfoff" display="rfan0dmclsfoff" xr:uid="{6B8D2E97-3CC7-4453-9259-0FBD633D8E68}"/>
    <hyperlink ref="L536" location="rfan0foffdmcls" display="rfan0foffdmcls" xr:uid="{5A1B7D72-2DFA-465E-B358-CE8C48655D32}"/>
    <hyperlink ref="L537" location="rfan0fanspdincdec" display="rfan0fanspdincdec" xr:uid="{7C53E9F7-89F1-4036-A13D-D3BEF63D2228}"/>
    <hyperlink ref="O534" location="rfan0setpctldm" display="rfan0setpctldm" xr:uid="{90FC8897-0B50-4E8B-B4AA-9331381DD55E}"/>
    <hyperlink ref="O535" location="rfan0dmclsfoff" display="rfan0dmclsfoff" xr:uid="{30C2A695-0E33-4870-B021-8F6417BB8B81}"/>
    <hyperlink ref="O536" location="rfan0foffdmcls" display="rfan0foffdmcls" xr:uid="{2AF964C9-5FF8-4C1F-8A86-405E2CE370AA}"/>
    <hyperlink ref="L527" location="rfan0winddrsw" display="rfan0winddrsw" xr:uid="{2457C799-126E-4DFE-8794-E19D5A4B138B}"/>
    <hyperlink ref="O527" location="rfan0winddrsw" display="rfan0winddrsw" xr:uid="{08CF7A7A-1A86-45E9-9E04-A740EB4EDD7E}"/>
    <hyperlink ref="L554" location="rfan0winddrsw" display="rfan0winddrsw" xr:uid="{A5A34E8E-60E8-4C45-A733-750B3E587DE1}"/>
    <hyperlink ref="O554" location="rfan0winddrsw" display="rfan0winddrsw" xr:uid="{51B39A69-4BFB-41CD-8D33-AEBFB4102030}"/>
    <hyperlink ref="L559" location="rfan0winddrsw" display="rfan0winddrsw" xr:uid="{8C026F51-4022-4E3B-A05B-10EE26E9A323}"/>
    <hyperlink ref="O559" location="rfan0winddrsw" display="rfan0winddrsw" xr:uid="{4D58BE3D-F216-4AFE-B26E-72BC6E6C8A94}"/>
    <hyperlink ref="L564" location="rfan0winddrsw" display="rfan0winddrsw" xr:uid="{0C5E9FAF-8F48-4378-AAE3-293954A56837}"/>
    <hyperlink ref="O564" location="rfan0winddrsw" display="rfan0winddrsw" xr:uid="{4159C494-4268-4D4A-BF12-8F3DB1E30429}"/>
    <hyperlink ref="L522" location="rfan0syst" display="rfan0syst" xr:uid="{21E6A8D2-F2E1-422A-A87C-8EDA6D89D267}"/>
    <hyperlink ref="O522" location="rfan0syst" display="rfan0syst" xr:uid="{6B486477-B968-4722-B66B-B12B2D9C01E5}"/>
    <hyperlink ref="L523" location="rfan0fm" display="rfan0fm" xr:uid="{20A2A363-D7A4-42B4-8CDC-EFA1F75EE4B3}"/>
    <hyperlink ref="O523" location="rfan0fm" display="rfan0fm" xr:uid="{FA1E8D2A-B53F-4946-BBBF-20EBDAD1242A}"/>
    <hyperlink ref="L524" location="rfan0spdmd" display="rfan0spdmd" xr:uid="{9D3D7A3E-2C9E-47D5-B5BB-596518262703}"/>
    <hyperlink ref="O524" location="rfan0spdmd" display="rfan0spdmd" xr:uid="{F49DA251-019F-4890-BA1A-C938FC56A4E5}"/>
    <hyperlink ref="L529" location="rfan0rainsns" display="rfan0rainsns" xr:uid="{C722A6EE-EAFF-4ED3-BCC1-E3F050447537}"/>
    <hyperlink ref="O529" location="rfan0rainsns" display="rfan0rainsns" xr:uid="{FF3A8777-9079-44DA-9102-B68A102DAEF6}"/>
    <hyperlink ref="O890" location="sv0psts" display="sv0psts" xr:uid="{BC88E992-9DCB-4658-A3EA-32721C4E5D16}"/>
    <hyperlink ref="O905" location="sv0mc" display="sv0mc" xr:uid="{225C531F-B5B4-4812-93FB-EEDBC8E19C44}"/>
    <hyperlink ref="L905" location="sv0mc" display="sv0mc" xr:uid="{FFA3FC01-0DC6-4952-9345-2BA252AE4288}"/>
    <hyperlink ref="O864" location="sbmeb0samprate" display="sbmeb0samprate" xr:uid="{FC82149B-45C6-41F0-9C5D-AEFC423E4716}"/>
    <hyperlink ref="O865" location="sbmeb0samprate" display="sbmeb0samprate" xr:uid="{F0785FB9-CB3C-4F99-9029-9E0BB8FD157C}"/>
    <hyperlink ref="L865" location="sbmeb0samprate" display="sbmeb0samprate" xr:uid="{89B8EBA7-50F4-4AA6-A581-E00FF6D73043}"/>
    <hyperlink ref="L864" location="sbmeb0samprate" display="sbmeb0samprate" xr:uid="{C2BFB7EC-6C9B-4B18-AE00-779E068A0085}"/>
    <hyperlink ref="O784" location="saccm0event" display="saccm0event" xr:uid="{F8B9568C-C6B0-477E-92E9-301AC653D1BD}"/>
    <hyperlink ref="O796" location="saccm0datarate" display="saccm0datarate" xr:uid="{22A9B281-B2B1-4795-B8EE-472CF2F38AAF}"/>
    <hyperlink ref="O797" location="saccm0powerm" display="saccm0powerm" xr:uid="{F1201998-38D7-4948-A8C0-CC4F091B89E8}"/>
    <hyperlink ref="O798" location="saccm0bw" display="saccm0bw" xr:uid="{9B68AA8A-1157-4152-823D-E9AD48F24924}"/>
    <hyperlink ref="O799" location="saccm0fullscale" display="saccm0fullscale" xr:uid="{E2721472-1AD4-4681-85A1-37A37EF55342}"/>
    <hyperlink ref="O800" location="saccm0filtpath" display="saccm0filtpath" xr:uid="{D1859909-9676-4CEF-A474-B3DD5FA07FBD}"/>
    <hyperlink ref="O801" location="saccm0tiltt" display="saccm0tiltt" xr:uid="{5FD4E178-5D95-4A97-9F24-D93CE44DEA75}"/>
    <hyperlink ref="O805" location="saccm0tapdir" display="saccm0tapdir" xr:uid="{AA7C6786-DA44-4296-9334-ED98F55E234A}"/>
    <hyperlink ref="O806" location="saccm0tapp" display="saccm0tapp" xr:uid="{29E34D4F-BCD0-4F9F-9F5E-703492360757}"/>
    <hyperlink ref="O807" location="saccm0fallthresh" display="saccm0fallthresh" xr:uid="{CF76067C-5594-4D70-9DFF-DE575F9E15DC}"/>
    <hyperlink ref="L796" location="saccm0datarate" display="saccm0datarate" xr:uid="{3A65D66F-87A9-4492-ABEA-EDB9FA56DEF4}"/>
    <hyperlink ref="L797" location="saccm0powerm" display="saccm0powerm" xr:uid="{552C0E4C-FAA6-4A08-88F8-63698C1EC3FE}"/>
    <hyperlink ref="L798" location="saccm0bw" display="saccm0bw" xr:uid="{F0D65373-1476-434E-999D-4BF2449300BB}"/>
    <hyperlink ref="L799" location="saccm0fullscale" display="saccm0fullscale" xr:uid="{15EDF621-F42E-4845-8F7C-DD925B7DD381}"/>
    <hyperlink ref="L800" location="saccm0filtpath" display="saccm0filtpath" xr:uid="{8D14AACE-AF6F-462A-BE00-20E98FB6C9A6}"/>
    <hyperlink ref="L801" location="saccm0tiltt" display="saccm0tiltt" xr:uid="{FE1A8CA5-0B15-44E7-9769-8B3A807B4986}"/>
    <hyperlink ref="L805" location="saccm0tapdir" display="saccm0tapdir" xr:uid="{63FA9E33-6D11-4273-BBFE-309EB1B0B77F}"/>
    <hyperlink ref="L806" location="saccm0tapp" display="saccm0tapp" xr:uid="{F319BC76-38F2-4620-A568-9EC0F3826A7E}"/>
    <hyperlink ref="L807" location="saccm0fallthresh" display="saccm0fallthresh" xr:uid="{7A8BCDF7-8E04-4652-B7DB-DE0AF4FA7553}"/>
    <hyperlink ref="O814" location="saccm0tapmode" display="saccm0tapmode" xr:uid="{BE1FB619-77E7-49B7-B296-0A2E9A029AFE}"/>
    <hyperlink ref="L815" location="saccm0taprecogx" display="saccm0taprecogx" xr:uid="{D02AE254-898A-4E6D-B77B-52E36E63A39D}"/>
    <hyperlink ref="L816" location="saccm0taprecogx" display="saccm0taprecogx" xr:uid="{63442081-CCDD-4626-ADFA-02AB1095F41C}"/>
    <hyperlink ref="L817" location="saccm0taprecogx" display="saccm0taprecogx" xr:uid="{80C9D060-5666-4191-B912-5B6C02F81BE7}"/>
    <hyperlink ref="O817" location="saccm0taprecogx" display="saccm0taprecogx" xr:uid="{28D50EA1-1A9A-478A-95F2-D3AFD11D49D8}"/>
    <hyperlink ref="O816" location="saccm0taprecogx" display="saccm0taprecogx" xr:uid="{21C6B75E-70AB-4554-B014-AE05290097C1}"/>
    <hyperlink ref="O815" location="saccm0taprecogx" display="saccm0taprecogx" xr:uid="{17A4ED78-3BA4-44AC-AE7D-F8D9524CBE2F}"/>
    <hyperlink ref="L814" location="saccm0tapmode" display="saccm0tapmode" xr:uid="{8D90664D-8061-4613-8DA8-CE38C4012975}"/>
    <hyperlink ref="O869" location="spir0evt" display="spir0evt" xr:uid="{81A53B2A-ADD0-45EC-B7C6-947502802B51}"/>
    <hyperlink ref="O912" location="shallan0evt" display="shallan0evt" xr:uid="{55AF7E5D-2909-4428-A023-646853FC848D}"/>
    <hyperlink ref="O1080" location="svc0gpior" display="svc0gpior" xr:uid="{B1C29650-4701-4F74-9B5C-4B5034F12F7E}"/>
    <hyperlink ref="L426" location="cz0smode" display="cz0smode" xr:uid="{3EA1E5B0-53F9-4B33-AC6C-A740C57A5789}"/>
    <hyperlink ref="O426" location="cz0smode" display="cz0smode" xr:uid="{CEF68771-75B2-4648-9A07-144210CA9FA1}"/>
    <hyperlink ref="O1081" location="svc0gpior" display="svc0gpior" xr:uid="{2F697B0C-A9F2-45CB-9667-422607116D5A}"/>
    <hyperlink ref="O28" location="gw0cupd" display="gw0cupd" xr:uid="{C735F996-E1E2-4998-8C9F-9E1F0870558D}"/>
    <hyperlink ref="L1085" location="sup0type" display="sup0type" xr:uid="{3E520191-BFB0-4E6A-96C2-C97F3A329848}"/>
    <hyperlink ref="O1085" location="sup0type" display="sup0type" xr:uid="{46997F6C-8B0F-4031-B665-8E3E1518046F}"/>
    <hyperlink ref="L1087" location="sup0stype" display="sup0stype" xr:uid="{C6EE9E1E-A0ED-45B5-BF44-DE29380B4B2C}"/>
    <hyperlink ref="O1087" location="sup0stype" display="sup0stype" xr:uid="{9C3C236A-888C-4A9F-B03D-DF0809B7B0A3}"/>
    <hyperlink ref="O408" location="iv0stgt" display="iv0stgt" xr:uid="{E0B083A4-34F5-4F2D-B845-42366F55D85E}"/>
    <hyperlink ref="L1191" location="cc0ptype" display="cc0ptype" xr:uid="{67D039FE-111B-4F7A-B2AA-83DA2E58166F}"/>
    <hyperlink ref="O1191" location="cc0ptype" display="cc0ptype" xr:uid="{F2A1508F-F30C-4A90-A1FD-6B1CC9C58B62}"/>
    <hyperlink ref="O1196" location="cc0acpt" display="cc0acpt" xr:uid="{98606F7B-4986-4CE5-82A5-BF8FBCD4E6BB}"/>
    <hyperlink ref="L1203" location="cc0batprotlvl" display="cc0batprotlvl" xr:uid="{581D46F7-AABF-4B00-A408-DBDCBD523684}"/>
    <hyperlink ref="O1203" location="cc0batprotlvl" display="cc0batprotlvl" xr:uid="{91EEEC5B-7F6F-4FB8-9313-097A1278C94D}"/>
    <hyperlink ref="O1206" location="cc0powsrc" display="cc0powsrc" xr:uid="{3B3DC9D3-5D3D-46F0-AF4F-2A0C8BEB5628}"/>
    <hyperlink ref="L1246" location="rvcfurnace0hsrc" display="rvcfurnace0hsrc" xr:uid="{22F58CC6-855B-45AF-8E09-1E4B29548884}"/>
    <hyperlink ref="O1246" location="rvcfurnace0hsrc" display="rvcfurnace0hsrc" xr:uid="{C6E05CDF-5955-4BFB-837D-58E76A59C322}"/>
    <hyperlink ref="L1258" location="rvcth0mode" display="rvcth0mode" xr:uid="{E8EECC91-2A51-4F27-90DA-5A98872EE312}"/>
    <hyperlink ref="O1258" location="rvcth0mode" display="rvcth0mode" xr:uid="{A2EF55A6-4A47-4F91-BDB3-8402AAF30F50}"/>
    <hyperlink ref="L1259" location="rvcth0fmode" display="rvcth0fmode" xr:uid="{D31CF8D8-BC4D-470E-A3BF-550B681FD87D}"/>
    <hyperlink ref="O1259" location="rvcth0fmode" display="rvcth0fmode" xr:uid="{D0B8AA83-9470-4DE0-9B68-1972030A3639}"/>
    <hyperlink ref="L1260" location="rvcth0smode" display="rvcth0smode" xr:uid="{9B290E45-5EDB-42B7-AC8F-EC4DFA0442E0}"/>
    <hyperlink ref="O1260" location="rvcth0smode" display="rvcth0smode" xr:uid="{EA507ECA-916B-41D9-9279-D106D0ECEC19}"/>
    <hyperlink ref="L1271" location="rvc2th0noise" display="rvc2th0noise" xr:uid="{226CD8D9-06BF-4DF6-90E6-DC17A003D5B0}"/>
    <hyperlink ref="O1271" location="rvc2th0noise" display="rvc2th0noise" xr:uid="{B6E74640-7AD0-40A0-8B1C-0ED9EDD98524}"/>
    <hyperlink ref="O1284" location="rvc2thsched0sun" display="rvc2thsched0day" xr:uid="{7F91D1D9-A464-419D-A01D-BD245CBC60EF}"/>
    <hyperlink ref="O1285" location="rvc2thsched0sun" display="rvc2thsched0day" xr:uid="{9F697980-BA63-43FF-B1BB-5ADF6CD0A1ED}"/>
    <hyperlink ref="O1286" location="rvc2thsched0sun" display="rvc2thsched0day" xr:uid="{C45552E9-F71D-4950-BFE1-990C2027A0D5}"/>
    <hyperlink ref="O1287" location="rvc2thsched0sun" display="rvc2thsched0day" xr:uid="{93D84BA2-7D0A-4F25-8110-CFB29B462C83}"/>
    <hyperlink ref="O1288" location="rvc2thsched0sun" display="rvc2thsched0day" xr:uid="{EF50A450-0548-44C8-BF32-91FCDD1E0479}"/>
    <hyperlink ref="O1289" location="rvc2thsched0sun" display="rvc2thsched0day" xr:uid="{E3338D04-26AB-4FA7-A1BA-46DD649BFFA6}"/>
    <hyperlink ref="O1290" location="rvc2thsched0sun" display="rvc2thsched0day" xr:uid="{1B78DA5E-0736-4EE5-B571-178F1883E3E7}"/>
    <hyperlink ref="L1287" location="rvc2thsched0sun" display="rvc2thsched0day" xr:uid="{948A7BBF-E0BB-4D40-996E-AFCEE47D7FF0}"/>
    <hyperlink ref="L1288" location="rvc2thsched0sun" display="rvc2thsched0day" xr:uid="{2F81DBF9-2E6D-4E1C-BE1D-8FF4AEE90154}"/>
    <hyperlink ref="L1289" location="rvc2thsched0sun" display="rvc2thsched0day" xr:uid="{4DB5278E-F482-424B-98EF-54AFF65B43ED}"/>
    <hyperlink ref="L1290" location="rvc2thsched0sun" display="rvc2thsched0day" xr:uid="{19A9F998-285F-40D8-B1EB-2B05798D353F}"/>
    <hyperlink ref="L1284" location="rvc2thsched0sun" display="rvc2thsched0day" xr:uid="{D0B7F22F-E966-4D67-ADD6-B9EFAF01C877}"/>
    <hyperlink ref="L1286" location="rvc2thsched0sun" display="rvc2thsched0day" xr:uid="{A3B23534-B6D8-47DA-8A15-E7E23F710181}"/>
    <hyperlink ref="L1285" location="rvc2thsched0sun" display="rvc2thsched0day" xr:uid="{00DF53DE-37C0-48E4-B040-5F6A5274ED36}"/>
    <hyperlink ref="L1308" location="rvc2ac0compstat" display="rvc2ac0compstat" xr:uid="{A1F6A775-4CA3-4829-8ECB-07A980BEEB59}"/>
    <hyperlink ref="O1308" location="rvc2ac0compstat" display="rvc2ac0compstat" xr:uid="{FEB0C419-16E1-4333-AD2C-88F474F116D5}"/>
    <hyperlink ref="L1350" location="rvc2dim0cmd" display="rvc2dim0cmd" xr:uid="{E83B9BE9-194B-4688-AC41-E42592EFD519}"/>
    <hyperlink ref="O1350" location="rvc2dim0cmd" display="rvc2dim0cmd" xr:uid="{B5A17AEA-3243-4DC9-A52C-FFBEB1A3EA92}"/>
    <hyperlink ref="O1364" location="rvc2dim0cmd" display="rvc2dim0cmd" xr:uid="{C3544D25-81E0-4031-AABE-61DE2267CE44}"/>
    <hyperlink ref="O1386" location="rvc2rfan0rainsns" display="rvc2rfan0rainsns" xr:uid="{C5EDE02E-3D53-49D8-B513-1BA9EF473A3F}"/>
    <hyperlink ref="L1397" location="rvchtr0esrc" display="rvchtr0esrc" xr:uid="{76CFC1F0-42FD-4BF5-B3E6-82AB4E96854E}"/>
    <hyperlink ref="O1397" location="rvchtr0esrc" display="rvchtr0esrc" xr:uid="{F7D6550A-D3FE-4999-A963-41AFBABD16B8}"/>
    <hyperlink ref="O1411" location="rvchtrst0wtemp" display="rvchtrst0wtemp" xr:uid="{AC5A6A91-DE43-4742-A398-DBEDB4FB9D2F}"/>
    <hyperlink ref="O1412" location="rvchtrst0gairst" display="rvchtrst0gairst" xr:uid="{28F76F4F-83CB-45E8-82F4-7526C3720308}"/>
    <hyperlink ref="O1413" location="rvchtrst0gwtrst" display="rvchtrst0gwtrst" xr:uid="{905DD6CD-A2F6-4988-B3D4-4DA09F265D60}"/>
    <hyperlink ref="O1415" location="rvchtrst0acairst" display="rvchtrst0acairst" xr:uid="{95D0C9D6-0541-426C-85C3-544324B900B8}"/>
    <hyperlink ref="O1416" location="rvchtrst0acwtrst" display="rvchtrst0acwtrst" xr:uid="{F91606FB-4C4C-4E90-A8C1-E38B9EA22CB3}"/>
    <hyperlink ref="O1446" location="rvchtrfault0one" display="rvchtrfault0" xr:uid="{B6D2640C-E23A-49B8-8C4A-484FB21DAF26}"/>
    <hyperlink ref="O1447" location="rvchtrfault0one" display="rvchtrfault0" xr:uid="{49CF735E-09E5-4CDC-8CF1-E0A25E820607}"/>
    <hyperlink ref="O1448" location="rvchtrfault0one" display="rvchtrfault0" xr:uid="{7A7F7ECF-E557-42C9-850E-927A7A6C1289}"/>
    <hyperlink ref="O1449" location="rvchtrfault0one" display="rvchtrfault0" xr:uid="{097DE068-906B-43AC-A04F-C96652561AAE}"/>
    <hyperlink ref="L1477" location="rvc2dcsrc0timeremtype" display="rvc2dcsrc0timeremtype" xr:uid="{4A53D54B-29B3-4683-8259-1214811472E3}"/>
    <hyperlink ref="O1477" location="rvc2dcsrc0timeremtype" display="rvc2dcsrc0timeremtype" xr:uid="{36972828-77F9-4437-8DC2-9336E710624D}"/>
    <hyperlink ref="L1490" location="rvc4dcsrc0chgst" display="rvc4dcsrc0chgst" xr:uid="{BCE32F8D-267E-4C13-8210-1BE1EC86FF50}"/>
    <hyperlink ref="O1490" location="rvc4dcsrc0chgst" display="rvc4dcsrc0chgst" xr:uid="{66AE57F3-5374-4E95-91D0-7DFFF3800D28}"/>
    <hyperlink ref="L1493" location="rvc4dcsrc0type" display="rvc4dcsrc0type" xr:uid="{67A04C2F-93F0-4448-897D-D78C346FB3B8}"/>
    <hyperlink ref="O1493" location="rvc4dcsrc0type" display="rvc4dcsrc0type" xr:uid="{41D5AFDC-64CB-451D-A5E4-C204ABA0F742}"/>
    <hyperlink ref="O1590" location="rvc2dcsrcconn0func" display="rvc2dcsrcconn0func" xr:uid="{EFC29C12-CBDC-4AF4-858F-0BD421FE98B7}"/>
    <hyperlink ref="O1597" location="rvc2dcsrcconn0func" display="rvc2dcsrcconn0func" xr:uid="{E39EEC14-789D-4C2E-9DD4-7CD8A8887B0A}"/>
    <hyperlink ref="L1597" location="rvc2dcsrcconn0func" display="rvc2dcsrcconn0func" xr:uid="{F8FCCA8F-6793-4877-8A3E-0B456EB26784}"/>
    <hyperlink ref="L1634" location="rvc4dcsrc0chgst" display="rvc4dcsrc0chgst" xr:uid="{B0167320-49E3-4B68-9912-95FAE56AAC50}"/>
    <hyperlink ref="O1634" location="rvc4dcsrc0chgst" display="rvc4dcsrc0chgst" xr:uid="{ECBDE846-1B42-41EB-AED4-648EFE6D879C}"/>
    <hyperlink ref="L1637" location="rvc4dcsrc0type" display="rvc4dcsrc0type" xr:uid="{EA31A9D9-C7E7-4371-AE00-7E37A8BB9752}"/>
    <hyperlink ref="O1637" location="rvc4dcsrc0type" display="rvc4dcsrc0type" xr:uid="{9C93B466-AA54-4C4B-B29F-50A2DE09ED06}"/>
    <hyperlink ref="L1716" location="rvcbattsum0voltsts" display="rvcbattsum0voltsts" xr:uid="{15F22707-DAA5-4D73-AA50-5A62FFE180B0}"/>
    <hyperlink ref="O1716" location="rvcbattsum0voltsts" display="rvcbattsum0voltsts" xr:uid="{FD8FA0B6-3A0D-4853-BF33-8833684D31D3}"/>
    <hyperlink ref="L1717" location="rvcbattsum0tempsts" display="rvcbattsum0tempsts" xr:uid="{3830DF99-58C0-4F56-A6E9-C2A9C7851D01}"/>
    <hyperlink ref="O1717" location="rvcbattsum0tempsts" display="rvcbattsum0tempsts" xr:uid="{21F6CAD9-76B1-4C69-8363-E6D84F85D362}"/>
    <hyperlink ref="L1724" location="rvcbattcell0voltsts" display="rvcbattcell0voltsts" xr:uid="{FE41F80A-7253-4C03-8BD1-BF15364D0311}"/>
    <hyperlink ref="O1724" location="rvcbattcell0voltsts" display="rvcbattcell0voltsts" xr:uid="{7CED200D-A5FB-4DE2-ABA7-52F67DC77B4D}"/>
    <hyperlink ref="O1725" location="rvcbattcell0tempsts" display="rvcbattcell0tempsts" xr:uid="{1670E192-5BAE-45EC-923F-B20953861A1E}"/>
    <hyperlink ref="L1725" location="rvcbattcell0tempsts" display="rvcbattcell0tempsts" xr:uid="{D5A28D33-63E6-47F6-8827-A0F50AD82B4F}"/>
    <hyperlink ref="L1735" location="rvcsolar0oper" display="rvcsolar0oper" xr:uid="{B5EBF469-F585-45EF-843C-644521AA4D3A}"/>
    <hyperlink ref="O1735" location="rvc4dcsrc0chgst" display="rvc4dcsrc0chgst" xr:uid="{B1D7577F-46B4-4668-A04B-7915EB702E38}"/>
    <hyperlink ref="L1738" location="rvcsolar0force" display="rvcsolar0force" xr:uid="{A7278050-3053-43A5-8E18-0D13064CF968}"/>
    <hyperlink ref="O1738" location="rvcsolar0force" display="rvcsolar0force" xr:uid="{12B282AA-5A33-4162-AF9A-E245AA7F100C}"/>
    <hyperlink ref="L1782" location="rvcsolarcfg0algo" display="rvcsolarcfg0algo" xr:uid="{7703D36A-A2AF-45FF-9F37-6BFB5FF6BC6F}"/>
    <hyperlink ref="O1782" location="rvcsolarcfg0algo" display="rvcsolarcfg0algo" xr:uid="{FD7108D5-40C2-4CF3-AF53-C97A24E1B472}"/>
    <hyperlink ref="L1783" location="rvcsolarcfg0mode" display="rvcsolarcfg0mode" xr:uid="{4BD4C69F-E92F-4367-8A84-9CF01F9223A4}"/>
    <hyperlink ref="O1783" location="rvcsolarcfg0mode" display="rvcsolarcfg0mode" xr:uid="{69F53A6B-BE9E-4A6E-BD14-9B9956157E53}"/>
    <hyperlink ref="L1786" location="rvc4dcsrc0type" display="rvc4dcsrc0type" xr:uid="{B4EEF096-7655-4727-B993-5A417D9ACE46}"/>
    <hyperlink ref="O1786" location="rvc4dcsrc0type" display="rvc4dcsrc0type" xr:uid="{8C26AACE-0613-4D4E-B75E-6B0AD8970FF6}"/>
    <hyperlink ref="O272" location="bt0scan_t" display="bt0scan_t" xr:uid="{49643CC5-314E-4019-ABD6-5DA789C845AC}"/>
    <hyperlink ref="O3" location="gw0inv_t" display="gw0inv_t" xr:uid="{23A63839-D4FE-44C7-B142-7748986AD2A1}"/>
    <hyperlink ref="L1221" location="rvcmgnt0rawrx_t" display="rvcmgnt0rawrx_t" xr:uid="{9A4C396C-537C-40FF-A0FE-D51A03E4157A}"/>
    <hyperlink ref="O1221" location="rvcmgnt0rawrx_t" display="rvcmgnt0rawrx_t" xr:uid="{428F4E20-8E73-4230-ADEA-8E4F0AE15BAC}"/>
    <hyperlink ref="O90" location="error_t" display="error_t" xr:uid="{754490F1-8F28-4319-A3B8-CF555E400107}"/>
    <hyperlink ref="O248" location="error_t" display="error_t" xr:uid="{BEA1FC5E-25C3-4DD3-851A-A03B379866C9}"/>
    <hyperlink ref="L90" location="error_t" display="error_t" xr:uid="{4AC085B6-CC14-439F-8358-3D5259EDC65E}"/>
    <hyperlink ref="L248" location="error_t" display="error_t" xr:uid="{A85CDC6C-72EE-42D1-9DA6-7CCC06148A2B}"/>
    <hyperlink ref="O260" location="wifi0scan_t" display="wifi0scan_t" xr:uid="{EC088850-AB74-413E-9DAC-3EB591024D0D}"/>
    <hyperlink ref="O739" location="gw0ptype" display="gw0ptype" xr:uid="{FA6FFF03-A1AA-4E87-9636-4FBD07EEEA89}"/>
    <hyperlink ref="L1158" location="hmi0tempunit" display="hmi0tempunit" xr:uid="{B4CDD1D4-961B-4D51-B309-D6DDAA220248}"/>
    <hyperlink ref="O1158" location="hmi0tempunit" display="hmi0tempunit" xr:uid="{5F046303-411E-4C94-81BA-4E032B961588}"/>
    <hyperlink ref="L1160" location="hmi0sound" display="hmi0sound" xr:uid="{1BF55B6C-A136-4108-B8A9-20D40C741B63}"/>
    <hyperlink ref="O1160" location="hmi0sound" display="hmi0sound" xr:uid="{69971FD7-67CE-48DE-84CD-63DE0A040646}"/>
    <hyperlink ref="L1161" location="hmi0timeformat" display="hmi0timeformat" xr:uid="{F3C88226-BD98-4A00-AB5F-0589A2C4B9A6}"/>
    <hyperlink ref="O1161" location="hmi0timeformat" display="hmi0timeformat" xr:uid="{44178185-67C2-45C7-9BF8-FC5608FEE35C}"/>
    <hyperlink ref="O1208" location="error_t" display="error_t" xr:uid="{E6009D18-42AC-4E35-B2B1-917A3BEBE805}"/>
    <hyperlink ref="O1195" location="temparr_t" display="temparr_t" xr:uid="{194C882E-8AA4-4320-A6B2-7D63DDFCA04B}"/>
    <hyperlink ref="L1195" location="temparr_t" display="temparr_t" xr:uid="{0826FAE5-2902-4316-85FD-3A50AF3DCC9A}"/>
    <hyperlink ref="O1194" location="temparr_t" display="temparr_t" xr:uid="{B56A6C76-A816-49C3-AFD9-53583AA47A61}"/>
    <hyperlink ref="O1200" location="temparr_t" display="temparr_t" xr:uid="{3C149D23-E361-4E93-9231-E0FBC82EF1D0}"/>
    <hyperlink ref="L1200" location="temparr_t" display="temparr_t" xr:uid="{BA669AA1-82C5-41C8-A5C0-382425266C64}"/>
    <hyperlink ref="L1162" location="hmi0event_t" display="hmi0event_t" xr:uid="{EAACEDAC-7E62-4EB3-96F4-4905D82989EF}"/>
    <hyperlink ref="O1162" location="hmi0event_t" display="hmi0event_t" xr:uid="{AA1399EC-049E-41F7-8F43-6E186E8349F2}"/>
    <hyperlink ref="L2179" location="evm0cmd" display="evm0cmd" xr:uid="{C1400D72-0C4F-4265-9ECA-96C9A9972997}"/>
    <hyperlink ref="O2179" location="evm0cmd" display="evm0cmd" xr:uid="{CF6B7C2D-49BE-477E-AA73-0B79CB9C3490}"/>
    <hyperlink ref="L2190" location="mchrg0type" display="mchrg0type" xr:uid="{14DBD679-8F24-41BD-9AB8-59AE07403971}"/>
    <hyperlink ref="O2190" location="mchrg0type" display="mchrg0type" xr:uid="{CEAC924B-D346-488E-8568-62178FDB9209}"/>
    <hyperlink ref="L2257" location="rvc4dcsrc0chgst" display="rvc4dcsrc0chgst" xr:uid="{84B328E5-1065-4CB1-98FA-2224FDCF2DAC}"/>
    <hyperlink ref="O2257" location="rvc4dcsrc0chgst" display="rvc4dcsrc0chgst" xr:uid="{800DA607-D9D6-49B5-9CB6-23D395D31B57}"/>
    <hyperlink ref="L2242" location="rvc4dcsrc0type" display="rvc4dcsrc0type" xr:uid="{A487CBC4-1BCC-4D97-8FD6-3AE44BD811D5}"/>
    <hyperlink ref="O2242" location="rvc4dcsrc0type" display="rvc4dcsrc0type" xr:uid="{9A823681-2C52-4CD8-A79B-F812B2FFA721}"/>
    <hyperlink ref="L2323" location="macin0qualst" display="macin0qualst" xr:uid="{D085202C-CEC2-41F9-97E8-A425D62CAC69}"/>
    <hyperlink ref="O2323" location="macin0qualst" display="macin0qualst" xr:uid="{D22F13F8-BC22-42A7-977A-43C84A47BAA3}"/>
    <hyperlink ref="L2326" location="macin0voltst" display="macin0voltst" xr:uid="{E7BCDEBE-7420-4CE0-A60B-8A0A9FF8AFA7}"/>
    <hyperlink ref="O2326" location="macin0voltst" display="macin0voltst" xr:uid="{B8D12B3A-6E1D-480A-8B97-A8A3D28C57C7}"/>
    <hyperlink ref="L2327" location="macin0freqst" display="macin0freqst" xr:uid="{52C5229B-72D5-4B42-BE43-FCFCAF3ECC22}"/>
    <hyperlink ref="O2327" location="macin0freqst" display="macin0freqst" xr:uid="{85C2E91F-F59C-42FA-BB51-F2D3B3600BD1}"/>
    <hyperlink ref="L2350" location="minvert0stack" display="minvert0stack" xr:uid="{7F91AA1A-5E62-470F-BF11-8A5DF799D52E}"/>
    <hyperlink ref="O2350" location="minvert0stack" display="minvert0stack" xr:uid="{B2AB0D3B-CA64-49DE-A32D-8E83070A2025}"/>
    <hyperlink ref="L2378" location="macout0phase" display="macout0phase" xr:uid="{E1855378-A885-430F-B68C-80E2009309E6}"/>
    <hyperlink ref="O2378" location="macout0phase" display="macout0phase" xr:uid="{EBBDA202-C73D-4946-A24C-D04EC6C16A7E}"/>
    <hyperlink ref="L2295" location="rvcbattcell0voltsts" display="rvcbattcell0voltsts" xr:uid="{DDC6CCA5-1C31-40B6-B462-61267683068F}"/>
    <hyperlink ref="O2295" location="rvcbattcell0voltsts" display="rvcbattcell0voltsts" xr:uid="{642B7674-5428-405A-A5F4-2552D304EBB6}"/>
    <hyperlink ref="L2296" location="rvcbattcell0tempsts" display="rvcbattcell0tempsts" xr:uid="{184707B0-1C86-4CB3-9C11-34085869AFBB}"/>
    <hyperlink ref="O2296" location="rvcbattcell0tempsts" display="rvcbattcell0tempsts" xr:uid="{9BEFD5D1-3B0A-4AAF-BDE3-1B3A2C5AB93B}"/>
    <hyperlink ref="O2189" location="linkedclass_t" display="linkedclass_t" xr:uid="{AEC5A72E-2906-4256-86FC-40FA19385845}"/>
    <hyperlink ref="O2239" location="linkedclass_t" display="linkedclass_t" xr:uid="{68CA2CC0-61C4-45C1-A487-49DFCB6C0F80}"/>
    <hyperlink ref="O2301" location="linkedclass_t" display="linkedclass_t" xr:uid="{C80A0356-8279-48F7-852A-A8B91FFB0849}"/>
    <hyperlink ref="O2335" location="linkedclass_t" display="linkedclass_t" xr:uid="{80FC517A-8DF2-4DBD-81C8-22B1A3B038BB}"/>
    <hyperlink ref="O1198" location="temprangearr_t" display="temprangearr_t" xr:uid="{A02048E6-4799-403B-8597-EA6054B6C6B4}"/>
    <hyperlink ref="L1198" location="temprangearr_t" display="temprangearr_t" xr:uid="{3132BFF0-6EEB-4071-B42F-347B71C03163}"/>
    <hyperlink ref="L1199" location="temprangearr_t" display="temprangearr_t" xr:uid="{D2EF5879-CD75-4E21-AA33-0AA1971183C5}"/>
    <hyperlink ref="O1199" location="temprangearr_t" display="temprangearr_t" xr:uid="{104B1AFD-563F-4F9A-9D64-8C4E7951D28B}"/>
    <hyperlink ref="O1193" location="boolarr_t" display="boolarr_t" xr:uid="{5BD5FBE3-BAD5-4D0A-8C84-8B3564AF8A78}"/>
    <hyperlink ref="L1193" location="boolarr_t" display="boolarr_t" xr:uid="{0B048205-3580-4BF1-8CAC-0A090E47B5DC}"/>
    <hyperlink ref="O1197" location="boolarr_t" display="boolarr_t" xr:uid="{40A434B5-9B49-497A-A48D-CBB1BBBFC166}"/>
    <hyperlink ref="O2168" location="linkedclass_t" display="linkedclass_t" xr:uid="{286C934E-FEEC-493D-8EF8-1E79D148B246}"/>
    <hyperlink ref="O99" location="ac0operst" display="ac0operst" xr:uid="{542B86CF-531D-4178-A4AB-96B80253D17E}"/>
    <hyperlink ref="L2433" location="sysappl0smarteco" display="sysappl0smarteco" xr:uid="{D173F95A-7034-48FA-A295-0B3EA4A1D2C1}"/>
    <hyperlink ref="O2433" location="sysappl0smarteco" display="sysappl0smarteco" xr:uid="{DAE71ABA-17F4-41BD-8763-86108655D941}"/>
    <hyperlink ref="L273" location="bt0addwl_t" display="bt0addwl_t" xr:uid="{C21B5CF2-AC16-42C5-9C27-CE1132A5DD3E}"/>
    <hyperlink ref="O1183" location="lsrcfg0bindata_t" display="lsrcfg0bindata_t" xr:uid="{7B13D8C4-74C5-49BE-A566-5EF83646D178}"/>
    <hyperlink ref="O718" location="Enums!A41" display="dim0lstat" xr:uid="{66185325-C70C-4AFA-AB56-AE458C11C3DC}"/>
    <hyperlink ref="L718" location="Enums!A41" display="dim0lstat" xr:uid="{5B203342-7247-45E5-A13A-24A38357AEE2}"/>
    <hyperlink ref="L720" location="dim0type" display="dim0type" xr:uid="{172DEBEE-AA81-4DE2-B716-B9D7BCEDB842}"/>
    <hyperlink ref="O720" location="dim0type" display="dim0type" xr:uid="{42CC67BC-3A47-4C58-985C-5EA448EAE695}"/>
    <hyperlink ref="L101" location="ac0flaps" display="ac0flaps" xr:uid="{30ADDFC2-E630-4C3B-8197-2765C5B08107}"/>
    <hyperlink ref="O101" location="ac0flaps" display="ac0flaps" xr:uid="{94D15615-8B68-4190-A91C-DCABC8B51D7D}"/>
    <hyperlink ref="O537" location="rfan0fanspdincdec" display="rfan0fanspdincdec" xr:uid="{EA72AD86-9A1E-46C1-BE8C-54693C49F28D}"/>
    <hyperlink ref="O2180" location="evm0nack_t" display="evm0nack_t" xr:uid="{65113A42-7456-4393-9092-28AEF22F5FF0}"/>
    <hyperlink ref="L1830" location="rvcrefrig0cav" display="rvcrefrig0cav" xr:uid="{3A22BD9D-0F01-4491-98BF-24B02AA359C0}"/>
    <hyperlink ref="O1830" location="rvcrefrig0cav" display="rvcrefrig0cav" xr:uid="{022F1360-5D11-48A8-8EE8-EF25C2F86243}"/>
    <hyperlink ref="L1831" location="rvcrefrig0lgt" display="rvcrefrig0lgt" xr:uid="{41E5E1EC-122B-44B0-BE98-97EC27D3403D}"/>
    <hyperlink ref="O1831" location="rvcrefrig0lgt" display="rvcrefrig0lgt" xr:uid="{C22277BD-228E-429B-A5A1-57E692C3C49D}"/>
    <hyperlink ref="L1832" location="rvcrefrig0door" display="rvcrefrig0door" xr:uid="{2BD89485-44A4-43FE-BF52-C591AB8EC644}"/>
    <hyperlink ref="O1832" location="rvcrefrig0door" display="rvcrefrig0door" xr:uid="{D4E48D3B-AA99-4240-B014-3BD445903850}"/>
    <hyperlink ref="L1835" location="rvcrefrig0fuel" display="rvcrefrig0fuel" xr:uid="{E835A290-5458-40FC-A457-68F33A084844}"/>
    <hyperlink ref="O1835" location="rvcrefrig0fuel" display="rvcrefrig0fuel" xr:uid="{CE5E7E65-6378-4A5D-85BF-CE86BDEF0D94}"/>
    <hyperlink ref="L1836" location="rvcrefrig0mode" display="rvcrefrig0mode" xr:uid="{BB0B74D1-B8B7-4552-A5AF-9C3019DF33BD}"/>
    <hyperlink ref="O1836" location="rvcrefrig0mode" display="rvcrefrig0mode" xr:uid="{9FD09F4B-703A-4A85-BD13-F8F1D67F3C49}"/>
    <hyperlink ref="O2170" location="prod0prop_t" display="prod0prop_t" xr:uid="{B6F4F407-EA1A-4696-B7D7-5AE235CAA5A7}"/>
    <hyperlink ref="O2438" location="group0type" display="group0type" xr:uid="{CEC257A2-23A8-4CB8-B445-035C62A96A62}"/>
    <hyperlink ref="O2439" location="linkedclass_t" display="linkedclass_t" xr:uid="{9A0F2088-3F4C-4250-B1B0-A71EB12CB925}"/>
    <hyperlink ref="O2440" location="linkedclass_t" display="linkedclass_t" xr:uid="{423736B5-3225-4604-AB37-BF95E5ECA141}"/>
    <hyperlink ref="L2441" location="group0enable" display="group0enable" xr:uid="{A3036F09-DF2E-4073-AA4E-E4E64D1B6692}"/>
    <hyperlink ref="O2441" location="group0enable" display="group0enable" xr:uid="{920A0A2A-3AC7-4C14-A63E-F5FD955F79C5}"/>
    <hyperlink ref="L2442" location="group0active" display="group0active" xr:uid="{CFA927DA-A126-4C53-BC13-6E5190D60198}"/>
    <hyperlink ref="O2442" location="group0active" display="group0active" xr:uid="{F609B38D-8631-4226-94F5-EA030A586553}"/>
    <hyperlink ref="L2447" location="arrayi32_t" display="arrayi32_t" xr:uid="{11A3E2B8-EBFC-468B-B625-7ED9FDC60212}"/>
    <hyperlink ref="O2447" location="arrayi32_t" display="arrayi32_t" xr:uid="{38A0716E-E4CA-4BEC-9EF6-F6336B4AE1B0}"/>
    <hyperlink ref="O2451" location="linkedclass_t" display="linkedclass_t" xr:uid="{9BFDB343-9572-44F2-B4C0-DB6B54170057}"/>
    <hyperlink ref="L2195" location="mchrg0oper" display="mchrg0oper" xr:uid="{8B5E84F5-53C6-4C36-9421-BC3C7C029599}"/>
    <hyperlink ref="O2195" location="mchrg0oper" display="mchrg0oper" xr:uid="{83240A78-5068-4FDE-AB83-29F78F14E590}"/>
    <hyperlink ref="L2222" location="mchrg0algo" display="mchrg0algo" xr:uid="{9FB5455E-4806-4697-8BDC-396DC6876DC0}"/>
    <hyperlink ref="O2222" location="mchrg0algo" display="mchrg0algo" xr:uid="{C11E4018-218D-480C-A6DE-D9FA6AD90A68}"/>
    <hyperlink ref="O2269" location="mbat0htr" display="mbat0htr" xr:uid="{75118A71-0C70-49E0-B65C-53A92D10BC6F}"/>
    <hyperlink ref="L2203" location="rvcsolarcfg0mode" display="rvcsolarcfg0mode" xr:uid="{4BB70DA0-F492-4312-9A33-56E308E713FA}"/>
    <hyperlink ref="O2203" location="rvcsolarcfg0mode" display="rvcsolarcfg0mode" xr:uid="{22D831EA-5925-4973-8CAB-87823F90339B}"/>
    <hyperlink ref="L104" location="ac0hmode" display="ac0hmode" xr:uid="{963C2EE9-E2FB-4D81-A146-BF03A34CA25B}"/>
    <hyperlink ref="O104" location="ac0hmode" display="ac0hmode" xr:uid="{10BA2776-9F8B-46E7-91E3-C1BB20AABF92}"/>
    <hyperlink ref="L107" location="ac0filter_in" display="ac0filter_in" xr:uid="{1550E035-68D9-434A-A033-FB0ADBB424B9}"/>
    <hyperlink ref="O107" location="ac0filter_out" display="ac0filter_out" xr:uid="{DDFD5462-84CE-4751-A3D3-669E4D51FD65}"/>
    <hyperlink ref="L506" location="cbs0smode" display="cbs0smode" xr:uid="{F01EC227-5272-4F05-94A2-1917ECB34E44}"/>
    <hyperlink ref="O506" location="cbs0smode" display="cbs0smode" xr:uid="{4F06CF0C-6853-4B2C-84AA-FA8E21B8FF18}"/>
    <hyperlink ref="L513" location="cbs0days" display="cbs0days" xr:uid="{5EA6A25B-CB67-4E41-B708-7BAFA85CF09E}"/>
    <hyperlink ref="O513" location="cbs0days" display="cbs0days" xr:uid="{0F5196E8-A124-48F0-AF8D-C085E9F692CA}"/>
    <hyperlink ref="L510" location="cbs0days" display="cbs0days" xr:uid="{23AD1713-BC98-46E3-B0A4-BFAFEEF74D35}"/>
    <hyperlink ref="O510" location="cbs0days" display="cbs0days" xr:uid="{CF148942-E18A-4A79-955B-7D24652B98E8}"/>
    <hyperlink ref="O507" location="cbs0days" display="cbs0days" xr:uid="{EC9F8B7F-2DC4-4B6D-A0F5-1117152F6071}"/>
    <hyperlink ref="L507" location="cbs0days" display="cbs0days" xr:uid="{6C573BF0-9480-4E3B-9328-D4C19529AF4C}"/>
    <hyperlink ref="L106" location="ac0feature" display="ac0feature" xr:uid="{FB2631D5-A9CF-4A27-B75F-211DF2E467C2}"/>
    <hyperlink ref="O106" location="ac0feature" display="ac0feature" xr:uid="{3125DAA2-3AFB-4673-A6C0-3D7724B996BB}"/>
    <hyperlink ref="L398" location="iv0errst" display="iv0errst" xr:uid="{40697C88-20E9-45B5-88BE-245B65D457E8}"/>
    <hyperlink ref="O398" location="iv0errst" display="iv0errst" xr:uid="{6B1C02DA-29AC-41A8-81BC-058978C36770}"/>
    <hyperlink ref="L2168" location="updlinkedclass_t" display="updlinkedclass_t" xr:uid="{685F4F96-4FBD-45FB-A017-0F9403E63D0D}"/>
    <hyperlink ref="L2189" location="updlinkedclass_t" display="updlinkedclass_t" xr:uid="{EA1BB864-D5F2-44B7-9C52-5C109CDE2E1E}"/>
    <hyperlink ref="L2239" location="updlinkedclass_t" display="updlinkedclass_t" xr:uid="{4C1D1AD8-79B8-4D86-B12B-3CB5A50288CE}"/>
    <hyperlink ref="L2301" location="updlinkedclass_t" display="updlinkedclass_t" xr:uid="{1846017B-D6F9-4518-826A-0A3D746DA792}"/>
    <hyperlink ref="L2335" location="updlinkedclass_t" display="updlinkedclass_t" xr:uid="{EAA38BBC-B9ED-4BC6-A29F-154F64905220}"/>
    <hyperlink ref="L2439" location="updlinkedclass_t" display="updlinkedclass_t" xr:uid="{E24F7D73-90E1-4B4B-A8B4-0504CD40F21D}"/>
    <hyperlink ref="L2440" location="updlinkedclass_t" display="updlinkedclass_t" xr:uid="{9C20E901-91B5-4F5A-8876-6FBFD613E7A2}"/>
    <hyperlink ref="L2451" location="updlinkedclass_t" display="updlinkedclass_t" xr:uid="{179C998C-B5E7-4FC7-B6C9-1DCD3A72F8C0}"/>
    <hyperlink ref="L2271" location="error_t" display="error_t" xr:uid="{E25AF474-5813-4650-BDC3-0D262AE07BAB}"/>
    <hyperlink ref="O2271" location="error_t" display="error_t" xr:uid="{3BAF53C5-2893-412B-B0A7-ED4B043CAC85}"/>
    <hyperlink ref="L2367" location="error_t" display="error_t" xr:uid="{E9351B31-DFBA-40CD-9042-EFB953743750}"/>
    <hyperlink ref="O2367" location="error_t" display="error_t" xr:uid="{F2173098-3806-4D3A-8649-AB0F1514BDAC}"/>
    <hyperlink ref="L2224" location="error_t" display="error_t" xr:uid="{7B04D10D-B98A-498F-81FE-C7B47FF40BC7}"/>
    <hyperlink ref="O2224" location="error_t" display="error_t" xr:uid="{B8452295-D6C1-4DB3-AC9B-A51F76BBB038}"/>
    <hyperlink ref="L109" location="ac0currlim" display="ac0currlim" xr:uid="{F844C639-5B45-40EE-AD53-B57C180A53A4}"/>
    <hyperlink ref="O109" location="ac0currlim" display="ac0currlim" xr:uid="{9BA32A65-C19C-4962-8F4F-FD93C8C12D85}"/>
    <hyperlink ref="O568" location="rfan0feature" display="rfan0feature" xr:uid="{24D8DF9E-4C7B-4DA0-883D-F9E679231B4E}"/>
    <hyperlink ref="L1840" location="rvcdm0opst" display="rvcdm0opst" xr:uid="{927EC58E-CACA-4E36-92B4-9FC9B533AFBC}"/>
    <hyperlink ref="O1840" location="rvcdm0opst" display="rvcdm0opst" xr:uid="{4B4971F2-3F6C-4B33-8341-1C81FC72AF27}"/>
    <hyperlink ref="O2383" location="linkedclass_t" display="linkedclass_t" xr:uid="{E6935BAE-288B-45C2-A30E-B59D8591AF1C}"/>
    <hyperlink ref="O1585" location="rvc4dcsrc0type" display="rvc4dcsrc0type" xr:uid="{6C6A81E5-2122-42FC-B0F2-FBCCEB96CEC9}"/>
    <hyperlink ref="L1585" location="rvc4dcsrc0type" display="rvc4dcsrc0type" xr:uid="{B43A8E86-A7ED-4C82-9828-F3B303794521}"/>
    <hyperlink ref="O1873" location="rvc4dcsrc0chgst" display="rvc4dcsrc0chgst" xr:uid="{C66D3DE7-149F-4E8C-9CA2-AEA1C54DCAD9}"/>
    <hyperlink ref="L1876" location="rvcchrg0force" display="rvcchrg0force" xr:uid="{305DBAFE-77D7-4763-9067-D5A918CB25DE}"/>
    <hyperlink ref="O1876" location="rvcchrg0force" display="rvcchrg0force" xr:uid="{BCAE3B57-DFD1-4891-B0C8-3E18D32D6816}"/>
    <hyperlink ref="O1888" location="rvcchrgthree0derreas" display="rvcchrgthree0derreas" xr:uid="{3DEBB4E2-7B55-4B02-B9E9-5962EFFC1E5D}"/>
    <hyperlink ref="L1892" location="rvcsolarcfg0algo" display="rvcsolarcfg0algo" xr:uid="{3C4184A0-2782-446C-81E8-5F9976630A7A}"/>
    <hyperlink ref="O1892" location="rvcsolarcfg0algo" display="rvcsolarcfg0algo" xr:uid="{A20D7250-3017-4346-9FF1-6441A79E6359}"/>
    <hyperlink ref="L1893" location="rvcsolarcfg0mode" display="rvcsolarcfg0mode" xr:uid="{BEDA1AAE-6C0A-445E-9FE9-B86515CC8B38}"/>
    <hyperlink ref="O1893" location="rvcsolarcfg0mode" display="rvcsolarcfg0mode" xr:uid="{AC64BB95-1936-410A-9CE4-F1DD07CEBC26}"/>
    <hyperlink ref="L1896" location="rvc4dcsrc0type" display="rvc4dcsrc0type" xr:uid="{D592C49C-A5D1-4B57-AB39-30E97A783E60}"/>
    <hyperlink ref="O1896" location="rvc4dcsrc0type" display="rvc4dcsrc0type" xr:uid="{EB992A3A-5DF7-4C11-A9C5-A176717F30F1}"/>
    <hyperlink ref="L1873" location="rvcchrg0operst" display="rvcchrg0operst" xr:uid="{4C3FD139-A733-41F9-B904-5043A0375D31}"/>
    <hyperlink ref="O1957" location="rvcacthree0phase" display="rvcacthree0phase" xr:uid="{E0151C4A-5FD1-44F9-AE47-635FF1BB0795}"/>
    <hyperlink ref="L1957" location="rvcacthree0phase" display="rvcacthree0phase" xr:uid="{A449D540-7C30-4CAB-871D-1062A0553136}"/>
    <hyperlink ref="O1967" location="rvcacfour0voltfault" display="rvcacfour0voltfault" xr:uid="{AC4114E0-268D-441F-A95D-C9C3FA6958D3}"/>
    <hyperlink ref="L1967" location="rvcacfour0voltfault" display="rvcacfour0voltfault" xr:uid="{10774D99-9672-48DE-B66B-DB9231FBDAB5}"/>
    <hyperlink ref="O1972" location="rvcacfour0qual" display="rvcacfour0qual" xr:uid="{5ADB436A-3A00-433F-AF22-4AF57E68533C}"/>
    <hyperlink ref="L1972" location="rvcacfour0qual" display="rvcacfour0qual" xr:uid="{088C5AFF-13A2-4561-AF35-BFADEE8B7703}"/>
    <hyperlink ref="O2014" location="rvcacthree0phase" display="rvcacthree0phase" xr:uid="{7D57A961-1827-4B85-948D-097EAF24EDCC}"/>
    <hyperlink ref="L2014" location="rvcacthree0phase" display="rvcacthree0phase" xr:uid="{6B490BD9-318A-42C7-B5A0-2B21F70E31E6}"/>
    <hyperlink ref="O2024" location="rvcacfour0voltfault" display="rvcacfour0voltfault" xr:uid="{3910682F-8546-4AF3-88D2-0932E9931AB0}"/>
    <hyperlink ref="L2024" location="rvcacfour0voltfault" display="rvcacfour0voltfault" xr:uid="{4B25CA30-9219-4937-AABB-A336D4B8CA93}"/>
    <hyperlink ref="O2029" location="rvcacfour0qual" display="rvcacfour0qual" xr:uid="{4E591BD5-332D-4963-AE37-70E6395D716C}"/>
    <hyperlink ref="L2029" location="rvcacfour0qual" display="rvcacfour0qual" xr:uid="{F5F76194-5D49-449B-9ED3-1C1753F3F17F}"/>
    <hyperlink ref="O2033" location="rvcinvertac0inst" display="rvcinvertac0inst" xr:uid="{3EEDEA9B-C812-4540-8CBE-3ABA06339E55}"/>
    <hyperlink ref="O2062" location="rvcinvertcfgthree0stackmode" display="rvcinvertcfgthree0stackmode" xr:uid="{013661DE-C240-43B5-B5F2-3730D0BCD5B2}"/>
    <hyperlink ref="L2062" location="rvcinvertcfgthree0stackmode" display="rvcinvertcfgthree0stackmode" xr:uid="{6D61A290-121B-41C5-8094-A0600F92DB98}"/>
    <hyperlink ref="O2131" location="rvcacthree0phase" display="rvcacthree0phase" xr:uid="{12AE3957-80E9-4D46-9D83-B53C36A80B40}"/>
    <hyperlink ref="L2131" location="rvcacthree0phase" display="rvcacthree0phase" xr:uid="{C70C2122-3A9C-47D5-8B96-B5B4F28DDEB9}"/>
    <hyperlink ref="O2142" location="rvcacfour0voltfault" display="rvcacfour0voltfault" xr:uid="{FC51AB9E-9D3D-4FCD-8D9E-79BD3BB861F0}"/>
    <hyperlink ref="L2142" location="rvcacfour0voltfault" display="rvcacfour0voltfault" xr:uid="{7863BBBA-E0D0-467F-A9B2-BE7C20D35913}"/>
    <hyperlink ref="O2147" location="rvcacfour0qual" display="rvcacfour0qual" xr:uid="{F8F50A3F-4F0F-4880-88AE-37DE9D0BFFDA}"/>
    <hyperlink ref="L2147" location="rvcacfour0qual" display="rvcacfour0qual" xr:uid="{56753770-08BD-4249-9A1E-1851D252A11B}"/>
    <hyperlink ref="L2453" location="group0type" display="group0type" xr:uid="{64F6A564-9A0C-4E44-BBA9-3EEC66F742EF}"/>
    <hyperlink ref="O2453" location="groupclasses_t" display="groupclasses_t" xr:uid="{2BF7E2B8-D048-4BBF-BDD6-F975522EA083}"/>
    <hyperlink ref="L1220" location="rvcmgnt0rawtx_t" display="rvcmgnt0rawtx_t" xr:uid="{71528639-2E0C-4170-8F26-F875CB731C81}"/>
    <hyperlink ref="O1220" location="rvcmgnt0rawtx_t" display="rvcmgnt0rawtx_t" xr:uid="{FC718D48-2A20-4381-951B-E3192C590DB3}"/>
    <hyperlink ref="O1224" location="rvcmgnt0ack_t" display="rvcmgnt0ack_t" xr:uid="{16A534F5-09DE-4276-AB30-D74F6C8EA9A3}"/>
    <hyperlink ref="L1222" location="rvcmgnt0resetconf" display="rvcmgnt0resetconf" xr:uid="{3594572C-B414-46A3-B52B-083CF250DE57}"/>
    <hyperlink ref="O1222" location="rvcmgnt0resetconf" display="rvcmgnt0resetconf" xr:uid="{58B8550E-D6AB-4B48-9C8C-7FC336D59A1E}"/>
    <hyperlink ref="L1224" location="rvcmgnt0ack_t" display="rvcmgnt0ack_t" xr:uid="{EF778A7A-EBFF-436D-9502-FB3EC6DB10DA}"/>
    <hyperlink ref="L1225" location="rvcmgnt0download_t" display="rvcmgnt0download_t" xr:uid="{481152A0-101D-42A4-AAF4-7EAACBA39E00}"/>
    <hyperlink ref="O1225" location="rvcmgnt0download_t" display="rvcmgnt0download_t" xr:uid="{0C78440D-89E2-41E6-8350-BE5C9F653321}"/>
    <hyperlink ref="L1463" location="rvcprop0data_t" display="rvcprop0data_t" xr:uid="{8404F54B-9512-44A1-BB72-8F998B42F1E3}"/>
    <hyperlink ref="O1463" location="rvcprop0data_t" display="rvcprop0data_t" xr:uid="{0027558E-0224-46F3-9988-2DC163D17836}"/>
    <hyperlink ref="L1218" location="rvcmgnt0req_t" display="rvcmgnt0req_t" xr:uid="{3B698240-0A81-4A79-8C37-813C6E5558C6}"/>
    <hyperlink ref="L2182" location="evm0trig_t" display="evm0trig_t" xr:uid="{8163C98F-7B9F-41E7-A8B4-4F8E739E8B06}"/>
    <hyperlink ref="O2387" location="linkedclass_t" display="linkedclass_t" xr:uid="{1A13F275-FD83-412C-B22D-DA6902CA1B2F}"/>
    <hyperlink ref="L2387" location="updlinkedclass_t" display="updlinkedclass_t" xr:uid="{849F18F0-1B30-4095-8293-16A5A5610CCF}"/>
    <hyperlink ref="L2388" location="mshunt0type" display="mshunt0type" xr:uid="{216CA8A8-524C-489A-9CAA-76F94CC54F1F}"/>
    <hyperlink ref="O2388" location="mshunt0type" display="mshunt0type" xr:uid="{AA20E800-A3A8-48BB-BBD6-0F33862C8838}"/>
    <hyperlink ref="L2400" location="error_t" display="error_t" xr:uid="{E73E39C5-4B20-481F-AE9E-DE29A430DBD8}"/>
    <hyperlink ref="O2400" location="error_t" display="error_t" xr:uid="{1BEBBF65-7912-4BB3-BBF4-5B7D52F4F763}"/>
    <hyperlink ref="L2172" location="prod0reset" display="prod0reset" xr:uid="{76775DCE-8228-4508-9D4F-78C09F1CA10C}"/>
    <hyperlink ref="O2172" location="prod0reset" display="prod0reset" xr:uid="{67D58A4F-05C3-4E31-BCF1-CE211DE83C7D}"/>
    <hyperlink ref="O2403" location="linkedclass_t" display="linkedclass_t" xr:uid="{30CA3F1D-3A8F-46D8-A170-597D696F1563}"/>
    <hyperlink ref="L2403" location="updlinkedclass_t" display="updlinkedclass_t" xr:uid="{F4D911FF-79FD-4431-A734-C524AB1CC71F}"/>
    <hyperlink ref="L2404" location="rvc4dcsrc0type" display="rvc4dcsrc0type" xr:uid="{A699F574-E000-4F3B-98CA-8BE585E29D86}"/>
    <hyperlink ref="L2405" location="mchrg0algo" display="mchrg0algo" xr:uid="{6E3392B9-79EE-48D5-9122-CF67A695F644}"/>
    <hyperlink ref="O2405" location="mchrg0algo" display="mchrg0algo" xr:uid="{1E2C6C7E-7FD4-46E4-9476-42EF5C24CA0E}"/>
    <hyperlink ref="O2202" location="mchrg0force" display="mchrg0force" xr:uid="{A9FE5B3D-EBFD-4B3E-A6B6-D47B5979F478}"/>
    <hyperlink ref="O2225" location="mchrg0fstatus" display="mchrg0fstatus" xr:uid="{C558F324-81B2-44F2-8F3F-4DAEE4E9EA7D}"/>
    <hyperlink ref="L2202" location="mchrg0force" display="mchrg0force" xr:uid="{6F090093-3189-4F71-B42A-4F8618F4FEF8}"/>
    <hyperlink ref="L2225" location="mchrg0fstatus" display="mchrg0fstatus" xr:uid="{F23A6A65-50E5-446B-8753-CC7B5C78F78C}"/>
    <hyperlink ref="O2292" location="linkedclass_t" display="linkedclass_t" xr:uid="{A7978C42-433A-4B23-9326-EF2762BF203E}"/>
    <hyperlink ref="L2292" location="updlinkedclass_t" display="updlinkedclass_t" xr:uid="{64E78C13-5B88-40EA-B1B9-7EFACE6F481E}"/>
    <hyperlink ref="O2290" location="linkedclass_t" display="linkedclass_t" xr:uid="{1F1CE575-AB06-4254-B70A-7B7DF8083C2E}"/>
    <hyperlink ref="L2290" location="updlinkedclass_t" display="updlinkedclass_t" xr:uid="{8509569E-55A9-41B4-AF45-75216AC8426F}"/>
    <hyperlink ref="O2237" location="linkedclass_t" display="linkedclass_t" xr:uid="{03B4A475-F4D0-4184-AB84-3F6A00AB980F}"/>
    <hyperlink ref="L2237" location="updlinkedclass_t" display="updlinkedclass_t" xr:uid="{DD724F41-9D7B-4470-A3F1-9CC2C2ECEBDA}"/>
    <hyperlink ref="O2315" location="linkedclass_t" display="linkedclass_t" xr:uid="{31A0F9E3-2C0E-43E1-A773-DA755525D45C}"/>
    <hyperlink ref="L2315" location="updlinkedclass_t" display="updlinkedclass_t" xr:uid="{F5E40C46-3C6F-4CBD-B06E-456DD1C30B2E}"/>
    <hyperlink ref="O2371" location="linkedclass_t" display="linkedclass_t" xr:uid="{8CAE562C-213F-4912-AD7F-5302679F1A62}"/>
    <hyperlink ref="L2371" location="updlinkedclass_t" display="updlinkedclass_t" xr:uid="{8B3921C3-EB30-48FA-B23E-9BA9851ADD2A}"/>
    <hyperlink ref="L1066" location="usm0mode" display="usm0mode" xr:uid="{2C82AADB-85EB-46E3-91E8-35F12AFF1332}"/>
    <hyperlink ref="O1066" location="usm0mode" display="usm0mode" xr:uid="{9BAB705E-6479-40A4-89D6-4304B3EEF0C9}"/>
    <hyperlink ref="O1067" location="usm0state" display="usm0state" xr:uid="{B0A692CC-23E8-48DD-A76F-7C0CE3FC15CD}"/>
    <hyperlink ref="L1067" location="usm0state" display="usm0state" xr:uid="{14C0818E-F6E4-4807-A13F-50F5E4C5D56A}"/>
    <hyperlink ref="L2272" location="mbat0hmode" display="mbat0hmode" xr:uid="{FB46BD7B-59F9-4D29-B4E5-E702A5C41843}"/>
    <hyperlink ref="O2272" location="mbat0hmode" display="mbat0hmode" xr:uid="{7E36C358-FA83-4DDD-82C5-4516798D503C}"/>
    <hyperlink ref="O2252" location="rvc2dcsrc0timeremtype" display="rvc2dcsrc0timeremtype" xr:uid="{A5845E01-4ED4-4CBF-A4EB-FA307F24FF1D}"/>
    <hyperlink ref="L2252" location="rvc2dcsrc0timeremtype" display="rvc2dcsrc0timeremtype" xr:uid="{BF39F052-D194-4AD3-8268-6047C4F8A284}"/>
    <hyperlink ref="O284" location="btwl0nodei" display="btwl0nodei" xr:uid="{96D07E44-B1B8-4005-9597-C24DAF6C0857}"/>
    <hyperlink ref="O2404" location="rvc4dcsrc0type" display="rvc4dcsrc0type" xr:uid="{3C4F84A3-6E47-4A43-8940-9C1895510556}"/>
  </hyperlink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Button 1">
              <controlPr defaultSize="0" print="0" autoFill="0" autoPict="0" macro="[0]!Export_DDM2">
                <anchor moveWithCells="1" sizeWithCells="1">
                  <from>
                    <xdr:col>17</xdr:col>
                    <xdr:colOff>1466850</xdr:colOff>
                    <xdr:row>0</xdr:row>
                    <xdr:rowOff>9525</xdr:rowOff>
                  </from>
                  <to>
                    <xdr:col>17</xdr:col>
                    <xdr:colOff>1962150</xdr:colOff>
                    <xdr:row>1</xdr:row>
                    <xdr:rowOff>0</xdr:rowOff>
                  </to>
                </anchor>
              </controlPr>
            </control>
          </mc:Choice>
        </mc:AlternateContent>
        <mc:AlternateContent xmlns:mc="http://schemas.openxmlformats.org/markup-compatibility/2006">
          <mc:Choice Requires="x14">
            <control shapeId="1026" r:id="rId10" name="Button 2">
              <controlPr defaultSize="0" print="0" autoFill="0" autoPict="0" macro="[0]!Renumber">
                <anchor moveWithCells="1" sizeWithCells="1">
                  <from>
                    <xdr:col>17</xdr:col>
                    <xdr:colOff>733425</xdr:colOff>
                    <xdr:row>0</xdr:row>
                    <xdr:rowOff>0</xdr:rowOff>
                  </from>
                  <to>
                    <xdr:col>17</xdr:col>
                    <xdr:colOff>1447800</xdr:colOff>
                    <xdr:row>1</xdr:row>
                    <xdr:rowOff>0</xdr:rowOff>
                  </to>
                </anchor>
              </controlPr>
            </control>
          </mc:Choice>
        </mc:AlternateContent>
        <mc:AlternateContent xmlns:mc="http://schemas.openxmlformats.org/markup-compatibility/2006">
          <mc:Choice Requires="x14">
            <control shapeId="1028" r:id="rId11" name="Button 4">
              <controlPr defaultSize="0" print="0" autoFill="0" autoPict="0" macro="[0]!Add_enum">
                <anchor moveWithCells="1" sizeWithCells="1">
                  <from>
                    <xdr:col>17</xdr:col>
                    <xdr:colOff>1971675</xdr:colOff>
                    <xdr:row>0</xdr:row>
                    <xdr:rowOff>9525</xdr:rowOff>
                  </from>
                  <to>
                    <xdr:col>17</xdr:col>
                    <xdr:colOff>2676525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8A94F-6E37-4929-B601-30ADCB7AE3A9}">
  <sheetPr codeName="Blad5"/>
  <dimension ref="A1:Q39"/>
  <sheetViews>
    <sheetView topLeftCell="A7" zoomScale="110" zoomScaleNormal="110" workbookViewId="0">
      <selection activeCell="H36" sqref="H36"/>
    </sheetView>
  </sheetViews>
  <sheetFormatPr defaultColWidth="8.85546875" defaultRowHeight="15"/>
  <cols>
    <col min="1" max="1" width="10.28515625" style="5" bestFit="1" customWidth="1"/>
    <col min="2" max="2" width="23.85546875" style="5" bestFit="1" customWidth="1"/>
    <col min="4" max="4" width="10.7109375" style="5" bestFit="1" customWidth="1"/>
    <col min="5" max="5" width="26.5703125" style="5" bestFit="1" customWidth="1"/>
    <col min="6" max="6" width="6.5703125" style="5" bestFit="1" customWidth="1"/>
    <col min="7" max="7" width="9.85546875" customWidth="1"/>
    <col min="8" max="8" width="14" bestFit="1" customWidth="1"/>
    <col min="9" max="9" width="15.42578125" style="5" bestFit="1" customWidth="1"/>
    <col min="10" max="10" width="29.7109375" style="5" bestFit="1" customWidth="1"/>
    <col min="11" max="11" width="4.5703125" style="5" bestFit="1" customWidth="1"/>
    <col min="12" max="12" width="5.5703125" bestFit="1" customWidth="1"/>
    <col min="13" max="13" width="6.5703125" bestFit="1" customWidth="1"/>
    <col min="14" max="14" width="12.28515625" customWidth="1"/>
    <col min="15" max="15" width="16.28515625" bestFit="1" customWidth="1"/>
    <col min="16" max="16" width="81" customWidth="1"/>
    <col min="17" max="17" width="38.7109375" customWidth="1"/>
    <col min="21" max="21" width="4" bestFit="1" customWidth="1"/>
    <col min="22" max="22" width="25" bestFit="1" customWidth="1"/>
    <col min="23" max="23" width="19.85546875" bestFit="1" customWidth="1"/>
  </cols>
  <sheetData>
    <row r="1" spans="1:16" s="20" customFormat="1">
      <c r="A1" s="28" t="s">
        <v>2704</v>
      </c>
      <c r="B1" s="28" t="s">
        <v>4293</v>
      </c>
      <c r="D1" s="28" t="s">
        <v>4294</v>
      </c>
      <c r="E1" s="28" t="s">
        <v>4295</v>
      </c>
      <c r="F1" s="28" t="s">
        <v>4296</v>
      </c>
      <c r="G1" s="20" t="s">
        <v>4297</v>
      </c>
      <c r="I1" s="28" t="s">
        <v>4298</v>
      </c>
      <c r="J1" s="28" t="s">
        <v>4293</v>
      </c>
      <c r="K1" s="28" t="s">
        <v>4299</v>
      </c>
      <c r="L1" s="28" t="s">
        <v>4300</v>
      </c>
      <c r="M1" s="28" t="s">
        <v>4301</v>
      </c>
      <c r="N1" s="28"/>
      <c r="O1" s="28" t="s">
        <v>8108</v>
      </c>
      <c r="P1" s="20" t="s">
        <v>8109</v>
      </c>
    </row>
    <row r="2" spans="1:16">
      <c r="A2" s="64" t="s">
        <v>24</v>
      </c>
      <c r="B2" s="64" t="s">
        <v>4302</v>
      </c>
      <c r="D2" s="64" t="s">
        <v>25</v>
      </c>
      <c r="E2" s="64" t="s">
        <v>4303</v>
      </c>
      <c r="F2" s="64"/>
      <c r="G2" s="47">
        <v>1</v>
      </c>
      <c r="I2" s="5" t="s">
        <v>4304</v>
      </c>
      <c r="J2" s="5" t="s">
        <v>4305</v>
      </c>
      <c r="K2" s="5" t="s">
        <v>4306</v>
      </c>
      <c r="L2" s="5" t="s">
        <v>4307</v>
      </c>
      <c r="M2">
        <v>1</v>
      </c>
      <c r="O2" s="5" t="s">
        <v>8107</v>
      </c>
      <c r="P2" t="s">
        <v>8959</v>
      </c>
    </row>
    <row r="3" spans="1:16">
      <c r="A3" s="70" t="s">
        <v>38</v>
      </c>
      <c r="B3" s="70" t="s">
        <v>4312</v>
      </c>
      <c r="D3" s="64" t="s">
        <v>116</v>
      </c>
      <c r="E3" s="64" t="s">
        <v>4313</v>
      </c>
      <c r="F3" s="64"/>
      <c r="G3" s="47">
        <v>1</v>
      </c>
      <c r="I3" s="5" t="s">
        <v>4314</v>
      </c>
      <c r="J3" s="5" t="s">
        <v>4315</v>
      </c>
      <c r="K3" s="5" t="s">
        <v>4316</v>
      </c>
      <c r="L3" s="5" t="s">
        <v>4307</v>
      </c>
      <c r="M3">
        <v>1</v>
      </c>
      <c r="N3" s="5"/>
      <c r="O3" t="s">
        <v>8112</v>
      </c>
      <c r="P3" t="s">
        <v>8150</v>
      </c>
    </row>
    <row r="4" spans="1:16">
      <c r="A4" s="5" t="s">
        <v>32</v>
      </c>
      <c r="B4" s="5" t="s">
        <v>4319</v>
      </c>
      <c r="D4" s="64" t="s">
        <v>263</v>
      </c>
      <c r="E4" s="64" t="s">
        <v>4320</v>
      </c>
      <c r="F4" s="64" t="s">
        <v>263</v>
      </c>
      <c r="G4" s="47">
        <v>1000</v>
      </c>
      <c r="I4" s="5" t="s">
        <v>4321</v>
      </c>
      <c r="J4" s="5" t="s">
        <v>4322</v>
      </c>
      <c r="K4" s="5" t="s">
        <v>4323</v>
      </c>
      <c r="L4" s="5" t="s">
        <v>4307</v>
      </c>
      <c r="M4">
        <v>1</v>
      </c>
      <c r="N4" s="5"/>
      <c r="O4" t="s">
        <v>8113</v>
      </c>
      <c r="P4" t="s">
        <v>10745</v>
      </c>
    </row>
    <row r="5" spans="1:16">
      <c r="A5" s="5" t="s">
        <v>23</v>
      </c>
      <c r="B5" s="5" t="s">
        <v>4326</v>
      </c>
      <c r="D5" s="64" t="s">
        <v>133</v>
      </c>
      <c r="E5" s="64" t="s">
        <v>4327</v>
      </c>
      <c r="F5" s="64" t="s">
        <v>133</v>
      </c>
      <c r="G5" s="47">
        <v>1000</v>
      </c>
      <c r="I5" s="5" t="s">
        <v>38</v>
      </c>
      <c r="J5" s="5" t="s">
        <v>4328</v>
      </c>
      <c r="K5" s="5" t="s">
        <v>4329</v>
      </c>
      <c r="L5" s="5" t="s">
        <v>4307</v>
      </c>
      <c r="M5">
        <v>0</v>
      </c>
      <c r="N5" s="5"/>
      <c r="O5" s="5" t="s">
        <v>8115</v>
      </c>
      <c r="P5" t="s">
        <v>8151</v>
      </c>
    </row>
    <row r="6" spans="1:16">
      <c r="A6" s="5" t="s">
        <v>60</v>
      </c>
      <c r="B6" s="5" t="s">
        <v>4333</v>
      </c>
      <c r="D6" s="64" t="s">
        <v>206</v>
      </c>
      <c r="E6" s="64" t="s">
        <v>4334</v>
      </c>
      <c r="F6" s="64" t="s">
        <v>206</v>
      </c>
      <c r="G6" s="47">
        <v>1</v>
      </c>
      <c r="I6" s="5" t="s">
        <v>4335</v>
      </c>
      <c r="J6" s="5" t="s">
        <v>4336</v>
      </c>
      <c r="K6" s="5" t="s">
        <v>4329</v>
      </c>
      <c r="L6" s="5" t="s">
        <v>4307</v>
      </c>
      <c r="M6">
        <v>0</v>
      </c>
      <c r="N6" s="5"/>
      <c r="O6" s="5" t="s">
        <v>8116</v>
      </c>
      <c r="P6" t="s">
        <v>8925</v>
      </c>
    </row>
    <row r="7" spans="1:16">
      <c r="A7" s="5" t="s">
        <v>163</v>
      </c>
      <c r="B7" s="5" t="s">
        <v>4338</v>
      </c>
      <c r="D7" s="64" t="s">
        <v>139</v>
      </c>
      <c r="E7" s="64" t="s">
        <v>4339</v>
      </c>
      <c r="F7" s="64" t="s">
        <v>4340</v>
      </c>
      <c r="G7" s="47">
        <v>1000</v>
      </c>
      <c r="I7" s="5" t="s">
        <v>163</v>
      </c>
      <c r="J7" s="5" t="s">
        <v>4341</v>
      </c>
      <c r="K7" s="5" t="s">
        <v>4342</v>
      </c>
      <c r="L7" s="5" t="s">
        <v>4307</v>
      </c>
      <c r="M7">
        <v>0</v>
      </c>
      <c r="N7" s="5"/>
      <c r="O7" s="5" t="s">
        <v>8239</v>
      </c>
      <c r="P7" s="5" t="s">
        <v>8937</v>
      </c>
    </row>
    <row r="8" spans="1:16">
      <c r="A8" s="65" t="s">
        <v>8100</v>
      </c>
      <c r="B8" s="65" t="s">
        <v>8101</v>
      </c>
      <c r="D8" s="64" t="s">
        <v>862</v>
      </c>
      <c r="E8" s="64" t="s">
        <v>4350</v>
      </c>
      <c r="F8" s="64" t="s">
        <v>4351</v>
      </c>
      <c r="G8" s="47">
        <v>1000</v>
      </c>
      <c r="I8" s="5" t="s">
        <v>4352</v>
      </c>
      <c r="J8" s="5" t="s">
        <v>4353</v>
      </c>
      <c r="K8" s="5" t="s">
        <v>4316</v>
      </c>
      <c r="L8" s="5" t="s">
        <v>4340</v>
      </c>
      <c r="M8">
        <v>100</v>
      </c>
      <c r="O8" s="5" t="s">
        <v>8240</v>
      </c>
      <c r="P8" s="5" t="s">
        <v>8938</v>
      </c>
    </row>
    <row r="9" spans="1:16">
      <c r="A9" s="5" t="s">
        <v>8105</v>
      </c>
      <c r="B9" s="5" t="s">
        <v>8106</v>
      </c>
      <c r="D9" s="64" t="s">
        <v>3640</v>
      </c>
      <c r="E9" s="64" t="s">
        <v>4354</v>
      </c>
      <c r="F9" s="64" t="s">
        <v>4351</v>
      </c>
      <c r="G9" s="47">
        <v>10000000</v>
      </c>
      <c r="I9" s="5" t="s">
        <v>4355</v>
      </c>
      <c r="J9" s="5" t="s">
        <v>4356</v>
      </c>
      <c r="K9" s="5" t="s">
        <v>4316</v>
      </c>
      <c r="L9" s="5" t="s">
        <v>206</v>
      </c>
      <c r="M9">
        <v>100</v>
      </c>
      <c r="O9" s="5" t="s">
        <v>8241</v>
      </c>
      <c r="P9" s="5" t="s">
        <v>8242</v>
      </c>
    </row>
    <row r="10" spans="1:16">
      <c r="A10" s="5" t="s">
        <v>4348</v>
      </c>
      <c r="B10" s="5" t="s">
        <v>4349</v>
      </c>
      <c r="D10" s="64" t="s">
        <v>23</v>
      </c>
      <c r="E10" s="64" t="s">
        <v>4361</v>
      </c>
      <c r="F10" s="64"/>
      <c r="G10" s="47">
        <v>1</v>
      </c>
      <c r="I10" s="5" t="s">
        <v>4362</v>
      </c>
      <c r="J10" s="5" t="s">
        <v>4363</v>
      </c>
      <c r="K10" s="5" t="s">
        <v>4323</v>
      </c>
      <c r="L10" s="5" t="s">
        <v>1900</v>
      </c>
      <c r="M10">
        <v>1000</v>
      </c>
      <c r="O10" s="5" t="s">
        <v>8847</v>
      </c>
      <c r="P10" s="5" t="s">
        <v>8924</v>
      </c>
    </row>
    <row r="11" spans="1:16">
      <c r="D11" s="64" t="s">
        <v>49</v>
      </c>
      <c r="E11" s="64" t="s">
        <v>4366</v>
      </c>
      <c r="F11" s="64" t="s">
        <v>49</v>
      </c>
      <c r="G11" s="47">
        <v>1000</v>
      </c>
      <c r="I11" s="5" t="s">
        <v>4367</v>
      </c>
      <c r="J11" s="5" t="s">
        <v>4368</v>
      </c>
      <c r="K11" s="5" t="s">
        <v>4323</v>
      </c>
      <c r="L11" s="5" t="s">
        <v>4369</v>
      </c>
      <c r="M11">
        <v>1</v>
      </c>
      <c r="O11" s="5" t="s">
        <v>8853</v>
      </c>
      <c r="P11" s="5" t="s">
        <v>8854</v>
      </c>
    </row>
    <row r="12" spans="1:16">
      <c r="D12" s="64" t="s">
        <v>121</v>
      </c>
      <c r="E12" s="64" t="s">
        <v>4373</v>
      </c>
      <c r="F12" s="64" t="s">
        <v>121</v>
      </c>
      <c r="G12" s="47">
        <v>1000</v>
      </c>
      <c r="I12" s="5" t="s">
        <v>4374</v>
      </c>
      <c r="J12" s="5" t="s">
        <v>4375</v>
      </c>
      <c r="K12" s="5" t="s">
        <v>4316</v>
      </c>
      <c r="L12" s="5" t="s">
        <v>3033</v>
      </c>
      <c r="M12">
        <v>1000</v>
      </c>
      <c r="O12" s="5" t="s">
        <v>8880</v>
      </c>
      <c r="P12" s="5" t="s">
        <v>8939</v>
      </c>
    </row>
    <row r="13" spans="1:16">
      <c r="D13" s="64" t="s">
        <v>145</v>
      </c>
      <c r="E13" s="64" t="s">
        <v>4379</v>
      </c>
      <c r="F13" s="64" t="s">
        <v>145</v>
      </c>
      <c r="G13" s="47">
        <v>1000</v>
      </c>
      <c r="I13" s="5" t="s">
        <v>4380</v>
      </c>
      <c r="J13" s="5" t="s">
        <v>4381</v>
      </c>
      <c r="K13" s="5" t="s">
        <v>4316</v>
      </c>
      <c r="L13" s="5" t="s">
        <v>133</v>
      </c>
      <c r="M13">
        <v>100</v>
      </c>
      <c r="O13" s="5" t="s">
        <v>8936</v>
      </c>
      <c r="P13" s="5" t="s">
        <v>9758</v>
      </c>
    </row>
    <row r="14" spans="1:16">
      <c r="D14" s="64" t="s">
        <v>335</v>
      </c>
      <c r="E14" s="64" t="s">
        <v>4385</v>
      </c>
      <c r="F14" s="64" t="s">
        <v>335</v>
      </c>
      <c r="G14" s="47">
        <v>1000</v>
      </c>
      <c r="I14" s="5" t="s">
        <v>4386</v>
      </c>
      <c r="J14" s="5" t="s">
        <v>4387</v>
      </c>
      <c r="K14" s="5" t="s">
        <v>4323</v>
      </c>
      <c r="L14" s="5" t="s">
        <v>121</v>
      </c>
      <c r="M14">
        <v>1000</v>
      </c>
      <c r="O14" s="5" t="s">
        <v>8944</v>
      </c>
      <c r="P14" s="5" t="s">
        <v>8945</v>
      </c>
    </row>
    <row r="15" spans="1:16">
      <c r="D15" s="64" t="s">
        <v>1900</v>
      </c>
      <c r="E15" s="64" t="s">
        <v>4388</v>
      </c>
      <c r="F15" s="64" t="s">
        <v>1900</v>
      </c>
      <c r="G15" s="47">
        <v>1</v>
      </c>
      <c r="I15" s="5" t="s">
        <v>4389</v>
      </c>
      <c r="J15" s="5" t="s">
        <v>4390</v>
      </c>
      <c r="K15" s="5" t="s">
        <v>4316</v>
      </c>
      <c r="L15" s="5" t="s">
        <v>121</v>
      </c>
      <c r="M15">
        <v>1</v>
      </c>
      <c r="O15" t="s">
        <v>8991</v>
      </c>
      <c r="P15" s="5" t="s">
        <v>8992</v>
      </c>
    </row>
    <row r="16" spans="1:16">
      <c r="D16" s="64" t="s">
        <v>2384</v>
      </c>
      <c r="E16" s="64" t="s">
        <v>4391</v>
      </c>
      <c r="F16" s="64" t="s">
        <v>2384</v>
      </c>
      <c r="G16" s="47">
        <v>1000</v>
      </c>
      <c r="I16" s="5" t="s">
        <v>4392</v>
      </c>
      <c r="J16" s="5" t="s">
        <v>4393</v>
      </c>
      <c r="K16" s="5" t="s">
        <v>4316</v>
      </c>
      <c r="L16" t="s">
        <v>4351</v>
      </c>
      <c r="M16">
        <v>100</v>
      </c>
      <c r="N16" s="28"/>
      <c r="O16" s="5" t="s">
        <v>9048</v>
      </c>
      <c r="P16" s="5" t="s">
        <v>9079</v>
      </c>
    </row>
    <row r="17" spans="4:17">
      <c r="D17" s="64" t="s">
        <v>2376</v>
      </c>
      <c r="E17" s="64" t="s">
        <v>4394</v>
      </c>
      <c r="F17" s="64" t="s">
        <v>2204</v>
      </c>
      <c r="G17" s="47">
        <v>1000</v>
      </c>
      <c r="I17" s="5" t="s">
        <v>4395</v>
      </c>
      <c r="J17" s="5" t="s">
        <v>4396</v>
      </c>
      <c r="K17" s="5" t="s">
        <v>4306</v>
      </c>
      <c r="M17">
        <v>1</v>
      </c>
      <c r="O17" s="5" t="s">
        <v>9100</v>
      </c>
      <c r="P17" s="5" t="s">
        <v>9101</v>
      </c>
    </row>
    <row r="18" spans="4:17">
      <c r="D18" s="64" t="s">
        <v>298</v>
      </c>
      <c r="E18" s="64" t="s">
        <v>4397</v>
      </c>
      <c r="F18" s="64" t="s">
        <v>298</v>
      </c>
      <c r="G18" s="47">
        <v>1</v>
      </c>
      <c r="I18" s="5" t="s">
        <v>4357</v>
      </c>
      <c r="J18" s="5" t="s">
        <v>4398</v>
      </c>
      <c r="K18" s="5" t="s">
        <v>4316</v>
      </c>
      <c r="M18">
        <v>1</v>
      </c>
      <c r="N18" s="5"/>
      <c r="O18" s="5" t="s">
        <v>9342</v>
      </c>
      <c r="P18" s="5" t="s">
        <v>9343</v>
      </c>
      <c r="Q18" t="s">
        <v>9464</v>
      </c>
    </row>
    <row r="19" spans="4:17">
      <c r="D19" s="64" t="s">
        <v>3649</v>
      </c>
      <c r="E19" s="64" t="s">
        <v>4399</v>
      </c>
      <c r="F19" s="64" t="s">
        <v>4400</v>
      </c>
      <c r="G19" s="47">
        <v>1000</v>
      </c>
      <c r="I19" s="5" t="s">
        <v>4401</v>
      </c>
      <c r="J19" s="5" t="s">
        <v>4402</v>
      </c>
      <c r="K19" s="5" t="s">
        <v>4323</v>
      </c>
      <c r="M19">
        <v>1</v>
      </c>
      <c r="O19" s="5" t="s">
        <v>10566</v>
      </c>
      <c r="P19" s="5" t="s">
        <v>10569</v>
      </c>
    </row>
    <row r="20" spans="4:17">
      <c r="D20" s="64" t="s">
        <v>3722</v>
      </c>
      <c r="E20" s="64" t="s">
        <v>4403</v>
      </c>
      <c r="F20" s="64" t="s">
        <v>4404</v>
      </c>
      <c r="G20" s="47">
        <v>1000</v>
      </c>
      <c r="I20" s="5" t="s">
        <v>4405</v>
      </c>
      <c r="J20" s="5" t="s">
        <v>4406</v>
      </c>
      <c r="K20" s="5" t="s">
        <v>4316</v>
      </c>
      <c r="L20" s="5" t="s">
        <v>3494</v>
      </c>
      <c r="M20">
        <v>100</v>
      </c>
      <c r="N20" s="5"/>
      <c r="O20" t="s">
        <v>10570</v>
      </c>
      <c r="P20" t="s">
        <v>10746</v>
      </c>
    </row>
    <row r="21" spans="4:17">
      <c r="D21" s="64" t="s">
        <v>3687</v>
      </c>
      <c r="E21" s="64" t="s">
        <v>4407</v>
      </c>
      <c r="F21" s="64" t="s">
        <v>4408</v>
      </c>
      <c r="G21" s="47">
        <v>1000</v>
      </c>
      <c r="I21" s="5" t="s">
        <v>4348</v>
      </c>
      <c r="J21" s="5" t="s">
        <v>4409</v>
      </c>
      <c r="K21" s="5" t="s">
        <v>4342</v>
      </c>
      <c r="M21">
        <v>0</v>
      </c>
      <c r="N21" s="5"/>
      <c r="O21" t="s">
        <v>10576</v>
      </c>
      <c r="P21" t="s">
        <v>10591</v>
      </c>
    </row>
    <row r="22" spans="4:17">
      <c r="D22" s="64" t="s">
        <v>3743</v>
      </c>
      <c r="E22" s="64" t="s">
        <v>4410</v>
      </c>
      <c r="F22" s="64" t="s">
        <v>3743</v>
      </c>
      <c r="G22" s="47">
        <v>1000</v>
      </c>
      <c r="N22" s="5"/>
      <c r="O22" t="s">
        <v>10595</v>
      </c>
      <c r="P22" t="s">
        <v>10596</v>
      </c>
    </row>
    <row r="23" spans="4:17">
      <c r="D23" s="64" t="s">
        <v>3033</v>
      </c>
      <c r="E23" s="64" t="s">
        <v>4411</v>
      </c>
      <c r="F23" s="64" t="s">
        <v>3033</v>
      </c>
      <c r="G23" s="47">
        <v>1000</v>
      </c>
      <c r="N23" s="5"/>
      <c r="O23" t="s">
        <v>10602</v>
      </c>
      <c r="P23" t="s">
        <v>10603</v>
      </c>
    </row>
    <row r="24" spans="4:17">
      <c r="D24" s="64" t="s">
        <v>3462</v>
      </c>
      <c r="E24" s="64" t="s">
        <v>4412</v>
      </c>
      <c r="F24" s="64" t="s">
        <v>1900</v>
      </c>
      <c r="G24" s="47">
        <v>1000</v>
      </c>
      <c r="O24" t="s">
        <v>10604</v>
      </c>
      <c r="P24" t="s">
        <v>10605</v>
      </c>
    </row>
    <row r="25" spans="4:17">
      <c r="D25" s="64" t="s">
        <v>1891</v>
      </c>
      <c r="E25" s="64" t="s">
        <v>4413</v>
      </c>
      <c r="F25" s="64" t="s">
        <v>1891</v>
      </c>
      <c r="G25" s="47">
        <v>1</v>
      </c>
      <c r="O25" t="s">
        <v>10607</v>
      </c>
      <c r="P25" t="s">
        <v>10606</v>
      </c>
      <c r="Q25" t="s">
        <v>10608</v>
      </c>
    </row>
    <row r="26" spans="4:17">
      <c r="D26" s="64" t="s">
        <v>4369</v>
      </c>
      <c r="E26" s="64" t="s">
        <v>4414</v>
      </c>
      <c r="F26" s="64" t="s">
        <v>4369</v>
      </c>
      <c r="G26" s="47">
        <v>1</v>
      </c>
    </row>
    <row r="27" spans="4:17">
      <c r="D27" s="64" t="s">
        <v>4082</v>
      </c>
      <c r="E27" s="64" t="s">
        <v>4415</v>
      </c>
      <c r="F27" s="64"/>
      <c r="G27" s="47">
        <v>1</v>
      </c>
    </row>
    <row r="28" spans="4:17">
      <c r="D28" s="64" t="s">
        <v>3494</v>
      </c>
      <c r="E28" s="64" t="s">
        <v>4416</v>
      </c>
      <c r="F28" s="64" t="s">
        <v>3494</v>
      </c>
      <c r="G28" s="47">
        <v>100</v>
      </c>
    </row>
    <row r="29" spans="4:17">
      <c r="D29" s="65" t="s">
        <v>8098</v>
      </c>
      <c r="E29" s="65" t="s">
        <v>8102</v>
      </c>
      <c r="F29" s="65"/>
      <c r="G29" s="66">
        <v>1</v>
      </c>
    </row>
    <row r="30" spans="4:17">
      <c r="D30" s="65" t="s">
        <v>4275</v>
      </c>
      <c r="E30" s="65" t="s">
        <v>8103</v>
      </c>
      <c r="F30" s="65"/>
      <c r="G30" s="66">
        <v>1</v>
      </c>
    </row>
    <row r="31" spans="4:17">
      <c r="D31" s="65" t="s">
        <v>8099</v>
      </c>
      <c r="E31" s="65" t="s">
        <v>8104</v>
      </c>
      <c r="F31" s="65"/>
      <c r="G31" s="66">
        <v>1</v>
      </c>
    </row>
    <row r="32" spans="4:17">
      <c r="D32" s="65" t="s">
        <v>8117</v>
      </c>
      <c r="E32" s="65" t="s">
        <v>8118</v>
      </c>
      <c r="F32" s="65"/>
      <c r="G32" s="66">
        <v>1</v>
      </c>
      <c r="N32" s="28"/>
      <c r="O32" s="28"/>
    </row>
    <row r="33" spans="4:7">
      <c r="D33" s="65" t="s">
        <v>8148</v>
      </c>
      <c r="E33" s="65" t="s">
        <v>8149</v>
      </c>
      <c r="F33" s="65"/>
      <c r="G33" s="66">
        <v>1</v>
      </c>
    </row>
    <row r="34" spans="4:7">
      <c r="D34" s="70" t="s">
        <v>8951</v>
      </c>
      <c r="E34" s="70" t="s">
        <v>8952</v>
      </c>
      <c r="F34" s="70"/>
      <c r="G34" s="4">
        <v>1</v>
      </c>
    </row>
    <row r="35" spans="4:7">
      <c r="D35" s="65" t="s">
        <v>9287</v>
      </c>
      <c r="E35" s="65" t="s">
        <v>9288</v>
      </c>
      <c r="F35" s="65"/>
      <c r="G35" s="66">
        <v>1</v>
      </c>
    </row>
    <row r="36" spans="4:7">
      <c r="D36" s="64" t="s">
        <v>10871</v>
      </c>
      <c r="E36" s="64" t="s">
        <v>10872</v>
      </c>
      <c r="F36" s="64" t="s">
        <v>206</v>
      </c>
      <c r="G36" s="47">
        <v>1000</v>
      </c>
    </row>
    <row r="37" spans="4:7">
      <c r="D37" s="64" t="s">
        <v>10873</v>
      </c>
      <c r="E37" s="64" t="s">
        <v>10874</v>
      </c>
      <c r="F37" s="64"/>
      <c r="G37" s="47">
        <v>1000</v>
      </c>
    </row>
    <row r="38" spans="4:7">
      <c r="D38" s="64" t="s">
        <v>10876</v>
      </c>
      <c r="E38" s="64" t="s">
        <v>10877</v>
      </c>
      <c r="F38" s="64"/>
      <c r="G38" s="47">
        <v>1</v>
      </c>
    </row>
    <row r="39" spans="4:7">
      <c r="D39" s="5" t="s">
        <v>4348</v>
      </c>
      <c r="E39" s="5" t="s">
        <v>4417</v>
      </c>
      <c r="G39">
        <v>0</v>
      </c>
    </row>
  </sheetData>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A83BF-1316-4837-BA2E-441ADBB8852A}">
  <sheetPr codeName="Blad6"/>
  <dimension ref="A1:IQ228"/>
  <sheetViews>
    <sheetView topLeftCell="A168" zoomScale="110" zoomScaleNormal="110" workbookViewId="0">
      <selection activeCell="A169" sqref="A169"/>
    </sheetView>
  </sheetViews>
  <sheetFormatPr defaultColWidth="8.85546875" defaultRowHeight="15"/>
  <cols>
    <col min="1" max="1" width="23.28515625" bestFit="1" customWidth="1"/>
    <col min="2" max="2" width="38" customWidth="1"/>
    <col min="3" max="8" width="41.85546875" bestFit="1" customWidth="1"/>
    <col min="9" max="9" width="33.5703125" bestFit="1" customWidth="1"/>
    <col min="10" max="10" width="34.85546875" bestFit="1" customWidth="1"/>
    <col min="11" max="11" width="34.42578125" bestFit="1" customWidth="1"/>
    <col min="12" max="13" width="26" bestFit="1" customWidth="1"/>
    <col min="14" max="14" width="28.42578125" bestFit="1" customWidth="1"/>
    <col min="15" max="15" width="29.140625" bestFit="1" customWidth="1"/>
    <col min="16" max="16" width="26.42578125" bestFit="1" customWidth="1"/>
    <col min="17" max="17" width="28.28515625" bestFit="1" customWidth="1"/>
    <col min="18" max="18" width="27.140625" bestFit="1" customWidth="1"/>
    <col min="19" max="19" width="30.42578125" bestFit="1" customWidth="1"/>
    <col min="20" max="20" width="20" bestFit="1" customWidth="1"/>
    <col min="21" max="21" width="20.140625" bestFit="1" customWidth="1"/>
    <col min="22" max="22" width="18.28515625" bestFit="1" customWidth="1"/>
    <col min="23" max="23" width="20.140625" bestFit="1" customWidth="1"/>
    <col min="24" max="24" width="20.42578125" bestFit="1" customWidth="1"/>
    <col min="25" max="25" width="25.28515625" bestFit="1" customWidth="1"/>
    <col min="26" max="26" width="15.7109375" bestFit="1" customWidth="1"/>
    <col min="27" max="27" width="18.85546875" bestFit="1" customWidth="1"/>
    <col min="28" max="28" width="31.28515625" bestFit="1" customWidth="1"/>
    <col min="29" max="29" width="33.85546875" bestFit="1" customWidth="1"/>
    <col min="30" max="30" width="25.5703125" bestFit="1" customWidth="1"/>
    <col min="31" max="31" width="24.140625" bestFit="1" customWidth="1"/>
    <col min="32" max="32" width="24.42578125" bestFit="1" customWidth="1"/>
    <col min="33" max="33" width="29.28515625" bestFit="1" customWidth="1"/>
  </cols>
  <sheetData>
    <row r="1" spans="1:26">
      <c r="A1" t="s">
        <v>312</v>
      </c>
      <c r="B1" t="s">
        <v>4418</v>
      </c>
      <c r="C1" t="s">
        <v>4419</v>
      </c>
      <c r="D1" t="s">
        <v>4420</v>
      </c>
      <c r="E1" t="s">
        <v>4421</v>
      </c>
      <c r="F1" t="s">
        <v>4422</v>
      </c>
      <c r="G1" t="s">
        <v>4423</v>
      </c>
    </row>
    <row r="2" spans="1:26">
      <c r="A2" t="s">
        <v>316</v>
      </c>
      <c r="B2" t="s">
        <v>4424</v>
      </c>
      <c r="C2" t="s">
        <v>4425</v>
      </c>
      <c r="D2" t="s">
        <v>4426</v>
      </c>
      <c r="E2" t="s">
        <v>4427</v>
      </c>
      <c r="F2" t="s">
        <v>4428</v>
      </c>
      <c r="G2" t="s">
        <v>4429</v>
      </c>
    </row>
    <row r="3" spans="1:26">
      <c r="A3" t="s">
        <v>344</v>
      </c>
      <c r="B3" t="s">
        <v>4430</v>
      </c>
      <c r="C3" t="s">
        <v>4431</v>
      </c>
      <c r="D3" t="s">
        <v>4432</v>
      </c>
      <c r="E3" t="s">
        <v>4433</v>
      </c>
      <c r="F3" t="s">
        <v>4434</v>
      </c>
      <c r="G3" t="s">
        <v>4435</v>
      </c>
      <c r="H3" t="s">
        <v>4436</v>
      </c>
      <c r="I3" t="s">
        <v>4437</v>
      </c>
      <c r="J3" t="s">
        <v>4438</v>
      </c>
      <c r="K3" t="s">
        <v>4439</v>
      </c>
      <c r="L3" t="s">
        <v>4440</v>
      </c>
      <c r="M3" t="s">
        <v>4441</v>
      </c>
      <c r="N3" t="s">
        <v>4442</v>
      </c>
      <c r="O3" t="s">
        <v>4443</v>
      </c>
      <c r="P3" t="s">
        <v>9135</v>
      </c>
      <c r="Q3" t="s">
        <v>9136</v>
      </c>
      <c r="R3" t="s">
        <v>9137</v>
      </c>
      <c r="S3" t="s">
        <v>9480</v>
      </c>
      <c r="T3" t="s">
        <v>9481</v>
      </c>
      <c r="U3" t="s">
        <v>9485</v>
      </c>
      <c r="V3" t="s">
        <v>9486</v>
      </c>
      <c r="W3" t="s">
        <v>9487</v>
      </c>
      <c r="X3" t="s">
        <v>9488</v>
      </c>
      <c r="Y3" t="s">
        <v>10869</v>
      </c>
      <c r="Z3" t="s">
        <v>10870</v>
      </c>
    </row>
    <row r="4" spans="1:26">
      <c r="A4" t="s">
        <v>491</v>
      </c>
      <c r="B4" t="s">
        <v>4444</v>
      </c>
      <c r="C4" t="s">
        <v>4445</v>
      </c>
      <c r="D4" t="s">
        <v>4446</v>
      </c>
      <c r="E4" t="s">
        <v>4447</v>
      </c>
    </row>
    <row r="5" spans="1:26">
      <c r="A5" t="s">
        <v>646</v>
      </c>
      <c r="B5" t="s">
        <v>4448</v>
      </c>
      <c r="C5" t="s">
        <v>4449</v>
      </c>
      <c r="D5" t="s">
        <v>4450</v>
      </c>
      <c r="E5" t="s">
        <v>4451</v>
      </c>
    </row>
    <row r="6" spans="1:26">
      <c r="A6" t="s">
        <v>650</v>
      </c>
      <c r="B6" t="s">
        <v>4452</v>
      </c>
      <c r="C6" t="s">
        <v>4453</v>
      </c>
      <c r="D6" t="s">
        <v>4454</v>
      </c>
      <c r="E6" t="s">
        <v>4455</v>
      </c>
      <c r="F6" t="s">
        <v>4456</v>
      </c>
    </row>
    <row r="7" spans="1:26" ht="16.5">
      <c r="A7" t="s">
        <v>657</v>
      </c>
      <c r="B7" t="s">
        <v>4457</v>
      </c>
      <c r="C7" t="s">
        <v>4458</v>
      </c>
      <c r="D7" t="s">
        <v>4459</v>
      </c>
      <c r="E7" t="s">
        <v>4460</v>
      </c>
      <c r="F7" t="s">
        <v>4461</v>
      </c>
      <c r="G7" t="s">
        <v>4462</v>
      </c>
      <c r="H7" t="s">
        <v>4463</v>
      </c>
      <c r="I7" t="s">
        <v>4464</v>
      </c>
      <c r="J7" t="s">
        <v>4465</v>
      </c>
      <c r="K7" t="s">
        <v>4466</v>
      </c>
      <c r="L7" t="s">
        <v>4467</v>
      </c>
      <c r="M7" t="s">
        <v>4468</v>
      </c>
      <c r="N7" t="s">
        <v>4469</v>
      </c>
      <c r="O7" t="s">
        <v>4470</v>
      </c>
      <c r="P7" t="s">
        <v>4471</v>
      </c>
      <c r="Q7" t="s">
        <v>4472</v>
      </c>
      <c r="R7" s="15" t="s">
        <v>4473</v>
      </c>
      <c r="S7" s="15" t="s">
        <v>4474</v>
      </c>
      <c r="T7" s="55" t="s">
        <v>4475</v>
      </c>
      <c r="U7" t="s">
        <v>4476</v>
      </c>
      <c r="V7" t="s">
        <v>4477</v>
      </c>
      <c r="W7" t="s">
        <v>4478</v>
      </c>
    </row>
    <row r="8" spans="1:26">
      <c r="A8" t="s">
        <v>828</v>
      </c>
      <c r="B8" t="s">
        <v>4479</v>
      </c>
      <c r="C8" t="s">
        <v>4480</v>
      </c>
      <c r="D8" t="s">
        <v>4481</v>
      </c>
      <c r="E8" t="s">
        <v>4482</v>
      </c>
    </row>
    <row r="9" spans="1:26">
      <c r="A9" t="s">
        <v>849</v>
      </c>
      <c r="B9" t="s">
        <v>4483</v>
      </c>
      <c r="C9" t="s">
        <v>4484</v>
      </c>
      <c r="D9" t="s">
        <v>4485</v>
      </c>
      <c r="E9" t="s">
        <v>4486</v>
      </c>
      <c r="F9" t="s">
        <v>4487</v>
      </c>
    </row>
    <row r="10" spans="1:26">
      <c r="A10" t="s">
        <v>851</v>
      </c>
      <c r="B10" t="s">
        <v>4488</v>
      </c>
      <c r="C10" t="s">
        <v>4489</v>
      </c>
      <c r="D10" t="s">
        <v>4490</v>
      </c>
      <c r="E10" t="s">
        <v>4491</v>
      </c>
      <c r="F10" t="s">
        <v>4492</v>
      </c>
      <c r="G10" t="s">
        <v>4493</v>
      </c>
      <c r="H10" t="s">
        <v>4494</v>
      </c>
      <c r="I10" t="s">
        <v>4495</v>
      </c>
      <c r="J10" t="s">
        <v>4496</v>
      </c>
      <c r="K10" t="s">
        <v>4497</v>
      </c>
      <c r="L10" t="s">
        <v>4498</v>
      </c>
    </row>
    <row r="11" spans="1:26">
      <c r="A11" t="s">
        <v>856</v>
      </c>
      <c r="B11" t="s">
        <v>4499</v>
      </c>
      <c r="C11" t="s">
        <v>4500</v>
      </c>
      <c r="D11" t="s">
        <v>4501</v>
      </c>
      <c r="E11" t="s">
        <v>4502</v>
      </c>
      <c r="F11" t="s">
        <v>4503</v>
      </c>
      <c r="G11" t="s">
        <v>4504</v>
      </c>
      <c r="H11" t="s">
        <v>4505</v>
      </c>
      <c r="I11" t="s">
        <v>4506</v>
      </c>
      <c r="J11" t="s">
        <v>4507</v>
      </c>
    </row>
    <row r="12" spans="1:26">
      <c r="A12" t="s">
        <v>870</v>
      </c>
      <c r="B12" t="s">
        <v>4508</v>
      </c>
      <c r="C12" t="s">
        <v>4509</v>
      </c>
      <c r="D12" t="s">
        <v>4510</v>
      </c>
      <c r="E12" t="s">
        <v>4511</v>
      </c>
      <c r="F12" t="s">
        <v>4512</v>
      </c>
      <c r="G12" t="s">
        <v>4513</v>
      </c>
      <c r="H12" t="s">
        <v>4514</v>
      </c>
      <c r="I12" t="s">
        <v>4515</v>
      </c>
      <c r="J12" t="s">
        <v>4516</v>
      </c>
      <c r="K12" t="s">
        <v>4517</v>
      </c>
      <c r="L12" t="s">
        <v>4518</v>
      </c>
    </row>
    <row r="13" spans="1:26">
      <c r="A13" t="s">
        <v>664</v>
      </c>
      <c r="B13" t="s">
        <v>4448</v>
      </c>
      <c r="C13" t="s">
        <v>4519</v>
      </c>
      <c r="D13" t="s">
        <v>4520</v>
      </c>
      <c r="E13" t="s">
        <v>4521</v>
      </c>
      <c r="F13" t="s">
        <v>4522</v>
      </c>
    </row>
    <row r="14" spans="1:26">
      <c r="A14" t="s">
        <v>125</v>
      </c>
      <c r="B14" t="s">
        <v>4523</v>
      </c>
      <c r="C14" t="s">
        <v>4524</v>
      </c>
      <c r="D14" t="s">
        <v>4525</v>
      </c>
      <c r="E14" t="s">
        <v>4526</v>
      </c>
      <c r="F14" t="s">
        <v>4527</v>
      </c>
      <c r="G14" t="s">
        <v>4528</v>
      </c>
      <c r="H14" t="s">
        <v>4529</v>
      </c>
      <c r="I14" t="s">
        <v>4530</v>
      </c>
      <c r="J14" t="s">
        <v>4531</v>
      </c>
      <c r="K14" t="s">
        <v>4532</v>
      </c>
      <c r="L14" t="s">
        <v>4533</v>
      </c>
    </row>
    <row r="15" spans="1:26">
      <c r="A15" t="s">
        <v>2893</v>
      </c>
      <c r="B15" t="s">
        <v>8119</v>
      </c>
      <c r="C15" t="s">
        <v>8986</v>
      </c>
    </row>
    <row r="16" spans="1:26">
      <c r="A16" t="s">
        <v>672</v>
      </c>
      <c r="B16" t="s">
        <v>4479</v>
      </c>
      <c r="C16" t="s">
        <v>4534</v>
      </c>
      <c r="D16" t="s">
        <v>4535</v>
      </c>
    </row>
    <row r="17" spans="1:12">
      <c r="A17" t="s">
        <v>685</v>
      </c>
      <c r="B17" t="s">
        <v>4536</v>
      </c>
      <c r="C17" t="s">
        <v>4537</v>
      </c>
      <c r="D17" t="s">
        <v>4538</v>
      </c>
    </row>
    <row r="18" spans="1:12">
      <c r="A18" t="s">
        <v>1299</v>
      </c>
      <c r="B18" t="s">
        <v>4536</v>
      </c>
      <c r="C18" t="s">
        <v>4539</v>
      </c>
      <c r="D18" t="s">
        <v>4540</v>
      </c>
      <c r="E18" t="s">
        <v>4541</v>
      </c>
      <c r="F18" t="s">
        <v>4542</v>
      </c>
      <c r="G18" t="s">
        <v>4543</v>
      </c>
      <c r="H18" t="s">
        <v>4544</v>
      </c>
    </row>
    <row r="19" spans="1:12">
      <c r="A19" t="s">
        <v>289</v>
      </c>
      <c r="B19" t="s">
        <v>4545</v>
      </c>
      <c r="C19" t="s">
        <v>4546</v>
      </c>
      <c r="D19" t="s">
        <v>4547</v>
      </c>
      <c r="E19" t="s">
        <v>4548</v>
      </c>
    </row>
    <row r="20" spans="1:12">
      <c r="A20" t="s">
        <v>677</v>
      </c>
      <c r="B20" t="s">
        <v>4549</v>
      </c>
      <c r="C20" t="s">
        <v>4550</v>
      </c>
      <c r="D20" t="s">
        <v>4551</v>
      </c>
      <c r="E20" t="s">
        <v>4552</v>
      </c>
      <c r="F20" t="s">
        <v>4553</v>
      </c>
      <c r="G20" t="s">
        <v>4554</v>
      </c>
      <c r="H20" t="s">
        <v>4555</v>
      </c>
      <c r="I20" t="s">
        <v>4556</v>
      </c>
    </row>
    <row r="21" spans="1:12">
      <c r="A21" t="s">
        <v>373</v>
      </c>
      <c r="B21" t="s">
        <v>4557</v>
      </c>
      <c r="C21" t="s">
        <v>4558</v>
      </c>
    </row>
    <row r="22" spans="1:12">
      <c r="A22" t="s">
        <v>1465</v>
      </c>
      <c r="B22" t="s">
        <v>4559</v>
      </c>
      <c r="C22" t="s">
        <v>4560</v>
      </c>
      <c r="D22" t="s">
        <v>4561</v>
      </c>
      <c r="E22" t="s">
        <v>4562</v>
      </c>
      <c r="F22" t="s">
        <v>4563</v>
      </c>
      <c r="G22" t="s">
        <v>4564</v>
      </c>
    </row>
    <row r="23" spans="1:12">
      <c r="A23" t="s">
        <v>1594</v>
      </c>
      <c r="B23" t="s">
        <v>4448</v>
      </c>
      <c r="C23" t="s">
        <v>4565</v>
      </c>
      <c r="D23" t="s">
        <v>4566</v>
      </c>
      <c r="E23" t="s">
        <v>4427</v>
      </c>
      <c r="F23" t="s">
        <v>4567</v>
      </c>
      <c r="G23" t="s">
        <v>4568</v>
      </c>
      <c r="H23" t="s">
        <v>4569</v>
      </c>
    </row>
    <row r="24" spans="1:12">
      <c r="A24" t="s">
        <v>1954</v>
      </c>
      <c r="B24" t="s">
        <v>4570</v>
      </c>
      <c r="C24" t="s">
        <v>4571</v>
      </c>
      <c r="D24" t="s">
        <v>4572</v>
      </c>
      <c r="E24" t="s">
        <v>4573</v>
      </c>
      <c r="F24" t="s">
        <v>4574</v>
      </c>
    </row>
    <row r="25" spans="1:12">
      <c r="A25" t="s">
        <v>2318</v>
      </c>
      <c r="B25" t="s">
        <v>4575</v>
      </c>
      <c r="C25" t="s">
        <v>4576</v>
      </c>
      <c r="D25" t="s">
        <v>4577</v>
      </c>
      <c r="E25" t="s">
        <v>4578</v>
      </c>
      <c r="F25" t="s">
        <v>4579</v>
      </c>
      <c r="G25" t="s">
        <v>4580</v>
      </c>
      <c r="H25" t="s">
        <v>4581</v>
      </c>
      <c r="I25" t="s">
        <v>4582</v>
      </c>
      <c r="J25" t="s">
        <v>4583</v>
      </c>
      <c r="K25" t="s">
        <v>4584</v>
      </c>
      <c r="L25" t="s">
        <v>4585</v>
      </c>
    </row>
    <row r="26" spans="1:12">
      <c r="A26" t="s">
        <v>2389</v>
      </c>
      <c r="B26" s="6" t="s">
        <v>4586</v>
      </c>
      <c r="C26" t="s">
        <v>4587</v>
      </c>
      <c r="D26" t="s">
        <v>4588</v>
      </c>
      <c r="E26" t="s">
        <v>4589</v>
      </c>
    </row>
    <row r="27" spans="1:12">
      <c r="A27" t="s">
        <v>2394</v>
      </c>
      <c r="B27" t="s">
        <v>4590</v>
      </c>
      <c r="C27" t="s">
        <v>4591</v>
      </c>
      <c r="D27" t="s">
        <v>4592</v>
      </c>
      <c r="E27" t="s">
        <v>4593</v>
      </c>
      <c r="F27" t="s">
        <v>4594</v>
      </c>
    </row>
    <row r="28" spans="1:12">
      <c r="A28" s="6" t="s">
        <v>2517</v>
      </c>
      <c r="B28" t="s">
        <v>4595</v>
      </c>
      <c r="C28" t="s">
        <v>4596</v>
      </c>
      <c r="D28" t="s">
        <v>4597</v>
      </c>
      <c r="E28" t="s">
        <v>4598</v>
      </c>
      <c r="F28" t="s">
        <v>4599</v>
      </c>
      <c r="G28" t="s">
        <v>4600</v>
      </c>
      <c r="H28" t="s">
        <v>4601</v>
      </c>
      <c r="I28" t="s">
        <v>4602</v>
      </c>
    </row>
    <row r="29" spans="1:12">
      <c r="A29" t="s">
        <v>2533</v>
      </c>
      <c r="B29" t="s">
        <v>4603</v>
      </c>
      <c r="C29" t="s">
        <v>4604</v>
      </c>
      <c r="D29" t="s">
        <v>4605</v>
      </c>
    </row>
    <row r="30" spans="1:12">
      <c r="A30" t="s">
        <v>2134</v>
      </c>
      <c r="B30" t="s">
        <v>4606</v>
      </c>
      <c r="C30" t="s">
        <v>4607</v>
      </c>
      <c r="D30" t="s">
        <v>4608</v>
      </c>
    </row>
    <row r="31" spans="1:12">
      <c r="A31" s="6" t="s">
        <v>2285</v>
      </c>
      <c r="B31" t="s">
        <v>4609</v>
      </c>
      <c r="C31" t="s">
        <v>4610</v>
      </c>
      <c r="D31" t="s">
        <v>4611</v>
      </c>
    </row>
    <row r="32" spans="1:12">
      <c r="A32" t="s">
        <v>2054</v>
      </c>
      <c r="B32" t="s">
        <v>4612</v>
      </c>
      <c r="C32" t="s">
        <v>4613</v>
      </c>
      <c r="D32" t="s">
        <v>4614</v>
      </c>
      <c r="E32" t="s">
        <v>4615</v>
      </c>
    </row>
    <row r="33" spans="1:17">
      <c r="A33" s="6" t="s">
        <v>2703</v>
      </c>
      <c r="B33" t="s">
        <v>4616</v>
      </c>
      <c r="C33" t="s">
        <v>4617</v>
      </c>
      <c r="D33" t="s">
        <v>4618</v>
      </c>
      <c r="E33" t="s">
        <v>4619</v>
      </c>
      <c r="F33" t="s">
        <v>4620</v>
      </c>
      <c r="G33" t="s">
        <v>4621</v>
      </c>
      <c r="H33" t="s">
        <v>4622</v>
      </c>
      <c r="I33" t="s">
        <v>4623</v>
      </c>
      <c r="J33" t="s">
        <v>4624</v>
      </c>
      <c r="K33" t="s">
        <v>4625</v>
      </c>
      <c r="L33" t="s">
        <v>4626</v>
      </c>
      <c r="M33" t="s">
        <v>4627</v>
      </c>
    </row>
    <row r="34" spans="1:17">
      <c r="A34" s="2" t="s">
        <v>1754</v>
      </c>
      <c r="B34" t="s">
        <v>4448</v>
      </c>
      <c r="C34" t="s">
        <v>4628</v>
      </c>
      <c r="D34" t="s">
        <v>4629</v>
      </c>
      <c r="E34" t="s">
        <v>4630</v>
      </c>
    </row>
    <row r="35" spans="1:17">
      <c r="A35" t="s">
        <v>2797</v>
      </c>
      <c r="B35" t="s">
        <v>4631</v>
      </c>
      <c r="C35" t="s">
        <v>4632</v>
      </c>
      <c r="D35" t="s">
        <v>4633</v>
      </c>
      <c r="E35" t="s">
        <v>4634</v>
      </c>
      <c r="F35" t="s">
        <v>4635</v>
      </c>
      <c r="G35" t="s">
        <v>4636</v>
      </c>
      <c r="H35" t="s">
        <v>4637</v>
      </c>
      <c r="I35" t="s">
        <v>4638</v>
      </c>
      <c r="J35" t="s">
        <v>4639</v>
      </c>
    </row>
    <row r="36" spans="1:17">
      <c r="A36" s="2" t="s">
        <v>2034</v>
      </c>
      <c r="B36" t="s">
        <v>4640</v>
      </c>
      <c r="C36" t="s">
        <v>4641</v>
      </c>
      <c r="D36" t="s">
        <v>4633</v>
      </c>
      <c r="E36" t="s">
        <v>4642</v>
      </c>
      <c r="F36" t="s">
        <v>4643</v>
      </c>
      <c r="G36" t="s">
        <v>4636</v>
      </c>
      <c r="H36" t="s">
        <v>4637</v>
      </c>
      <c r="I36" t="s">
        <v>4644</v>
      </c>
      <c r="J36" t="s">
        <v>4645</v>
      </c>
      <c r="K36" t="s">
        <v>4646</v>
      </c>
      <c r="L36" t="s">
        <v>4647</v>
      </c>
      <c r="M36" t="s">
        <v>4648</v>
      </c>
      <c r="N36" t="s">
        <v>4638</v>
      </c>
      <c r="O36" t="s">
        <v>4649</v>
      </c>
      <c r="P36" t="s">
        <v>4639</v>
      </c>
      <c r="Q36" t="s">
        <v>4650</v>
      </c>
    </row>
    <row r="37" spans="1:17">
      <c r="A37" s="2" t="s">
        <v>2551</v>
      </c>
      <c r="B37" t="s">
        <v>4651</v>
      </c>
      <c r="C37" t="s">
        <v>4652</v>
      </c>
      <c r="D37" t="s">
        <v>4653</v>
      </c>
      <c r="E37" t="s">
        <v>4654</v>
      </c>
      <c r="F37" t="s">
        <v>4655</v>
      </c>
      <c r="G37" t="s">
        <v>4656</v>
      </c>
    </row>
    <row r="38" spans="1:17">
      <c r="A38" t="s">
        <v>943</v>
      </c>
      <c r="B38" t="s">
        <v>4657</v>
      </c>
      <c r="C38" t="s">
        <v>4658</v>
      </c>
      <c r="D38" t="s">
        <v>4659</v>
      </c>
    </row>
    <row r="39" spans="1:17">
      <c r="A39" s="2" t="s">
        <v>2785</v>
      </c>
      <c r="B39" t="s">
        <v>4448</v>
      </c>
      <c r="C39" t="s">
        <v>4660</v>
      </c>
      <c r="D39" t="s">
        <v>4661</v>
      </c>
      <c r="E39" t="s">
        <v>4662</v>
      </c>
      <c r="F39" t="s">
        <v>4663</v>
      </c>
      <c r="G39" t="s">
        <v>4664</v>
      </c>
      <c r="H39" t="s">
        <v>4665</v>
      </c>
    </row>
    <row r="40" spans="1:17">
      <c r="A40" s="2" t="s">
        <v>2788</v>
      </c>
      <c r="B40" t="s">
        <v>4666</v>
      </c>
      <c r="C40" t="s">
        <v>4449</v>
      </c>
      <c r="D40" t="s">
        <v>4667</v>
      </c>
      <c r="E40" t="s">
        <v>4668</v>
      </c>
      <c r="F40" t="s">
        <v>4669</v>
      </c>
    </row>
    <row r="41" spans="1:17">
      <c r="A41" s="2" t="s">
        <v>2060</v>
      </c>
      <c r="B41" t="s">
        <v>4448</v>
      </c>
      <c r="C41" t="s">
        <v>4641</v>
      </c>
      <c r="D41" t="s">
        <v>4670</v>
      </c>
      <c r="E41" t="s">
        <v>4487</v>
      </c>
    </row>
    <row r="42" spans="1:17">
      <c r="A42" s="2" t="s">
        <v>2420</v>
      </c>
      <c r="B42" t="s">
        <v>4671</v>
      </c>
      <c r="C42" t="s">
        <v>4672</v>
      </c>
      <c r="D42" t="s">
        <v>4673</v>
      </c>
    </row>
    <row r="43" spans="1:17">
      <c r="A43" s="2" t="s">
        <v>2425</v>
      </c>
      <c r="B43" t="s">
        <v>4674</v>
      </c>
      <c r="C43" t="s">
        <v>4675</v>
      </c>
      <c r="D43" t="s">
        <v>4676</v>
      </c>
      <c r="E43" t="s">
        <v>4677</v>
      </c>
    </row>
    <row r="44" spans="1:17">
      <c r="A44" s="2" t="s">
        <v>2477</v>
      </c>
      <c r="B44" t="s">
        <v>4678</v>
      </c>
      <c r="C44" t="s">
        <v>4679</v>
      </c>
      <c r="D44" t="s">
        <v>4680</v>
      </c>
      <c r="E44" t="s">
        <v>4681</v>
      </c>
      <c r="F44" t="s">
        <v>4682</v>
      </c>
      <c r="G44" t="s">
        <v>4683</v>
      </c>
      <c r="H44" t="s">
        <v>4684</v>
      </c>
    </row>
    <row r="45" spans="1:17">
      <c r="A45" s="2" t="s">
        <v>2839</v>
      </c>
      <c r="B45" t="s">
        <v>4685</v>
      </c>
      <c r="C45" t="s">
        <v>4686</v>
      </c>
      <c r="D45" t="s">
        <v>4687</v>
      </c>
    </row>
    <row r="46" spans="1:17">
      <c r="A46" t="s">
        <v>1096</v>
      </c>
      <c r="B46" t="s">
        <v>5782</v>
      </c>
      <c r="C46" t="s">
        <v>5781</v>
      </c>
      <c r="D46" t="s">
        <v>5780</v>
      </c>
      <c r="E46" t="s">
        <v>5783</v>
      </c>
      <c r="F46" t="s">
        <v>9564</v>
      </c>
    </row>
    <row r="47" spans="1:17">
      <c r="A47" s="2" t="s">
        <v>1049</v>
      </c>
      <c r="B47" t="s">
        <v>4688</v>
      </c>
      <c r="C47" t="s">
        <v>4689</v>
      </c>
      <c r="D47" t="s">
        <v>4690</v>
      </c>
      <c r="E47" t="s">
        <v>4691</v>
      </c>
      <c r="F47" t="s">
        <v>4692</v>
      </c>
    </row>
    <row r="48" spans="1:17">
      <c r="A48" t="s">
        <v>1095</v>
      </c>
      <c r="B48" t="s">
        <v>4693</v>
      </c>
      <c r="C48" t="s">
        <v>4694</v>
      </c>
      <c r="D48" t="s">
        <v>4695</v>
      </c>
    </row>
    <row r="49" spans="1:27">
      <c r="A49" t="s">
        <v>1109</v>
      </c>
      <c r="B49" t="s">
        <v>4696</v>
      </c>
      <c r="C49" t="s">
        <v>4697</v>
      </c>
      <c r="D49" t="s">
        <v>4698</v>
      </c>
      <c r="E49" t="s">
        <v>4699</v>
      </c>
    </row>
    <row r="50" spans="1:27">
      <c r="A50" t="s">
        <v>2899</v>
      </c>
      <c r="B50" t="s">
        <v>4700</v>
      </c>
      <c r="C50" t="s">
        <v>4701</v>
      </c>
      <c r="D50" t="s">
        <v>4702</v>
      </c>
      <c r="E50" t="s">
        <v>4703</v>
      </c>
      <c r="F50" t="s">
        <v>4704</v>
      </c>
      <c r="G50" t="s">
        <v>4705</v>
      </c>
      <c r="H50" t="s">
        <v>4706</v>
      </c>
      <c r="I50" t="s">
        <v>4707</v>
      </c>
      <c r="J50" t="s">
        <v>5730</v>
      </c>
      <c r="K50" t="s">
        <v>8960</v>
      </c>
    </row>
    <row r="51" spans="1:27">
      <c r="A51" t="s">
        <v>797</v>
      </c>
      <c r="B51" t="s">
        <v>4708</v>
      </c>
      <c r="C51" t="s">
        <v>4709</v>
      </c>
      <c r="D51" t="s">
        <v>4450</v>
      </c>
    </row>
    <row r="52" spans="1:27">
      <c r="A52" s="6" t="s">
        <v>2807</v>
      </c>
      <c r="B52" t="s">
        <v>4710</v>
      </c>
      <c r="C52" t="s">
        <v>4711</v>
      </c>
      <c r="D52" t="s">
        <v>4712</v>
      </c>
      <c r="E52" t="s">
        <v>4713</v>
      </c>
      <c r="F52" t="s">
        <v>4714</v>
      </c>
      <c r="G52" t="s">
        <v>4715</v>
      </c>
      <c r="H52" t="s">
        <v>4716</v>
      </c>
      <c r="I52" t="s">
        <v>4717</v>
      </c>
      <c r="J52" t="s">
        <v>4718</v>
      </c>
      <c r="K52" t="s">
        <v>4719</v>
      </c>
      <c r="L52" t="s">
        <v>4720</v>
      </c>
    </row>
    <row r="53" spans="1:27">
      <c r="A53" s="19" t="s">
        <v>4721</v>
      </c>
      <c r="B53" t="s">
        <v>4722</v>
      </c>
      <c r="C53" t="s">
        <v>4723</v>
      </c>
    </row>
    <row r="54" spans="1:27">
      <c r="A54" t="s">
        <v>4724</v>
      </c>
      <c r="B54" t="s">
        <v>4725</v>
      </c>
    </row>
    <row r="55" spans="1:27">
      <c r="A55" s="6" t="s">
        <v>3550</v>
      </c>
      <c r="B55" t="s">
        <v>4726</v>
      </c>
      <c r="C55" t="s">
        <v>4727</v>
      </c>
      <c r="D55" t="s">
        <v>4728</v>
      </c>
      <c r="E55" t="s">
        <v>4729</v>
      </c>
      <c r="F55" t="s">
        <v>4730</v>
      </c>
      <c r="G55" t="s">
        <v>4731</v>
      </c>
      <c r="H55" t="s">
        <v>4732</v>
      </c>
    </row>
    <row r="56" spans="1:27">
      <c r="A56" t="s">
        <v>1696</v>
      </c>
      <c r="B56" t="s">
        <v>4733</v>
      </c>
      <c r="C56" t="s">
        <v>4734</v>
      </c>
      <c r="D56" t="s">
        <v>4735</v>
      </c>
    </row>
    <row r="57" spans="1:27">
      <c r="A57" t="s">
        <v>3695</v>
      </c>
      <c r="B57" t="s">
        <v>4736</v>
      </c>
      <c r="C57" t="s">
        <v>4737</v>
      </c>
      <c r="D57" t="s">
        <v>4738</v>
      </c>
    </row>
    <row r="58" spans="1:27">
      <c r="A58" t="s">
        <v>3562</v>
      </c>
      <c r="B58" t="s">
        <v>4739</v>
      </c>
      <c r="C58" t="s">
        <v>4740</v>
      </c>
      <c r="D58" t="s">
        <v>4741</v>
      </c>
      <c r="E58" t="s">
        <v>4742</v>
      </c>
      <c r="F58" t="s">
        <v>4743</v>
      </c>
      <c r="G58" t="s">
        <v>4744</v>
      </c>
      <c r="H58" t="s">
        <v>4745</v>
      </c>
      <c r="I58" t="s">
        <v>4746</v>
      </c>
      <c r="J58" t="s">
        <v>4747</v>
      </c>
      <c r="K58" t="s">
        <v>4748</v>
      </c>
      <c r="L58" t="s">
        <v>4749</v>
      </c>
    </row>
    <row r="59" spans="1:27">
      <c r="A59" t="s">
        <v>3566</v>
      </c>
      <c r="B59" t="s">
        <v>4448</v>
      </c>
      <c r="C59" t="s">
        <v>4750</v>
      </c>
      <c r="D59" t="s">
        <v>4751</v>
      </c>
    </row>
    <row r="60" spans="1:27">
      <c r="A60" t="s">
        <v>3574</v>
      </c>
      <c r="B60" s="15" t="s">
        <v>4448</v>
      </c>
      <c r="C60" t="s">
        <v>4641</v>
      </c>
      <c r="D60" t="s">
        <v>4752</v>
      </c>
      <c r="E60" t="s">
        <v>4753</v>
      </c>
      <c r="F60" t="s">
        <v>4754</v>
      </c>
      <c r="G60" t="s">
        <v>4755</v>
      </c>
      <c r="H60" t="s">
        <v>4756</v>
      </c>
    </row>
    <row r="61" spans="1:27">
      <c r="A61" t="s">
        <v>3773</v>
      </c>
      <c r="B61" t="s">
        <v>4757</v>
      </c>
      <c r="C61" t="s">
        <v>4758</v>
      </c>
      <c r="D61" t="s">
        <v>4759</v>
      </c>
    </row>
    <row r="62" spans="1:27">
      <c r="A62" t="s">
        <v>1733</v>
      </c>
      <c r="B62" t="s">
        <v>4760</v>
      </c>
      <c r="C62" t="s">
        <v>4761</v>
      </c>
      <c r="E62" s="15"/>
    </row>
    <row r="63" spans="1:27">
      <c r="A63" t="s">
        <v>1737</v>
      </c>
      <c r="B63" t="s">
        <v>4479</v>
      </c>
      <c r="C63" t="s">
        <v>4762</v>
      </c>
      <c r="D63" t="s">
        <v>4763</v>
      </c>
      <c r="E63" t="s">
        <v>4764</v>
      </c>
    </row>
    <row r="64" spans="1:27">
      <c r="A64" t="s">
        <v>3776</v>
      </c>
      <c r="B64" t="s">
        <v>4765</v>
      </c>
      <c r="C64" t="s">
        <v>4766</v>
      </c>
      <c r="D64" t="s">
        <v>4767</v>
      </c>
      <c r="E64" t="s">
        <v>4768</v>
      </c>
      <c r="F64" t="s">
        <v>4769</v>
      </c>
      <c r="G64" t="s">
        <v>4770</v>
      </c>
      <c r="H64" t="s">
        <v>4771</v>
      </c>
      <c r="I64" t="s">
        <v>4772</v>
      </c>
      <c r="J64" t="s">
        <v>4773</v>
      </c>
      <c r="K64" t="s">
        <v>4774</v>
      </c>
      <c r="L64" t="s">
        <v>4775</v>
      </c>
      <c r="M64" t="s">
        <v>4776</v>
      </c>
      <c r="N64" t="s">
        <v>4777</v>
      </c>
      <c r="O64" t="s">
        <v>4778</v>
      </c>
      <c r="P64" t="s">
        <v>4779</v>
      </c>
      <c r="Q64" t="s">
        <v>4780</v>
      </c>
      <c r="R64" t="s">
        <v>4781</v>
      </c>
      <c r="S64" t="s">
        <v>4782</v>
      </c>
      <c r="T64" t="s">
        <v>4783</v>
      </c>
      <c r="U64" t="s">
        <v>4784</v>
      </c>
      <c r="V64" t="s">
        <v>4785</v>
      </c>
      <c r="W64" t="s">
        <v>4786</v>
      </c>
      <c r="X64" t="s">
        <v>4787</v>
      </c>
      <c r="Y64" t="s">
        <v>4788</v>
      </c>
      <c r="Z64" t="s">
        <v>4789</v>
      </c>
      <c r="AA64" t="s">
        <v>4790</v>
      </c>
    </row>
    <row r="65" spans="1:12">
      <c r="A65" t="s">
        <v>3852</v>
      </c>
      <c r="B65" t="s">
        <v>4791</v>
      </c>
      <c r="C65" t="s">
        <v>4792</v>
      </c>
      <c r="D65" t="s">
        <v>4793</v>
      </c>
      <c r="E65" t="s">
        <v>4794</v>
      </c>
      <c r="F65" t="s">
        <v>4795</v>
      </c>
      <c r="G65" t="s">
        <v>4796</v>
      </c>
      <c r="H65" t="s">
        <v>4797</v>
      </c>
      <c r="I65" t="s">
        <v>4798</v>
      </c>
      <c r="J65" t="s">
        <v>4799</v>
      </c>
      <c r="K65" t="s">
        <v>4800</v>
      </c>
      <c r="L65" t="s">
        <v>4801</v>
      </c>
    </row>
    <row r="66" spans="1:12">
      <c r="A66" t="s">
        <v>1605</v>
      </c>
      <c r="B66" s="2" t="s">
        <v>4802</v>
      </c>
      <c r="C66" t="s">
        <v>4803</v>
      </c>
      <c r="D66" t="s">
        <v>4804</v>
      </c>
      <c r="E66" t="s">
        <v>4805</v>
      </c>
      <c r="F66" t="s">
        <v>4806</v>
      </c>
    </row>
    <row r="67" spans="1:12">
      <c r="A67" t="s">
        <v>4209</v>
      </c>
      <c r="B67" t="s">
        <v>4739</v>
      </c>
      <c r="C67" t="s">
        <v>4807</v>
      </c>
      <c r="D67" t="s">
        <v>4808</v>
      </c>
      <c r="E67" t="s">
        <v>4764</v>
      </c>
    </row>
    <row r="68" spans="1:12">
      <c r="A68" t="s">
        <v>8126</v>
      </c>
      <c r="B68" t="s">
        <v>8128</v>
      </c>
      <c r="C68" t="s">
        <v>8129</v>
      </c>
    </row>
    <row r="69" spans="1:12">
      <c r="A69" t="s">
        <v>1492</v>
      </c>
      <c r="B69" t="s">
        <v>4448</v>
      </c>
      <c r="C69" t="s">
        <v>4809</v>
      </c>
      <c r="D69" t="s">
        <v>4810</v>
      </c>
      <c r="E69" t="s">
        <v>4811</v>
      </c>
    </row>
    <row r="70" spans="1:12">
      <c r="A70" t="s">
        <v>1501</v>
      </c>
      <c r="B70" t="s">
        <v>4812</v>
      </c>
      <c r="C70" t="s">
        <v>4813</v>
      </c>
      <c r="D70" t="s">
        <v>4814</v>
      </c>
    </row>
    <row r="71" spans="1:12">
      <c r="A71" t="s">
        <v>1506</v>
      </c>
      <c r="B71" t="s">
        <v>4815</v>
      </c>
      <c r="C71" t="s">
        <v>4816</v>
      </c>
    </row>
    <row r="72" spans="1:12">
      <c r="A72" t="s">
        <v>5886</v>
      </c>
      <c r="B72" t="s">
        <v>5887</v>
      </c>
      <c r="C72" t="s">
        <v>5223</v>
      </c>
      <c r="D72" t="s">
        <v>5224</v>
      </c>
      <c r="E72" t="s">
        <v>5225</v>
      </c>
    </row>
    <row r="73" spans="1:12">
      <c r="A73" t="s">
        <v>1741</v>
      </c>
      <c r="B73" t="s">
        <v>4812</v>
      </c>
      <c r="C73" t="s">
        <v>4813</v>
      </c>
      <c r="D73" t="s">
        <v>4814</v>
      </c>
      <c r="E73" t="s">
        <v>4817</v>
      </c>
    </row>
    <row r="74" spans="1:12">
      <c r="A74" t="s">
        <v>2225</v>
      </c>
      <c r="B74" t="s">
        <v>4818</v>
      </c>
      <c r="C74" t="s">
        <v>4819</v>
      </c>
      <c r="D74" t="s">
        <v>4820</v>
      </c>
    </row>
    <row r="75" spans="1:12">
      <c r="A75" t="s">
        <v>1193</v>
      </c>
      <c r="B75" t="s">
        <v>4821</v>
      </c>
      <c r="C75" t="s">
        <v>4822</v>
      </c>
      <c r="D75" t="s">
        <v>4823</v>
      </c>
      <c r="E75" t="s">
        <v>4824</v>
      </c>
      <c r="F75" t="s">
        <v>4825</v>
      </c>
      <c r="G75" t="s">
        <v>4826</v>
      </c>
      <c r="H75" t="s">
        <v>4827</v>
      </c>
      <c r="I75" t="s">
        <v>4828</v>
      </c>
      <c r="J75" t="s">
        <v>4829</v>
      </c>
      <c r="K75" t="s">
        <v>4830</v>
      </c>
    </row>
    <row r="76" spans="1:12">
      <c r="A76" t="s">
        <v>2668</v>
      </c>
      <c r="B76" t="s">
        <v>4831</v>
      </c>
      <c r="C76" t="s">
        <v>4832</v>
      </c>
      <c r="D76" t="s">
        <v>4833</v>
      </c>
      <c r="E76" t="s">
        <v>4834</v>
      </c>
    </row>
    <row r="77" spans="1:12">
      <c r="A77" t="s">
        <v>2674</v>
      </c>
      <c r="B77" t="s">
        <v>4835</v>
      </c>
      <c r="C77" t="s">
        <v>4836</v>
      </c>
      <c r="D77" t="s">
        <v>4837</v>
      </c>
      <c r="E77" t="s">
        <v>4838</v>
      </c>
    </row>
    <row r="78" spans="1:12">
      <c r="A78" t="s">
        <v>2694</v>
      </c>
      <c r="B78" t="s">
        <v>4839</v>
      </c>
      <c r="C78" t="s">
        <v>4840</v>
      </c>
      <c r="D78" t="s">
        <v>4841</v>
      </c>
      <c r="E78" t="s">
        <v>4842</v>
      </c>
      <c r="F78" t="s">
        <v>4843</v>
      </c>
    </row>
    <row r="79" spans="1:12">
      <c r="A79" t="s">
        <v>3431</v>
      </c>
      <c r="B79" t="s">
        <v>4844</v>
      </c>
      <c r="C79" t="s">
        <v>4845</v>
      </c>
      <c r="D79" t="s">
        <v>4846</v>
      </c>
    </row>
    <row r="80" spans="1:12">
      <c r="A80" t="s">
        <v>3867</v>
      </c>
      <c r="B80" t="s">
        <v>4739</v>
      </c>
      <c r="C80" t="s">
        <v>4847</v>
      </c>
      <c r="D80" t="s">
        <v>4848</v>
      </c>
      <c r="E80" t="s">
        <v>4849</v>
      </c>
    </row>
    <row r="81" spans="1:251">
      <c r="A81" t="s">
        <v>3885</v>
      </c>
      <c r="B81" t="s">
        <v>4739</v>
      </c>
      <c r="C81" t="s">
        <v>4847</v>
      </c>
      <c r="D81" t="s">
        <v>4848</v>
      </c>
      <c r="E81" t="s">
        <v>4849</v>
      </c>
    </row>
    <row r="82" spans="1:251">
      <c r="A82" s="2" t="s">
        <v>956</v>
      </c>
      <c r="B82" t="s">
        <v>4448</v>
      </c>
      <c r="C82" t="s">
        <v>4565</v>
      </c>
      <c r="D82" t="s">
        <v>4566</v>
      </c>
      <c r="E82" t="s">
        <v>4427</v>
      </c>
    </row>
    <row r="83" spans="1:251">
      <c r="A83" t="s">
        <v>1061</v>
      </c>
      <c r="B83" t="s">
        <v>4688</v>
      </c>
      <c r="C83" t="s">
        <v>4850</v>
      </c>
      <c r="D83" t="s">
        <v>4851</v>
      </c>
      <c r="E83" t="s">
        <v>4852</v>
      </c>
      <c r="F83" t="s">
        <v>4853</v>
      </c>
      <c r="G83" t="s">
        <v>4854</v>
      </c>
      <c r="H83" t="s">
        <v>4855</v>
      </c>
      <c r="I83" t="s">
        <v>4856</v>
      </c>
      <c r="J83" t="s">
        <v>4857</v>
      </c>
      <c r="K83" t="s">
        <v>4858</v>
      </c>
      <c r="L83" t="s">
        <v>4859</v>
      </c>
      <c r="M83" t="s">
        <v>4860</v>
      </c>
      <c r="N83" t="s">
        <v>4861</v>
      </c>
      <c r="O83" t="s">
        <v>4862</v>
      </c>
    </row>
    <row r="84" spans="1:251">
      <c r="A84" t="s">
        <v>1064</v>
      </c>
      <c r="B84" t="s">
        <v>4739</v>
      </c>
      <c r="C84" t="s">
        <v>4863</v>
      </c>
      <c r="D84" t="s">
        <v>4864</v>
      </c>
      <c r="E84" t="s">
        <v>4865</v>
      </c>
    </row>
    <row r="85" spans="1:251">
      <c r="A85" t="s">
        <v>382</v>
      </c>
      <c r="B85" t="s">
        <v>4866</v>
      </c>
      <c r="C85" t="s">
        <v>4867</v>
      </c>
    </row>
    <row r="86" spans="1:251">
      <c r="A86" t="s">
        <v>355</v>
      </c>
      <c r="B86" t="s">
        <v>4479</v>
      </c>
      <c r="C86" t="s">
        <v>4641</v>
      </c>
    </row>
    <row r="87" spans="1:251">
      <c r="A87" t="s">
        <v>3541</v>
      </c>
      <c r="B87" t="s">
        <v>4868</v>
      </c>
      <c r="C87" t="s">
        <v>4869</v>
      </c>
      <c r="D87" t="s">
        <v>4870</v>
      </c>
      <c r="E87" t="s">
        <v>4871</v>
      </c>
      <c r="F87" t="s">
        <v>4872</v>
      </c>
    </row>
    <row r="88" spans="1:251">
      <c r="A88" t="s">
        <v>8134</v>
      </c>
      <c r="B88" t="s">
        <v>4651</v>
      </c>
      <c r="C88" t="s">
        <v>8141</v>
      </c>
      <c r="D88" t="s">
        <v>8142</v>
      </c>
    </row>
    <row r="89" spans="1:251">
      <c r="A89" t="s">
        <v>3060</v>
      </c>
      <c r="B89" t="s">
        <v>4873</v>
      </c>
      <c r="C89" t="s">
        <v>4874</v>
      </c>
      <c r="D89" t="s">
        <v>4875</v>
      </c>
      <c r="E89" t="s">
        <v>4876</v>
      </c>
      <c r="F89" t="s">
        <v>4877</v>
      </c>
      <c r="G89" t="s">
        <v>4878</v>
      </c>
    </row>
    <row r="90" spans="1:251">
      <c r="A90" t="s">
        <v>4160</v>
      </c>
      <c r="B90" t="s">
        <v>4879</v>
      </c>
      <c r="C90" t="s">
        <v>4880</v>
      </c>
      <c r="D90" t="s">
        <v>4881</v>
      </c>
      <c r="E90" t="s">
        <v>4882</v>
      </c>
      <c r="F90" t="s">
        <v>4883</v>
      </c>
      <c r="G90" t="s">
        <v>4884</v>
      </c>
      <c r="H90" t="s">
        <v>4885</v>
      </c>
      <c r="I90" t="s">
        <v>4886</v>
      </c>
      <c r="J90" t="s">
        <v>4887</v>
      </c>
      <c r="K90" t="s">
        <v>4888</v>
      </c>
      <c r="L90" t="s">
        <v>4889</v>
      </c>
      <c r="M90" t="s">
        <v>4890</v>
      </c>
      <c r="N90" t="s">
        <v>4891</v>
      </c>
      <c r="O90" t="s">
        <v>4892</v>
      </c>
      <c r="P90" t="s">
        <v>4893</v>
      </c>
      <c r="Q90" t="s">
        <v>4894</v>
      </c>
      <c r="R90" t="s">
        <v>4895</v>
      </c>
      <c r="S90" t="s">
        <v>4896</v>
      </c>
      <c r="T90" t="s">
        <v>4897</v>
      </c>
      <c r="U90" t="s">
        <v>4898</v>
      </c>
      <c r="V90" t="s">
        <v>4899</v>
      </c>
      <c r="W90" t="s">
        <v>4900</v>
      </c>
      <c r="X90" t="s">
        <v>4901</v>
      </c>
      <c r="Y90" t="s">
        <v>4902</v>
      </c>
      <c r="Z90" t="s">
        <v>4903</v>
      </c>
      <c r="AA90" t="s">
        <v>4904</v>
      </c>
      <c r="AB90" t="s">
        <v>4905</v>
      </c>
      <c r="AC90" t="s">
        <v>4906</v>
      </c>
      <c r="AD90" t="s">
        <v>4907</v>
      </c>
      <c r="AE90" t="s">
        <v>4908</v>
      </c>
      <c r="AF90" t="s">
        <v>4909</v>
      </c>
      <c r="AG90" t="s">
        <v>4910</v>
      </c>
      <c r="AH90" t="s">
        <v>4911</v>
      </c>
      <c r="AI90" t="s">
        <v>4912</v>
      </c>
      <c r="AJ90" t="s">
        <v>4913</v>
      </c>
      <c r="AK90" t="s">
        <v>4914</v>
      </c>
      <c r="AL90" t="s">
        <v>4915</v>
      </c>
      <c r="AM90" t="s">
        <v>4916</v>
      </c>
      <c r="AN90" t="s">
        <v>4917</v>
      </c>
      <c r="AO90" t="s">
        <v>4918</v>
      </c>
      <c r="AP90" t="s">
        <v>4919</v>
      </c>
      <c r="AQ90" t="s">
        <v>4920</v>
      </c>
      <c r="AR90" t="s">
        <v>4921</v>
      </c>
      <c r="AS90" t="s">
        <v>4922</v>
      </c>
      <c r="AT90" t="s">
        <v>4923</v>
      </c>
      <c r="AU90" t="s">
        <v>4924</v>
      </c>
      <c r="AV90" t="s">
        <v>4925</v>
      </c>
      <c r="AW90" t="s">
        <v>4926</v>
      </c>
      <c r="AX90" t="s">
        <v>4927</v>
      </c>
      <c r="AY90" t="s">
        <v>4928</v>
      </c>
      <c r="AZ90" t="s">
        <v>4929</v>
      </c>
      <c r="BA90" t="s">
        <v>4930</v>
      </c>
      <c r="BB90" t="s">
        <v>4931</v>
      </c>
      <c r="BC90" t="s">
        <v>4932</v>
      </c>
      <c r="BD90" t="s">
        <v>4933</v>
      </c>
      <c r="BE90" t="s">
        <v>4934</v>
      </c>
      <c r="BF90" t="s">
        <v>4935</v>
      </c>
      <c r="BG90" t="s">
        <v>4936</v>
      </c>
      <c r="BH90" t="s">
        <v>4937</v>
      </c>
      <c r="BI90" t="s">
        <v>4938</v>
      </c>
      <c r="BJ90" t="s">
        <v>4939</v>
      </c>
      <c r="BK90" t="s">
        <v>4940</v>
      </c>
      <c r="BL90" t="s">
        <v>4941</v>
      </c>
      <c r="BM90" t="s">
        <v>4942</v>
      </c>
      <c r="BN90" t="s">
        <v>4943</v>
      </c>
      <c r="BO90" t="s">
        <v>4944</v>
      </c>
      <c r="BP90" t="s">
        <v>4945</v>
      </c>
      <c r="BQ90" t="s">
        <v>4946</v>
      </c>
      <c r="BR90" t="s">
        <v>4947</v>
      </c>
      <c r="BS90" t="s">
        <v>4948</v>
      </c>
      <c r="BT90" t="s">
        <v>4949</v>
      </c>
      <c r="BU90" t="s">
        <v>4950</v>
      </c>
      <c r="BV90" t="s">
        <v>4951</v>
      </c>
      <c r="BW90" t="s">
        <v>4952</v>
      </c>
      <c r="BX90" t="s">
        <v>4953</v>
      </c>
      <c r="BY90" t="s">
        <v>4954</v>
      </c>
      <c r="BZ90" t="s">
        <v>4955</v>
      </c>
      <c r="CA90" t="s">
        <v>4956</v>
      </c>
      <c r="CB90" t="s">
        <v>4957</v>
      </c>
      <c r="CC90" t="s">
        <v>4958</v>
      </c>
      <c r="CD90" t="s">
        <v>4959</v>
      </c>
      <c r="CE90" t="s">
        <v>4960</v>
      </c>
      <c r="CF90" t="s">
        <v>4961</v>
      </c>
      <c r="CG90" t="s">
        <v>4962</v>
      </c>
      <c r="CH90" t="s">
        <v>4963</v>
      </c>
      <c r="CI90" t="s">
        <v>4964</v>
      </c>
      <c r="CJ90" t="s">
        <v>4965</v>
      </c>
      <c r="CK90" t="s">
        <v>4966</v>
      </c>
      <c r="CL90" t="s">
        <v>4967</v>
      </c>
      <c r="CM90" t="s">
        <v>4968</v>
      </c>
      <c r="CN90" t="s">
        <v>4969</v>
      </c>
      <c r="CO90" t="s">
        <v>4970</v>
      </c>
      <c r="CP90" t="s">
        <v>4971</v>
      </c>
      <c r="CQ90" t="s">
        <v>4972</v>
      </c>
      <c r="CR90" t="s">
        <v>4973</v>
      </c>
      <c r="CS90" t="s">
        <v>4974</v>
      </c>
      <c r="CT90" t="s">
        <v>4975</v>
      </c>
      <c r="CU90" t="s">
        <v>4976</v>
      </c>
      <c r="CV90" t="s">
        <v>4977</v>
      </c>
      <c r="CW90" t="s">
        <v>4978</v>
      </c>
      <c r="CX90" t="s">
        <v>4979</v>
      </c>
      <c r="CY90" t="s">
        <v>4980</v>
      </c>
      <c r="CZ90" t="s">
        <v>4981</v>
      </c>
      <c r="DA90" t="s">
        <v>4982</v>
      </c>
      <c r="DB90" t="s">
        <v>4983</v>
      </c>
      <c r="DC90" t="s">
        <v>4984</v>
      </c>
      <c r="DD90" t="s">
        <v>4985</v>
      </c>
      <c r="DE90" t="s">
        <v>4986</v>
      </c>
      <c r="DF90" t="s">
        <v>4987</v>
      </c>
      <c r="DG90" t="s">
        <v>4988</v>
      </c>
      <c r="DH90" t="s">
        <v>4989</v>
      </c>
      <c r="DI90" t="s">
        <v>4990</v>
      </c>
      <c r="DJ90" t="s">
        <v>4991</v>
      </c>
      <c r="DK90" t="s">
        <v>4992</v>
      </c>
      <c r="DL90" t="s">
        <v>4993</v>
      </c>
      <c r="DM90" t="s">
        <v>4994</v>
      </c>
      <c r="DN90" t="s">
        <v>4995</v>
      </c>
      <c r="DO90" t="s">
        <v>4996</v>
      </c>
      <c r="DP90" t="s">
        <v>4997</v>
      </c>
      <c r="DQ90" t="s">
        <v>4998</v>
      </c>
      <c r="DR90" t="s">
        <v>4999</v>
      </c>
      <c r="DS90" t="s">
        <v>5000</v>
      </c>
      <c r="DT90" t="s">
        <v>5001</v>
      </c>
      <c r="DU90" t="s">
        <v>5002</v>
      </c>
      <c r="DV90" t="s">
        <v>5003</v>
      </c>
      <c r="DW90" t="s">
        <v>5004</v>
      </c>
      <c r="DX90" t="s">
        <v>5005</v>
      </c>
      <c r="DY90" t="s">
        <v>5006</v>
      </c>
      <c r="DZ90" t="s">
        <v>5007</v>
      </c>
      <c r="EA90" t="s">
        <v>5008</v>
      </c>
      <c r="EB90" t="s">
        <v>5009</v>
      </c>
      <c r="EC90" t="s">
        <v>5010</v>
      </c>
      <c r="ED90" t="s">
        <v>5011</v>
      </c>
      <c r="EE90" t="s">
        <v>5012</v>
      </c>
      <c r="EF90" t="s">
        <v>5013</v>
      </c>
      <c r="EG90" t="s">
        <v>5014</v>
      </c>
      <c r="EH90" t="s">
        <v>5015</v>
      </c>
      <c r="EI90" t="s">
        <v>5016</v>
      </c>
      <c r="EJ90" t="s">
        <v>5017</v>
      </c>
      <c r="EK90" t="s">
        <v>5018</v>
      </c>
      <c r="EL90" t="s">
        <v>5019</v>
      </c>
      <c r="EM90" t="s">
        <v>5020</v>
      </c>
      <c r="EN90" t="s">
        <v>5021</v>
      </c>
      <c r="EO90" t="s">
        <v>5022</v>
      </c>
      <c r="EP90" t="s">
        <v>5023</v>
      </c>
      <c r="EQ90" t="s">
        <v>5024</v>
      </c>
      <c r="ER90" t="s">
        <v>5025</v>
      </c>
      <c r="ES90" t="s">
        <v>5026</v>
      </c>
      <c r="ET90" t="s">
        <v>5027</v>
      </c>
      <c r="EU90" t="s">
        <v>5028</v>
      </c>
      <c r="EV90" t="s">
        <v>5029</v>
      </c>
      <c r="EW90" t="s">
        <v>5030</v>
      </c>
      <c r="EX90" t="s">
        <v>5031</v>
      </c>
      <c r="EY90" t="s">
        <v>5032</v>
      </c>
      <c r="EZ90" t="s">
        <v>5033</v>
      </c>
      <c r="FA90" t="s">
        <v>5034</v>
      </c>
      <c r="FB90" t="s">
        <v>5035</v>
      </c>
      <c r="FC90" t="s">
        <v>5036</v>
      </c>
      <c r="FD90" t="s">
        <v>5037</v>
      </c>
      <c r="FE90" t="s">
        <v>5038</v>
      </c>
      <c r="FF90" t="s">
        <v>5039</v>
      </c>
      <c r="FG90" t="s">
        <v>5040</v>
      </c>
      <c r="FH90" t="s">
        <v>5041</v>
      </c>
      <c r="FI90" t="s">
        <v>5042</v>
      </c>
      <c r="FJ90" t="s">
        <v>5043</v>
      </c>
      <c r="FK90" t="s">
        <v>5044</v>
      </c>
      <c r="FL90" t="s">
        <v>5045</v>
      </c>
      <c r="FM90" t="s">
        <v>5046</v>
      </c>
      <c r="FN90" t="s">
        <v>5047</v>
      </c>
      <c r="FO90" t="s">
        <v>5048</v>
      </c>
      <c r="FP90" t="s">
        <v>5049</v>
      </c>
      <c r="FQ90" t="s">
        <v>5050</v>
      </c>
      <c r="FR90" t="s">
        <v>5051</v>
      </c>
      <c r="FS90" t="s">
        <v>5052</v>
      </c>
      <c r="FT90" t="s">
        <v>5053</v>
      </c>
      <c r="FU90" t="s">
        <v>5054</v>
      </c>
      <c r="FV90" t="s">
        <v>5055</v>
      </c>
      <c r="FW90" t="s">
        <v>5056</v>
      </c>
      <c r="FX90" t="s">
        <v>5057</v>
      </c>
      <c r="FY90" t="s">
        <v>5058</v>
      </c>
      <c r="FZ90" t="s">
        <v>5059</v>
      </c>
      <c r="GA90" t="s">
        <v>5060</v>
      </c>
      <c r="GB90" t="s">
        <v>5061</v>
      </c>
      <c r="GC90" t="s">
        <v>5062</v>
      </c>
      <c r="GD90" t="s">
        <v>5063</v>
      </c>
      <c r="GE90" t="s">
        <v>5064</v>
      </c>
      <c r="GF90" t="s">
        <v>5065</v>
      </c>
      <c r="GG90" t="s">
        <v>5066</v>
      </c>
      <c r="GH90" t="s">
        <v>5067</v>
      </c>
      <c r="GI90" t="s">
        <v>5068</v>
      </c>
      <c r="GJ90" t="s">
        <v>5069</v>
      </c>
      <c r="GK90" t="s">
        <v>5070</v>
      </c>
      <c r="GL90" t="s">
        <v>5071</v>
      </c>
      <c r="GM90" t="s">
        <v>5072</v>
      </c>
      <c r="GN90" t="s">
        <v>5073</v>
      </c>
      <c r="GO90" t="s">
        <v>5074</v>
      </c>
      <c r="GP90" t="s">
        <v>5075</v>
      </c>
      <c r="GQ90" t="s">
        <v>5076</v>
      </c>
      <c r="GR90" t="s">
        <v>5077</v>
      </c>
      <c r="GS90" t="s">
        <v>5078</v>
      </c>
      <c r="GT90" t="s">
        <v>5079</v>
      </c>
      <c r="GU90" t="s">
        <v>5080</v>
      </c>
      <c r="GV90" t="s">
        <v>5081</v>
      </c>
      <c r="GW90" t="s">
        <v>5082</v>
      </c>
      <c r="GX90" t="s">
        <v>5083</v>
      </c>
      <c r="GY90" t="s">
        <v>5084</v>
      </c>
      <c r="GZ90" t="s">
        <v>5085</v>
      </c>
      <c r="HA90" t="s">
        <v>5086</v>
      </c>
      <c r="HB90" t="s">
        <v>5087</v>
      </c>
      <c r="HC90" t="s">
        <v>5088</v>
      </c>
      <c r="HD90" t="s">
        <v>5089</v>
      </c>
      <c r="HE90" t="s">
        <v>5090</v>
      </c>
      <c r="HF90" t="s">
        <v>5091</v>
      </c>
      <c r="HG90" t="s">
        <v>5092</v>
      </c>
      <c r="HH90" t="s">
        <v>5093</v>
      </c>
      <c r="HI90" t="s">
        <v>5094</v>
      </c>
      <c r="HJ90" t="s">
        <v>5095</v>
      </c>
      <c r="HK90" t="s">
        <v>5096</v>
      </c>
      <c r="HL90" t="s">
        <v>5097</v>
      </c>
      <c r="HM90" t="s">
        <v>5098</v>
      </c>
      <c r="HN90" t="s">
        <v>5099</v>
      </c>
      <c r="HO90" t="s">
        <v>5100</v>
      </c>
      <c r="HP90" t="s">
        <v>5101</v>
      </c>
      <c r="HQ90" t="s">
        <v>5102</v>
      </c>
      <c r="HR90" t="s">
        <v>5103</v>
      </c>
      <c r="HS90" t="s">
        <v>5104</v>
      </c>
      <c r="HT90" t="s">
        <v>5105</v>
      </c>
      <c r="HU90" t="s">
        <v>5106</v>
      </c>
      <c r="HV90" t="s">
        <v>5107</v>
      </c>
      <c r="HW90" t="s">
        <v>5108</v>
      </c>
      <c r="HX90" t="s">
        <v>5109</v>
      </c>
      <c r="HY90" t="s">
        <v>5110</v>
      </c>
      <c r="HZ90" t="s">
        <v>5111</v>
      </c>
      <c r="IA90" t="s">
        <v>5112</v>
      </c>
      <c r="IB90" t="s">
        <v>5113</v>
      </c>
      <c r="IC90" t="s">
        <v>5114</v>
      </c>
      <c r="ID90" t="s">
        <v>5115</v>
      </c>
      <c r="IE90" t="s">
        <v>5116</v>
      </c>
      <c r="IF90" t="s">
        <v>5117</v>
      </c>
      <c r="IG90" t="s">
        <v>5118</v>
      </c>
      <c r="IH90" t="s">
        <v>5119</v>
      </c>
      <c r="II90" t="s">
        <v>5120</v>
      </c>
      <c r="IJ90" t="s">
        <v>5121</v>
      </c>
      <c r="IK90" t="s">
        <v>5122</v>
      </c>
      <c r="IL90" t="s">
        <v>5123</v>
      </c>
      <c r="IM90" t="s">
        <v>5124</v>
      </c>
      <c r="IN90" t="s">
        <v>5125</v>
      </c>
      <c r="IO90" t="s">
        <v>5126</v>
      </c>
      <c r="IP90" t="s">
        <v>5127</v>
      </c>
      <c r="IQ90" t="s">
        <v>5128</v>
      </c>
    </row>
    <row r="91" spans="1:251">
      <c r="A91" t="s">
        <v>3108</v>
      </c>
      <c r="B91" t="s">
        <v>5129</v>
      </c>
      <c r="C91" t="s">
        <v>5130</v>
      </c>
      <c r="D91" t="s">
        <v>5131</v>
      </c>
      <c r="E91" t="s">
        <v>5132</v>
      </c>
      <c r="F91" t="s">
        <v>5133</v>
      </c>
      <c r="G91" t="s">
        <v>5134</v>
      </c>
      <c r="H91" t="s">
        <v>5135</v>
      </c>
      <c r="I91" t="s">
        <v>5136</v>
      </c>
      <c r="J91" t="s">
        <v>5137</v>
      </c>
      <c r="K91" t="s">
        <v>5138</v>
      </c>
    </row>
    <row r="92" spans="1:251">
      <c r="A92" t="s">
        <v>3112</v>
      </c>
      <c r="B92" t="s">
        <v>5139</v>
      </c>
      <c r="C92" t="s">
        <v>5140</v>
      </c>
      <c r="D92" t="s">
        <v>5141</v>
      </c>
      <c r="E92" t="s">
        <v>5142</v>
      </c>
      <c r="F92" t="s">
        <v>5143</v>
      </c>
      <c r="G92" t="s">
        <v>5144</v>
      </c>
      <c r="H92" t="s">
        <v>5145</v>
      </c>
      <c r="I92" t="s">
        <v>5146</v>
      </c>
      <c r="J92" t="s">
        <v>5147</v>
      </c>
      <c r="K92" t="s">
        <v>5148</v>
      </c>
      <c r="L92" t="s">
        <v>5149</v>
      </c>
      <c r="M92" t="s">
        <v>5150</v>
      </c>
      <c r="N92" t="s">
        <v>5151</v>
      </c>
      <c r="O92" t="s">
        <v>5152</v>
      </c>
      <c r="P92" t="s">
        <v>5153</v>
      </c>
      <c r="Q92" t="s">
        <v>5154</v>
      </c>
      <c r="R92" t="s">
        <v>5155</v>
      </c>
      <c r="S92" t="s">
        <v>5156</v>
      </c>
    </row>
    <row r="93" spans="1:251">
      <c r="A93" t="s">
        <v>3116</v>
      </c>
      <c r="B93" t="s">
        <v>5157</v>
      </c>
      <c r="C93" t="s">
        <v>5158</v>
      </c>
      <c r="D93" t="s">
        <v>5159</v>
      </c>
      <c r="E93" t="s">
        <v>5160</v>
      </c>
    </row>
    <row r="94" spans="1:251">
      <c r="A94" t="s">
        <v>3120</v>
      </c>
      <c r="B94" t="s">
        <v>5161</v>
      </c>
      <c r="C94" t="s">
        <v>5162</v>
      </c>
      <c r="D94" t="s">
        <v>5163</v>
      </c>
      <c r="E94" t="s">
        <v>5164</v>
      </c>
    </row>
    <row r="95" spans="1:251">
      <c r="A95" t="s">
        <v>3124</v>
      </c>
      <c r="B95" t="s">
        <v>5165</v>
      </c>
      <c r="C95" t="s">
        <v>5166</v>
      </c>
      <c r="D95" t="s">
        <v>5167</v>
      </c>
    </row>
    <row r="96" spans="1:251">
      <c r="A96" t="s">
        <v>3128</v>
      </c>
      <c r="B96" t="s">
        <v>5168</v>
      </c>
      <c r="C96" t="s">
        <v>5169</v>
      </c>
      <c r="D96" t="s">
        <v>5170</v>
      </c>
      <c r="E96" t="s">
        <v>5171</v>
      </c>
    </row>
    <row r="97" spans="1:15">
      <c r="A97" t="s">
        <v>3144</v>
      </c>
      <c r="B97" t="s">
        <v>4651</v>
      </c>
      <c r="C97" t="s">
        <v>5172</v>
      </c>
      <c r="D97" t="s">
        <v>5173</v>
      </c>
      <c r="E97" t="s">
        <v>5174</v>
      </c>
      <c r="F97" t="s">
        <v>5175</v>
      </c>
      <c r="G97" t="s">
        <v>5176</v>
      </c>
      <c r="H97" t="s">
        <v>5177</v>
      </c>
      <c r="I97" t="s">
        <v>5178</v>
      </c>
    </row>
    <row r="98" spans="1:15">
      <c r="A98" t="s">
        <v>3148</v>
      </c>
      <c r="B98" t="s">
        <v>5179</v>
      </c>
      <c r="C98" t="s">
        <v>5180</v>
      </c>
      <c r="D98" t="s">
        <v>5181</v>
      </c>
      <c r="E98" t="s">
        <v>5182</v>
      </c>
      <c r="F98" t="s">
        <v>5183</v>
      </c>
      <c r="G98" t="s">
        <v>5184</v>
      </c>
    </row>
    <row r="99" spans="1:15" ht="16.5">
      <c r="A99" t="s">
        <v>3152</v>
      </c>
      <c r="B99" s="55" t="s">
        <v>5185</v>
      </c>
      <c r="C99" s="55" t="s">
        <v>5186</v>
      </c>
      <c r="D99" s="55" t="s">
        <v>5187</v>
      </c>
      <c r="E99" s="55" t="s">
        <v>5188</v>
      </c>
      <c r="F99" s="55" t="s">
        <v>5189</v>
      </c>
      <c r="G99" s="55" t="s">
        <v>5190</v>
      </c>
      <c r="H99" s="55" t="s">
        <v>5191</v>
      </c>
      <c r="I99" s="55" t="s">
        <v>5192</v>
      </c>
    </row>
    <row r="100" spans="1:15">
      <c r="A100" t="s">
        <v>3481</v>
      </c>
      <c r="B100" t="s">
        <v>5193</v>
      </c>
      <c r="C100" t="s">
        <v>5194</v>
      </c>
      <c r="D100" t="s">
        <v>5195</v>
      </c>
      <c r="E100" t="s">
        <v>5196</v>
      </c>
      <c r="F100" t="s">
        <v>5197</v>
      </c>
      <c r="G100" t="s">
        <v>5198</v>
      </c>
    </row>
    <row r="101" spans="1:15">
      <c r="A101" t="s">
        <v>227</v>
      </c>
      <c r="B101" s="2" t="s">
        <v>5199</v>
      </c>
      <c r="C101" t="s">
        <v>5200</v>
      </c>
      <c r="D101" t="s">
        <v>5201</v>
      </c>
    </row>
    <row r="102" spans="1:15">
      <c r="A102" t="s">
        <v>3350</v>
      </c>
      <c r="B102" s="2" t="s">
        <v>4651</v>
      </c>
      <c r="C102" s="2" t="s">
        <v>5202</v>
      </c>
      <c r="D102" s="2" t="s">
        <v>5203</v>
      </c>
      <c r="E102" s="2" t="s">
        <v>5204</v>
      </c>
    </row>
    <row r="103" spans="1:15">
      <c r="A103" t="s">
        <v>3179</v>
      </c>
      <c r="B103" t="s">
        <v>5205</v>
      </c>
      <c r="C103" t="s">
        <v>5206</v>
      </c>
    </row>
    <row r="104" spans="1:15">
      <c r="A104" t="s">
        <v>3183</v>
      </c>
      <c r="B104" t="s">
        <v>5207</v>
      </c>
      <c r="C104" t="s">
        <v>5208</v>
      </c>
    </row>
    <row r="105" spans="1:15">
      <c r="A105" t="s">
        <v>5755</v>
      </c>
      <c r="B105" t="s">
        <v>5769</v>
      </c>
      <c r="C105" t="s">
        <v>5770</v>
      </c>
      <c r="D105" t="s">
        <v>4418</v>
      </c>
      <c r="E105" t="s">
        <v>5761</v>
      </c>
    </row>
    <row r="106" spans="1:15">
      <c r="A106" t="s">
        <v>4164</v>
      </c>
      <c r="B106" t="s">
        <v>4879</v>
      </c>
      <c r="C106" t="s">
        <v>5209</v>
      </c>
      <c r="D106" t="s">
        <v>5210</v>
      </c>
      <c r="E106" t="s">
        <v>5211</v>
      </c>
      <c r="F106" t="s">
        <v>5212</v>
      </c>
      <c r="G106" t="s">
        <v>5213</v>
      </c>
      <c r="H106" t="s">
        <v>5214</v>
      </c>
      <c r="I106" t="s">
        <v>5215</v>
      </c>
      <c r="J106" t="s">
        <v>5216</v>
      </c>
      <c r="K106" t="s">
        <v>5217</v>
      </c>
      <c r="L106" t="s">
        <v>5218</v>
      </c>
    </row>
    <row r="107" spans="1:15">
      <c r="A107" t="s">
        <v>4172</v>
      </c>
      <c r="B107" t="s">
        <v>5219</v>
      </c>
      <c r="C107" t="s">
        <v>5220</v>
      </c>
      <c r="D107" t="s">
        <v>5221</v>
      </c>
    </row>
    <row r="108" spans="1:15">
      <c r="A108" t="s">
        <v>433</v>
      </c>
      <c r="B108" t="s">
        <v>9308</v>
      </c>
      <c r="C108" t="s">
        <v>9339</v>
      </c>
    </row>
    <row r="109" spans="1:15">
      <c r="A109" t="s">
        <v>434</v>
      </c>
      <c r="B109" t="s">
        <v>9296</v>
      </c>
      <c r="C109" t="s">
        <v>9297</v>
      </c>
      <c r="D109" t="s">
        <v>9309</v>
      </c>
      <c r="E109" t="s">
        <v>9310</v>
      </c>
      <c r="F109" t="s">
        <v>9339</v>
      </c>
    </row>
    <row r="110" spans="1:15">
      <c r="A110" t="s">
        <v>115</v>
      </c>
      <c r="B110" t="s">
        <v>5222</v>
      </c>
      <c r="C110" t="s">
        <v>5223</v>
      </c>
      <c r="D110" t="s">
        <v>5224</v>
      </c>
      <c r="E110" t="s">
        <v>5225</v>
      </c>
      <c r="F110" t="s">
        <v>5226</v>
      </c>
      <c r="G110" t="s">
        <v>5227</v>
      </c>
      <c r="H110" t="s">
        <v>5228</v>
      </c>
      <c r="I110" t="s">
        <v>5229</v>
      </c>
      <c r="J110" t="s">
        <v>5230</v>
      </c>
      <c r="K110" t="s">
        <v>5231</v>
      </c>
      <c r="L110" t="s">
        <v>5232</v>
      </c>
      <c r="M110" t="s">
        <v>5233</v>
      </c>
      <c r="N110" t="s">
        <v>5234</v>
      </c>
      <c r="O110" t="s">
        <v>9122</v>
      </c>
    </row>
    <row r="111" spans="1:15">
      <c r="A111" t="s">
        <v>150</v>
      </c>
      <c r="B111" t="s">
        <v>5774</v>
      </c>
      <c r="C111" t="s">
        <v>5235</v>
      </c>
      <c r="D111" t="s">
        <v>5236</v>
      </c>
      <c r="E111" t="s">
        <v>5237</v>
      </c>
      <c r="F111" t="s">
        <v>5238</v>
      </c>
    </row>
    <row r="112" spans="1:15">
      <c r="A112" t="s">
        <v>981</v>
      </c>
      <c r="B112" t="s">
        <v>4418</v>
      </c>
      <c r="C112" t="s">
        <v>4419</v>
      </c>
      <c r="D112" t="s">
        <v>4420</v>
      </c>
    </row>
    <row r="113" spans="1:9">
      <c r="A113" t="s">
        <v>445</v>
      </c>
      <c r="B113" t="s">
        <v>5239</v>
      </c>
      <c r="C113" t="s">
        <v>5240</v>
      </c>
    </row>
    <row r="114" spans="1:9">
      <c r="A114" t="s">
        <v>4037</v>
      </c>
      <c r="B114" t="s">
        <v>5241</v>
      </c>
      <c r="C114" t="s">
        <v>5242</v>
      </c>
    </row>
    <row r="115" spans="1:9">
      <c r="A115" t="s">
        <v>3366</v>
      </c>
      <c r="B115" t="s">
        <v>5243</v>
      </c>
      <c r="C115" t="s">
        <v>5244</v>
      </c>
    </row>
    <row r="116" spans="1:9">
      <c r="A116" t="s">
        <v>1883</v>
      </c>
      <c r="B116" t="s">
        <v>5245</v>
      </c>
      <c r="C116" t="s">
        <v>4701</v>
      </c>
      <c r="D116" t="s">
        <v>5246</v>
      </c>
      <c r="E116" t="s">
        <v>5247</v>
      </c>
      <c r="F116" t="s">
        <v>5248</v>
      </c>
      <c r="G116" t="s">
        <v>5249</v>
      </c>
    </row>
    <row r="117" spans="1:9">
      <c r="A117" t="s">
        <v>4094</v>
      </c>
      <c r="B117" t="s">
        <v>4739</v>
      </c>
      <c r="C117" t="s">
        <v>5250</v>
      </c>
      <c r="D117" t="s">
        <v>5251</v>
      </c>
      <c r="E117" t="s">
        <v>5252</v>
      </c>
      <c r="F117" t="s">
        <v>5253</v>
      </c>
      <c r="G117" t="s">
        <v>5254</v>
      </c>
    </row>
    <row r="118" spans="1:9">
      <c r="A118" t="s">
        <v>1878</v>
      </c>
      <c r="B118" t="s">
        <v>4565</v>
      </c>
      <c r="C118" t="s">
        <v>4566</v>
      </c>
      <c r="D118" t="s">
        <v>4567</v>
      </c>
      <c r="E118" t="s">
        <v>9301</v>
      </c>
      <c r="F118" t="s">
        <v>9338</v>
      </c>
    </row>
    <row r="119" spans="1:9">
      <c r="A119" t="s">
        <v>5255</v>
      </c>
      <c r="B119" t="s">
        <v>5775</v>
      </c>
      <c r="C119" t="s">
        <v>5776</v>
      </c>
      <c r="D119" t="s">
        <v>5256</v>
      </c>
      <c r="E119" t="s">
        <v>5777</v>
      </c>
    </row>
    <row r="120" spans="1:9">
      <c r="A120" t="s">
        <v>5257</v>
      </c>
      <c r="B120" t="s">
        <v>5258</v>
      </c>
      <c r="C120" t="s">
        <v>5259</v>
      </c>
      <c r="D120" t="s">
        <v>5260</v>
      </c>
      <c r="E120" t="s">
        <v>5261</v>
      </c>
      <c r="F120" t="s">
        <v>5262</v>
      </c>
    </row>
    <row r="121" spans="1:9">
      <c r="A121" t="s">
        <v>5263</v>
      </c>
      <c r="B121" t="s">
        <v>5264</v>
      </c>
      <c r="C121" t="s">
        <v>5265</v>
      </c>
      <c r="D121" t="s">
        <v>5266</v>
      </c>
      <c r="E121" t="s">
        <v>5267</v>
      </c>
      <c r="F121" t="s">
        <v>5268</v>
      </c>
      <c r="G121" t="s">
        <v>5269</v>
      </c>
      <c r="H121" t="s">
        <v>5270</v>
      </c>
      <c r="I121" t="s">
        <v>5271</v>
      </c>
    </row>
    <row r="122" spans="1:9">
      <c r="A122" t="s">
        <v>1496</v>
      </c>
      <c r="B122" t="s">
        <v>5272</v>
      </c>
      <c r="C122" t="s">
        <v>5273</v>
      </c>
    </row>
    <row r="123" spans="1:9">
      <c r="A123" t="s">
        <v>1514</v>
      </c>
      <c r="B123" t="s">
        <v>5274</v>
      </c>
      <c r="C123" t="s">
        <v>5275</v>
      </c>
      <c r="D123" t="s">
        <v>5276</v>
      </c>
      <c r="E123" t="s">
        <v>5277</v>
      </c>
      <c r="F123" t="s">
        <v>5278</v>
      </c>
    </row>
    <row r="124" spans="1:9">
      <c r="A124" t="s">
        <v>1519</v>
      </c>
      <c r="B124" t="s">
        <v>5279</v>
      </c>
      <c r="C124" t="s">
        <v>5280</v>
      </c>
      <c r="D124" t="s">
        <v>5281</v>
      </c>
    </row>
    <row r="125" spans="1:9">
      <c r="A125" t="s">
        <v>1524</v>
      </c>
      <c r="B125" t="s">
        <v>5282</v>
      </c>
      <c r="C125" t="s">
        <v>6004</v>
      </c>
      <c r="D125" t="s">
        <v>6005</v>
      </c>
      <c r="E125" t="s">
        <v>5283</v>
      </c>
      <c r="F125" t="s">
        <v>5284</v>
      </c>
    </row>
    <row r="126" spans="1:9">
      <c r="A126" t="s">
        <v>1529</v>
      </c>
      <c r="B126" t="s">
        <v>5285</v>
      </c>
      <c r="C126" t="s">
        <v>5286</v>
      </c>
      <c r="D126" t="s">
        <v>5287</v>
      </c>
      <c r="E126" t="s">
        <v>5288</v>
      </c>
    </row>
    <row r="127" spans="1:9">
      <c r="A127" t="s">
        <v>1534</v>
      </c>
      <c r="B127" t="s">
        <v>5289</v>
      </c>
      <c r="C127" t="s">
        <v>5290</v>
      </c>
      <c r="D127" t="s">
        <v>5291</v>
      </c>
    </row>
    <row r="128" spans="1:9">
      <c r="A128" t="s">
        <v>1539</v>
      </c>
      <c r="B128" t="s">
        <v>5272</v>
      </c>
      <c r="C128" t="s">
        <v>5273</v>
      </c>
    </row>
    <row r="129" spans="1:5">
      <c r="A129" t="s">
        <v>1554</v>
      </c>
      <c r="B129" t="s">
        <v>5292</v>
      </c>
      <c r="C129" t="s">
        <v>5293</v>
      </c>
      <c r="D129" t="s">
        <v>5294</v>
      </c>
    </row>
    <row r="130" spans="1:5">
      <c r="A130" t="s">
        <v>1974</v>
      </c>
      <c r="B130" t="s">
        <v>4586</v>
      </c>
      <c r="C130" t="s">
        <v>5295</v>
      </c>
      <c r="D130" t="s">
        <v>5296</v>
      </c>
    </row>
    <row r="131" spans="1:5">
      <c r="A131" t="s">
        <v>2017</v>
      </c>
      <c r="B131" t="s">
        <v>5297</v>
      </c>
      <c r="C131" t="s">
        <v>5298</v>
      </c>
      <c r="D131" t="s">
        <v>5299</v>
      </c>
      <c r="E131" t="s">
        <v>5300</v>
      </c>
    </row>
    <row r="132" spans="1:5">
      <c r="A132" t="s">
        <v>2075</v>
      </c>
      <c r="B132" t="s">
        <v>5301</v>
      </c>
      <c r="C132" t="s">
        <v>5302</v>
      </c>
      <c r="D132" t="s">
        <v>5303</v>
      </c>
    </row>
    <row r="133" spans="1:5">
      <c r="A133" t="s">
        <v>1985</v>
      </c>
      <c r="B133" t="s">
        <v>5304</v>
      </c>
      <c r="C133" t="s">
        <v>5305</v>
      </c>
    </row>
    <row r="134" spans="1:5">
      <c r="A134" t="s">
        <v>1990</v>
      </c>
      <c r="B134" t="s">
        <v>5306</v>
      </c>
      <c r="C134" t="s">
        <v>5307</v>
      </c>
    </row>
    <row r="135" spans="1:5">
      <c r="A135" t="s">
        <v>1995</v>
      </c>
      <c r="B135" t="s">
        <v>5308</v>
      </c>
      <c r="C135" t="s">
        <v>5309</v>
      </c>
    </row>
    <row r="136" spans="1:5">
      <c r="A136" t="s">
        <v>2000</v>
      </c>
      <c r="B136" t="s">
        <v>5310</v>
      </c>
      <c r="C136" t="s">
        <v>5311</v>
      </c>
    </row>
    <row r="137" spans="1:5">
      <c r="A137" t="s">
        <v>1949</v>
      </c>
      <c r="B137" t="s">
        <v>5312</v>
      </c>
      <c r="C137" t="s">
        <v>5313</v>
      </c>
    </row>
    <row r="138" spans="1:5">
      <c r="A138" t="s">
        <v>1924</v>
      </c>
      <c r="B138" t="s">
        <v>4448</v>
      </c>
      <c r="C138" t="s">
        <v>4641</v>
      </c>
    </row>
    <row r="139" spans="1:5">
      <c r="A139" t="s">
        <v>1929</v>
      </c>
      <c r="B139" t="s">
        <v>4479</v>
      </c>
      <c r="C139" t="s">
        <v>5314</v>
      </c>
    </row>
    <row r="140" spans="1:5">
      <c r="A140" t="s">
        <v>1933</v>
      </c>
      <c r="B140" t="s">
        <v>4479</v>
      </c>
      <c r="C140" t="s">
        <v>5315</v>
      </c>
    </row>
    <row r="141" spans="1:5">
      <c r="A141" t="s">
        <v>1959</v>
      </c>
      <c r="B141" t="s">
        <v>5316</v>
      </c>
      <c r="C141" t="s">
        <v>5317</v>
      </c>
    </row>
    <row r="142" spans="1:5">
      <c r="A142" t="s">
        <v>3505</v>
      </c>
      <c r="B142" t="s">
        <v>5318</v>
      </c>
      <c r="C142" t="s">
        <v>5319</v>
      </c>
      <c r="D142" t="s">
        <v>5320</v>
      </c>
    </row>
    <row r="143" spans="1:5">
      <c r="A143" t="s">
        <v>5803</v>
      </c>
      <c r="B143" t="s">
        <v>5805</v>
      </c>
      <c r="C143" t="s">
        <v>5806</v>
      </c>
    </row>
    <row r="144" spans="1:5">
      <c r="A144" t="s">
        <v>5813</v>
      </c>
      <c r="B144" t="s">
        <v>5815</v>
      </c>
      <c r="C144" t="s">
        <v>5816</v>
      </c>
      <c r="D144" t="s">
        <v>5817</v>
      </c>
    </row>
    <row r="145" spans="1:19">
      <c r="A145" t="s">
        <v>5877</v>
      </c>
      <c r="B145" t="s">
        <v>5878</v>
      </c>
      <c r="C145" t="s">
        <v>5879</v>
      </c>
    </row>
    <row r="146" spans="1:19">
      <c r="A146" t="s">
        <v>5888</v>
      </c>
      <c r="B146" t="s">
        <v>5985</v>
      </c>
      <c r="C146" t="s">
        <v>5986</v>
      </c>
    </row>
    <row r="147" spans="1:19">
      <c r="A147" t="s">
        <v>5945</v>
      </c>
      <c r="B147" t="s">
        <v>5987</v>
      </c>
      <c r="C147" t="s">
        <v>5988</v>
      </c>
      <c r="D147" t="s">
        <v>5989</v>
      </c>
    </row>
    <row r="148" spans="1:19">
      <c r="A148" t="s">
        <v>5980</v>
      </c>
      <c r="B148" t="s">
        <v>5982</v>
      </c>
      <c r="C148" t="s">
        <v>5984</v>
      </c>
      <c r="D148" t="s">
        <v>5983</v>
      </c>
    </row>
    <row r="149" spans="1:19">
      <c r="A149" t="s">
        <v>5981</v>
      </c>
      <c r="B149" t="s">
        <v>5991</v>
      </c>
      <c r="C149" t="s">
        <v>5992</v>
      </c>
      <c r="D149" t="s">
        <v>10755</v>
      </c>
    </row>
    <row r="150" spans="1:19">
      <c r="A150" t="s">
        <v>5998</v>
      </c>
      <c r="B150" t="s">
        <v>5999</v>
      </c>
      <c r="C150" t="s">
        <v>6000</v>
      </c>
    </row>
    <row r="151" spans="1:19">
      <c r="A151" t="s">
        <v>6100</v>
      </c>
      <c r="B151" t="s">
        <v>6137</v>
      </c>
      <c r="C151" t="s">
        <v>6138</v>
      </c>
      <c r="D151" t="s">
        <v>6139</v>
      </c>
      <c r="E151" t="s">
        <v>4742</v>
      </c>
    </row>
    <row r="152" spans="1:19">
      <c r="A152" t="s">
        <v>6158</v>
      </c>
      <c r="B152" t="s">
        <v>4448</v>
      </c>
      <c r="C152" t="s">
        <v>4565</v>
      </c>
      <c r="D152" t="s">
        <v>4566</v>
      </c>
      <c r="E152" t="s">
        <v>4427</v>
      </c>
      <c r="F152" t="s">
        <v>6171</v>
      </c>
      <c r="G152" t="s">
        <v>4568</v>
      </c>
      <c r="H152" t="s">
        <v>4569</v>
      </c>
      <c r="I152" t="s">
        <v>6172</v>
      </c>
    </row>
    <row r="153" spans="1:19">
      <c r="A153" t="s">
        <v>6142</v>
      </c>
      <c r="B153" t="s">
        <v>4479</v>
      </c>
      <c r="C153" t="s">
        <v>4641</v>
      </c>
      <c r="D153" t="s">
        <v>6173</v>
      </c>
    </row>
    <row r="154" spans="1:19">
      <c r="A154" t="s">
        <v>6144</v>
      </c>
      <c r="B154" t="s">
        <v>4651</v>
      </c>
      <c r="C154" t="s">
        <v>6174</v>
      </c>
      <c r="D154" t="s">
        <v>6173</v>
      </c>
    </row>
    <row r="155" spans="1:19">
      <c r="A155" t="s">
        <v>6181</v>
      </c>
      <c r="B155" t="s">
        <v>4651</v>
      </c>
      <c r="C155" t="s">
        <v>6174</v>
      </c>
      <c r="D155" t="s">
        <v>6173</v>
      </c>
    </row>
    <row r="156" spans="1:19">
      <c r="A156" t="s">
        <v>6223</v>
      </c>
      <c r="B156" t="s">
        <v>6236</v>
      </c>
      <c r="C156" t="s">
        <v>6237</v>
      </c>
      <c r="D156" t="s">
        <v>6173</v>
      </c>
    </row>
    <row r="157" spans="1:19">
      <c r="A157" t="s">
        <v>6285</v>
      </c>
      <c r="B157" t="s">
        <v>4448</v>
      </c>
      <c r="C157" t="s">
        <v>6309</v>
      </c>
      <c r="D157" t="s">
        <v>6310</v>
      </c>
      <c r="E157" t="s">
        <v>6311</v>
      </c>
    </row>
    <row r="158" spans="1:19">
      <c r="A158" t="s">
        <v>6360</v>
      </c>
      <c r="B158" t="s">
        <v>6420</v>
      </c>
      <c r="C158" t="s">
        <v>6421</v>
      </c>
      <c r="D158" t="s">
        <v>6422</v>
      </c>
      <c r="E158" t="s">
        <v>6423</v>
      </c>
      <c r="F158" t="s">
        <v>4643</v>
      </c>
      <c r="G158" t="s">
        <v>4636</v>
      </c>
      <c r="H158" t="s">
        <v>4637</v>
      </c>
      <c r="I158" t="s">
        <v>6424</v>
      </c>
      <c r="J158" t="s">
        <v>4644</v>
      </c>
      <c r="K158" t="s">
        <v>4645</v>
      </c>
      <c r="L158" t="s">
        <v>4646</v>
      </c>
      <c r="M158" t="s">
        <v>4647</v>
      </c>
      <c r="N158" t="s">
        <v>6425</v>
      </c>
      <c r="O158" t="s">
        <v>6426</v>
      </c>
      <c r="P158" t="s">
        <v>6427</v>
      </c>
      <c r="Q158" t="s">
        <v>6428</v>
      </c>
      <c r="R158" t="s">
        <v>4639</v>
      </c>
      <c r="S158" t="s">
        <v>4650</v>
      </c>
    </row>
    <row r="159" spans="1:19">
      <c r="A159" t="s">
        <v>6494</v>
      </c>
      <c r="B159" t="s">
        <v>6549</v>
      </c>
      <c r="C159" t="s">
        <v>6550</v>
      </c>
      <c r="D159" t="s">
        <v>6551</v>
      </c>
      <c r="E159" t="s">
        <v>6552</v>
      </c>
    </row>
    <row r="160" spans="1:19">
      <c r="A160" t="s">
        <v>6565</v>
      </c>
      <c r="B160" t="s">
        <v>6604</v>
      </c>
      <c r="C160" t="s">
        <v>6605</v>
      </c>
      <c r="D160" t="s">
        <v>6606</v>
      </c>
      <c r="E160" t="s">
        <v>6607</v>
      </c>
      <c r="F160" t="s">
        <v>6608</v>
      </c>
      <c r="G160" t="s">
        <v>6609</v>
      </c>
      <c r="H160" t="s">
        <v>6610</v>
      </c>
    </row>
    <row r="161" spans="1:31">
      <c r="A161" t="s">
        <v>6620</v>
      </c>
      <c r="B161" t="s">
        <v>4708</v>
      </c>
      <c r="C161" t="s">
        <v>4709</v>
      </c>
      <c r="D161" t="s">
        <v>4450</v>
      </c>
      <c r="E161" t="s">
        <v>6646</v>
      </c>
      <c r="F161" t="s">
        <v>6647</v>
      </c>
      <c r="G161" t="s">
        <v>6648</v>
      </c>
      <c r="H161" t="s">
        <v>6649</v>
      </c>
      <c r="I161" t="s">
        <v>6650</v>
      </c>
    </row>
    <row r="162" spans="1:31">
      <c r="A162" t="s">
        <v>6621</v>
      </c>
      <c r="B162" t="s">
        <v>4448</v>
      </c>
      <c r="C162" t="s">
        <v>6651</v>
      </c>
      <c r="D162" t="s">
        <v>6652</v>
      </c>
      <c r="E162" t="s">
        <v>6653</v>
      </c>
      <c r="F162" t="s">
        <v>6654</v>
      </c>
      <c r="G162" t="s">
        <v>6655</v>
      </c>
      <c r="H162" t="s">
        <v>6610</v>
      </c>
    </row>
    <row r="163" spans="1:31">
      <c r="A163" t="s">
        <v>6623</v>
      </c>
      <c r="B163" t="s">
        <v>4448</v>
      </c>
      <c r="C163" t="s">
        <v>6651</v>
      </c>
      <c r="D163" t="s">
        <v>6652</v>
      </c>
      <c r="E163" t="s">
        <v>6656</v>
      </c>
      <c r="F163" t="s">
        <v>6610</v>
      </c>
    </row>
    <row r="164" spans="1:31">
      <c r="A164" t="s">
        <v>6627</v>
      </c>
      <c r="B164" t="s">
        <v>4448</v>
      </c>
      <c r="C164" t="s">
        <v>4869</v>
      </c>
      <c r="D164" t="s">
        <v>6657</v>
      </c>
      <c r="E164" t="s">
        <v>4871</v>
      </c>
      <c r="F164" t="s">
        <v>6650</v>
      </c>
    </row>
    <row r="165" spans="1:31">
      <c r="A165" t="s">
        <v>6629</v>
      </c>
      <c r="B165" t="s">
        <v>4448</v>
      </c>
      <c r="C165" t="s">
        <v>4869</v>
      </c>
      <c r="D165" t="s">
        <v>6657</v>
      </c>
      <c r="E165" t="s">
        <v>4871</v>
      </c>
      <c r="F165" t="s">
        <v>6650</v>
      </c>
    </row>
    <row r="166" spans="1:31">
      <c r="A166" t="s">
        <v>6760</v>
      </c>
      <c r="B166" t="s">
        <v>6784</v>
      </c>
      <c r="C166" t="s">
        <v>6785</v>
      </c>
      <c r="D166" t="s">
        <v>6786</v>
      </c>
      <c r="E166" t="s">
        <v>6787</v>
      </c>
      <c r="F166" t="s">
        <v>6788</v>
      </c>
      <c r="G166" t="s">
        <v>6789</v>
      </c>
      <c r="H166" t="s">
        <v>6790</v>
      </c>
      <c r="I166" t="s">
        <v>6791</v>
      </c>
      <c r="J166" t="s">
        <v>6792</v>
      </c>
      <c r="K166" t="s">
        <v>6793</v>
      </c>
      <c r="L166" t="s">
        <v>6794</v>
      </c>
      <c r="M166" t="s">
        <v>6795</v>
      </c>
      <c r="N166" t="s">
        <v>6796</v>
      </c>
      <c r="O166" t="s">
        <v>6797</v>
      </c>
      <c r="P166" t="s">
        <v>6798</v>
      </c>
      <c r="Q166" t="s">
        <v>6799</v>
      </c>
      <c r="R166" t="s">
        <v>6800</v>
      </c>
      <c r="S166" t="s">
        <v>6801</v>
      </c>
      <c r="T166" t="s">
        <v>6802</v>
      </c>
      <c r="U166" t="s">
        <v>6803</v>
      </c>
      <c r="V166" t="s">
        <v>6804</v>
      </c>
      <c r="W166" t="s">
        <v>6805</v>
      </c>
      <c r="X166" t="s">
        <v>6806</v>
      </c>
      <c r="Y166" t="s">
        <v>6807</v>
      </c>
      <c r="Z166" t="s">
        <v>6808</v>
      </c>
      <c r="AA166" t="s">
        <v>6809</v>
      </c>
      <c r="AB166" t="s">
        <v>6810</v>
      </c>
      <c r="AC166" t="s">
        <v>6811</v>
      </c>
      <c r="AD166" t="s">
        <v>6812</v>
      </c>
      <c r="AE166" t="s">
        <v>6813</v>
      </c>
    </row>
    <row r="167" spans="1:31">
      <c r="A167" t="s">
        <v>6872</v>
      </c>
      <c r="B167" t="s">
        <v>6894</v>
      </c>
      <c r="C167" t="s">
        <v>6895</v>
      </c>
    </row>
    <row r="168" spans="1:31">
      <c r="A168" t="s">
        <v>6906</v>
      </c>
      <c r="B168" t="s">
        <v>6927</v>
      </c>
      <c r="C168" t="s">
        <v>6928</v>
      </c>
      <c r="D168" t="s">
        <v>4597</v>
      </c>
      <c r="E168" t="s">
        <v>4598</v>
      </c>
      <c r="F168" t="s">
        <v>4599</v>
      </c>
      <c r="G168" t="s">
        <v>4600</v>
      </c>
      <c r="H168" t="s">
        <v>4601</v>
      </c>
      <c r="I168" t="s">
        <v>4602</v>
      </c>
    </row>
    <row r="169" spans="1:31">
      <c r="A169" t="s">
        <v>6910</v>
      </c>
      <c r="B169" t="s">
        <v>4545</v>
      </c>
      <c r="C169" t="s">
        <v>4546</v>
      </c>
      <c r="D169" t="s">
        <v>4547</v>
      </c>
      <c r="E169" t="s">
        <v>6929</v>
      </c>
      <c r="F169" t="s">
        <v>10689</v>
      </c>
    </row>
    <row r="170" spans="1:31">
      <c r="A170" t="s">
        <v>7041</v>
      </c>
      <c r="B170" t="s">
        <v>7155</v>
      </c>
      <c r="C170" t="s">
        <v>7156</v>
      </c>
      <c r="D170" t="s">
        <v>7157</v>
      </c>
      <c r="E170" t="s">
        <v>7158</v>
      </c>
      <c r="F170" t="s">
        <v>7159</v>
      </c>
    </row>
    <row r="171" spans="1:31">
      <c r="A171" t="s">
        <v>7287</v>
      </c>
      <c r="B171" t="s">
        <v>4612</v>
      </c>
      <c r="C171" t="s">
        <v>7371</v>
      </c>
      <c r="D171" t="s">
        <v>7372</v>
      </c>
      <c r="E171" t="s">
        <v>5277</v>
      </c>
      <c r="F171" t="s">
        <v>7373</v>
      </c>
    </row>
    <row r="172" spans="1:31">
      <c r="A172" t="s">
        <v>7289</v>
      </c>
      <c r="B172" t="s">
        <v>4612</v>
      </c>
      <c r="C172" t="s">
        <v>7374</v>
      </c>
      <c r="D172" t="s">
        <v>7375</v>
      </c>
      <c r="E172" t="s">
        <v>7376</v>
      </c>
      <c r="F172" t="s">
        <v>7377</v>
      </c>
    </row>
    <row r="173" spans="1:31">
      <c r="A173" t="s">
        <v>7384</v>
      </c>
      <c r="B173" t="s">
        <v>7155</v>
      </c>
      <c r="C173" t="s">
        <v>7399</v>
      </c>
      <c r="D173" t="s">
        <v>7400</v>
      </c>
      <c r="E173" t="s">
        <v>7401</v>
      </c>
    </row>
    <row r="174" spans="1:31">
      <c r="A174" t="s">
        <v>7386</v>
      </c>
      <c r="B174" t="s">
        <v>7155</v>
      </c>
      <c r="C174" t="s">
        <v>7399</v>
      </c>
      <c r="D174" t="s">
        <v>7402</v>
      </c>
      <c r="E174" t="s">
        <v>7403</v>
      </c>
    </row>
    <row r="175" spans="1:31">
      <c r="A175" t="s">
        <v>7412</v>
      </c>
      <c r="B175" t="s">
        <v>4595</v>
      </c>
      <c r="C175" t="s">
        <v>7436</v>
      </c>
      <c r="D175" t="s">
        <v>4611</v>
      </c>
      <c r="E175" t="s">
        <v>7437</v>
      </c>
    </row>
    <row r="176" spans="1:31">
      <c r="A176" t="s">
        <v>7417</v>
      </c>
      <c r="B176" t="s">
        <v>7438</v>
      </c>
      <c r="C176" t="s">
        <v>4604</v>
      </c>
      <c r="D176" t="s">
        <v>4605</v>
      </c>
    </row>
    <row r="177" spans="1:14">
      <c r="A177" t="s">
        <v>7495</v>
      </c>
      <c r="B177" t="s">
        <v>9168</v>
      </c>
      <c r="C177" t="s">
        <v>7569</v>
      </c>
      <c r="D177" t="s">
        <v>7570</v>
      </c>
      <c r="E177" t="s">
        <v>7571</v>
      </c>
      <c r="F177" t="s">
        <v>7572</v>
      </c>
      <c r="G177" t="s">
        <v>7573</v>
      </c>
      <c r="H177" t="s">
        <v>7574</v>
      </c>
    </row>
    <row r="178" spans="1:14">
      <c r="A178" t="s">
        <v>7497</v>
      </c>
      <c r="B178" t="s">
        <v>7575</v>
      </c>
      <c r="C178" t="s">
        <v>7576</v>
      </c>
      <c r="D178" t="s">
        <v>7577</v>
      </c>
      <c r="E178" t="s">
        <v>7578</v>
      </c>
    </row>
    <row r="179" spans="1:14">
      <c r="A179" t="s">
        <v>8136</v>
      </c>
      <c r="B179" t="s">
        <v>8143</v>
      </c>
      <c r="C179" t="s">
        <v>8144</v>
      </c>
    </row>
    <row r="180" spans="1:14">
      <c r="A180" t="s">
        <v>8267</v>
      </c>
      <c r="B180" t="s">
        <v>8282</v>
      </c>
      <c r="C180" t="s">
        <v>8283</v>
      </c>
    </row>
    <row r="181" spans="1:14">
      <c r="A181" t="s">
        <v>8344</v>
      </c>
      <c r="B181" t="s">
        <v>9123</v>
      </c>
      <c r="C181" t="s">
        <v>8405</v>
      </c>
      <c r="D181" t="s">
        <v>8406</v>
      </c>
      <c r="E181" t="s">
        <v>9179</v>
      </c>
    </row>
    <row r="182" spans="1:14">
      <c r="A182" t="s">
        <v>8638</v>
      </c>
      <c r="B182" t="s">
        <v>8815</v>
      </c>
      <c r="C182" t="s">
        <v>8816</v>
      </c>
      <c r="D182" t="s">
        <v>8817</v>
      </c>
      <c r="E182" t="s">
        <v>8818</v>
      </c>
      <c r="F182" t="s">
        <v>8819</v>
      </c>
    </row>
    <row r="183" spans="1:14">
      <c r="A183" t="s">
        <v>8644</v>
      </c>
      <c r="B183" t="s">
        <v>8820</v>
      </c>
      <c r="C183" t="s">
        <v>8821</v>
      </c>
      <c r="D183" t="s">
        <v>8822</v>
      </c>
      <c r="E183" t="s">
        <v>8823</v>
      </c>
    </row>
    <row r="184" spans="1:14">
      <c r="A184" t="s">
        <v>8646</v>
      </c>
      <c r="B184" t="s">
        <v>8820</v>
      </c>
      <c r="C184" t="s">
        <v>8824</v>
      </c>
      <c r="D184" t="s">
        <v>8825</v>
      </c>
    </row>
    <row r="185" spans="1:14">
      <c r="A185" t="s">
        <v>8678</v>
      </c>
      <c r="B185" t="s">
        <v>7575</v>
      </c>
      <c r="C185" t="s">
        <v>8826</v>
      </c>
      <c r="D185" t="s">
        <v>8827</v>
      </c>
      <c r="E185" t="s">
        <v>8828</v>
      </c>
      <c r="F185" t="s">
        <v>8829</v>
      </c>
      <c r="G185" t="s">
        <v>8830</v>
      </c>
      <c r="H185" t="s">
        <v>8831</v>
      </c>
      <c r="I185" t="s">
        <v>8832</v>
      </c>
      <c r="J185" t="s">
        <v>8833</v>
      </c>
      <c r="K185" t="s">
        <v>8834</v>
      </c>
      <c r="L185" t="s">
        <v>8835</v>
      </c>
      <c r="M185" t="s">
        <v>8836</v>
      </c>
      <c r="N185" t="s">
        <v>8837</v>
      </c>
    </row>
    <row r="186" spans="1:14">
      <c r="A186" t="s">
        <v>8702</v>
      </c>
      <c r="B186" t="s">
        <v>8838</v>
      </c>
      <c r="C186" t="s">
        <v>8839</v>
      </c>
      <c r="D186" t="s">
        <v>8840</v>
      </c>
      <c r="E186" t="s">
        <v>8841</v>
      </c>
      <c r="F186" t="s">
        <v>8842</v>
      </c>
    </row>
    <row r="187" spans="1:14">
      <c r="A187" t="s">
        <v>8932</v>
      </c>
      <c r="B187" t="s">
        <v>8934</v>
      </c>
      <c r="C187" t="s">
        <v>4565</v>
      </c>
      <c r="D187" t="s">
        <v>4566</v>
      </c>
    </row>
    <row r="188" spans="1:14">
      <c r="A188" t="s">
        <v>8919</v>
      </c>
      <c r="B188" t="s">
        <v>4448</v>
      </c>
      <c r="C188" t="s">
        <v>4641</v>
      </c>
      <c r="D188" t="s">
        <v>8935</v>
      </c>
    </row>
    <row r="189" spans="1:14">
      <c r="A189" t="s">
        <v>8964</v>
      </c>
      <c r="B189" t="s">
        <v>9305</v>
      </c>
      <c r="C189" t="s">
        <v>9306</v>
      </c>
    </row>
    <row r="190" spans="1:14">
      <c r="A190" t="s">
        <v>8981</v>
      </c>
      <c r="B190" t="s">
        <v>8982</v>
      </c>
      <c r="C190" t="s">
        <v>8984</v>
      </c>
      <c r="D190" t="s">
        <v>8985</v>
      </c>
      <c r="E190" t="s">
        <v>8983</v>
      </c>
    </row>
    <row r="191" spans="1:14">
      <c r="A191" t="s">
        <v>9009</v>
      </c>
      <c r="B191" t="s">
        <v>9028</v>
      </c>
      <c r="C191" t="s">
        <v>9029</v>
      </c>
    </row>
    <row r="192" spans="1:14">
      <c r="A192" t="s">
        <v>9011</v>
      </c>
      <c r="B192" t="s">
        <v>9030</v>
      </c>
      <c r="C192" t="s">
        <v>9031</v>
      </c>
    </row>
    <row r="193" spans="1:24">
      <c r="A193" t="s">
        <v>9013</v>
      </c>
      <c r="B193" t="s">
        <v>4570</v>
      </c>
      <c r="C193" t="s">
        <v>9032</v>
      </c>
    </row>
    <row r="194" spans="1:24">
      <c r="A194" t="s">
        <v>9021</v>
      </c>
      <c r="B194" t="s">
        <v>4452</v>
      </c>
      <c r="C194" t="s">
        <v>9033</v>
      </c>
      <c r="D194" t="s">
        <v>9034</v>
      </c>
    </row>
    <row r="195" spans="1:24">
      <c r="A195" t="s">
        <v>9023</v>
      </c>
      <c r="B195" t="s">
        <v>4448</v>
      </c>
      <c r="C195" t="s">
        <v>4641</v>
      </c>
      <c r="D195" t="s">
        <v>9035</v>
      </c>
      <c r="E195" t="s">
        <v>9482</v>
      </c>
      <c r="F195" t="s">
        <v>9483</v>
      </c>
    </row>
    <row r="196" spans="1:24">
      <c r="A196" t="s">
        <v>9058</v>
      </c>
      <c r="B196" t="s">
        <v>9059</v>
      </c>
      <c r="C196" t="s">
        <v>9060</v>
      </c>
      <c r="D196" t="s">
        <v>9061</v>
      </c>
      <c r="E196" t="s">
        <v>9062</v>
      </c>
      <c r="F196" t="s">
        <v>10565</v>
      </c>
      <c r="G196" t="s">
        <v>10680</v>
      </c>
    </row>
    <row r="197" spans="1:24">
      <c r="A197" t="s">
        <v>9070</v>
      </c>
      <c r="B197" t="s">
        <v>4448</v>
      </c>
      <c r="C197" t="s">
        <v>4641</v>
      </c>
      <c r="D197" t="s">
        <v>9071</v>
      </c>
    </row>
    <row r="198" spans="1:24">
      <c r="A198" t="s">
        <v>9074</v>
      </c>
      <c r="B198" t="s">
        <v>4448</v>
      </c>
      <c r="C198" t="s">
        <v>4641</v>
      </c>
      <c r="D198" t="s">
        <v>8935</v>
      </c>
    </row>
    <row r="199" spans="1:24">
      <c r="A199" t="s">
        <v>9195</v>
      </c>
      <c r="B199" t="s">
        <v>4479</v>
      </c>
      <c r="C199" t="s">
        <v>9205</v>
      </c>
      <c r="D199" t="s">
        <v>9196</v>
      </c>
    </row>
    <row r="200" spans="1:24">
      <c r="A200" t="s">
        <v>8354</v>
      </c>
      <c r="B200" t="s">
        <v>4595</v>
      </c>
      <c r="C200" t="s">
        <v>9138</v>
      </c>
      <c r="D200" t="s">
        <v>9139</v>
      </c>
      <c r="E200" t="s">
        <v>9140</v>
      </c>
      <c r="F200" t="s">
        <v>9142</v>
      </c>
      <c r="G200" t="s">
        <v>9143</v>
      </c>
      <c r="H200" t="s">
        <v>9141</v>
      </c>
      <c r="I200" t="s">
        <v>9144</v>
      </c>
      <c r="J200" t="s">
        <v>9145</v>
      </c>
      <c r="K200" t="s">
        <v>9146</v>
      </c>
      <c r="L200" t="s">
        <v>9147</v>
      </c>
      <c r="M200" t="s">
        <v>9148</v>
      </c>
      <c r="N200" t="s">
        <v>9149</v>
      </c>
      <c r="O200" t="s">
        <v>9150</v>
      </c>
    </row>
    <row r="201" spans="1:24">
      <c r="A201" t="s">
        <v>9154</v>
      </c>
      <c r="B201" t="s">
        <v>9168</v>
      </c>
      <c r="C201" t="s">
        <v>7569</v>
      </c>
      <c r="D201" t="s">
        <v>7570</v>
      </c>
      <c r="E201" t="s">
        <v>7571</v>
      </c>
      <c r="F201" t="s">
        <v>7572</v>
      </c>
      <c r="G201" t="s">
        <v>9169</v>
      </c>
      <c r="H201" t="s">
        <v>9170</v>
      </c>
      <c r="I201" t="s">
        <v>9171</v>
      </c>
      <c r="J201" t="s">
        <v>9172</v>
      </c>
      <c r="K201" t="s">
        <v>9173</v>
      </c>
      <c r="L201" t="s">
        <v>9174</v>
      </c>
      <c r="M201" t="s">
        <v>9175</v>
      </c>
      <c r="N201" t="s">
        <v>9463</v>
      </c>
      <c r="O201" t="s">
        <v>9176</v>
      </c>
      <c r="P201" t="s">
        <v>9177</v>
      </c>
      <c r="Q201" t="s">
        <v>9178</v>
      </c>
    </row>
    <row r="202" spans="1:24">
      <c r="A202" t="s">
        <v>9163</v>
      </c>
      <c r="B202" t="s">
        <v>4448</v>
      </c>
      <c r="C202" t="s">
        <v>4641</v>
      </c>
      <c r="D202" t="s">
        <v>10857</v>
      </c>
      <c r="E202" t="s">
        <v>10858</v>
      </c>
      <c r="F202" t="s">
        <v>10859</v>
      </c>
      <c r="G202" t="s">
        <v>10860</v>
      </c>
      <c r="H202" t="s">
        <v>10861</v>
      </c>
    </row>
    <row r="203" spans="1:24">
      <c r="A203" t="s">
        <v>9214</v>
      </c>
      <c r="B203" t="s">
        <v>9215</v>
      </c>
    </row>
    <row r="204" spans="1:24">
      <c r="A204" t="s">
        <v>9216</v>
      </c>
      <c r="B204" t="s">
        <v>9217</v>
      </c>
      <c r="C204" t="s">
        <v>9218</v>
      </c>
      <c r="D204" t="s">
        <v>9219</v>
      </c>
    </row>
    <row r="205" spans="1:24">
      <c r="A205" t="s">
        <v>9257</v>
      </c>
      <c r="B205" t="s">
        <v>4802</v>
      </c>
      <c r="C205" t="s">
        <v>4803</v>
      </c>
      <c r="D205" t="s">
        <v>4804</v>
      </c>
      <c r="E205" t="s">
        <v>4805</v>
      </c>
      <c r="F205" t="s">
        <v>4806</v>
      </c>
      <c r="G205" t="s">
        <v>9266</v>
      </c>
    </row>
    <row r="206" spans="1:24">
      <c r="A206" t="s">
        <v>9290</v>
      </c>
      <c r="B206" t="s">
        <v>9302</v>
      </c>
      <c r="C206" t="s">
        <v>9303</v>
      </c>
      <c r="D206" t="s">
        <v>9304</v>
      </c>
      <c r="E206" t="s">
        <v>9307</v>
      </c>
      <c r="F206" t="s">
        <v>9315</v>
      </c>
      <c r="G206" t="s">
        <v>9316</v>
      </c>
      <c r="H206" t="s">
        <v>9317</v>
      </c>
    </row>
    <row r="207" spans="1:24">
      <c r="A207" t="s">
        <v>9202</v>
      </c>
      <c r="B207" t="s">
        <v>9295</v>
      </c>
      <c r="C207" t="s">
        <v>9292</v>
      </c>
      <c r="D207" t="s">
        <v>9293</v>
      </c>
      <c r="E207" t="s">
        <v>9294</v>
      </c>
      <c r="F207" t="s">
        <v>9311</v>
      </c>
      <c r="G207" t="s">
        <v>9312</v>
      </c>
      <c r="H207" t="s">
        <v>9313</v>
      </c>
      <c r="I207" t="s">
        <v>9314</v>
      </c>
      <c r="J207" t="s">
        <v>9479</v>
      </c>
    </row>
    <row r="208" spans="1:24">
      <c r="A208" t="s">
        <v>1510</v>
      </c>
      <c r="B208" t="s">
        <v>9298</v>
      </c>
      <c r="C208" t="s">
        <v>9299</v>
      </c>
      <c r="D208" t="s">
        <v>9300</v>
      </c>
      <c r="E208" t="s">
        <v>9318</v>
      </c>
      <c r="F208" t="s">
        <v>9319</v>
      </c>
      <c r="G208" t="s">
        <v>9320</v>
      </c>
      <c r="H208" t="s">
        <v>9321</v>
      </c>
      <c r="I208" t="s">
        <v>9322</v>
      </c>
      <c r="J208" t="s">
        <v>9323</v>
      </c>
      <c r="K208" t="s">
        <v>9324</v>
      </c>
      <c r="L208" t="s">
        <v>9325</v>
      </c>
      <c r="M208" t="s">
        <v>9326</v>
      </c>
      <c r="N208" t="s">
        <v>9327</v>
      </c>
      <c r="O208" t="s">
        <v>9328</v>
      </c>
      <c r="P208" t="s">
        <v>9329</v>
      </c>
      <c r="Q208" t="s">
        <v>9330</v>
      </c>
      <c r="R208" t="s">
        <v>9331</v>
      </c>
      <c r="S208" t="s">
        <v>9332</v>
      </c>
      <c r="T208" t="s">
        <v>9333</v>
      </c>
      <c r="U208" t="s">
        <v>9334</v>
      </c>
      <c r="V208" t="s">
        <v>9335</v>
      </c>
      <c r="W208" t="s">
        <v>9336</v>
      </c>
      <c r="X208" t="s">
        <v>9337</v>
      </c>
    </row>
    <row r="209" spans="1:14">
      <c r="A209" t="s">
        <v>9444</v>
      </c>
      <c r="B209" t="s">
        <v>9445</v>
      </c>
      <c r="C209" t="s">
        <v>9446</v>
      </c>
      <c r="D209" t="s">
        <v>9447</v>
      </c>
      <c r="E209" t="s">
        <v>9448</v>
      </c>
      <c r="F209" t="s">
        <v>9449</v>
      </c>
    </row>
    <row r="210" spans="1:14">
      <c r="A210" t="s">
        <v>9469</v>
      </c>
      <c r="B210" t="s">
        <v>9470</v>
      </c>
      <c r="C210" t="s">
        <v>9471</v>
      </c>
      <c r="D210" t="s">
        <v>9472</v>
      </c>
    </row>
    <row r="211" spans="1:14">
      <c r="A211" t="s">
        <v>9515</v>
      </c>
      <c r="B211" t="s">
        <v>9516</v>
      </c>
      <c r="C211" t="s">
        <v>9517</v>
      </c>
      <c r="D211" t="s">
        <v>9518</v>
      </c>
      <c r="E211" t="s">
        <v>9519</v>
      </c>
    </row>
    <row r="212" spans="1:14">
      <c r="A212" t="s">
        <v>9693</v>
      </c>
      <c r="B212" t="s">
        <v>4603</v>
      </c>
      <c r="C212" t="s">
        <v>4604</v>
      </c>
      <c r="D212" t="s">
        <v>4605</v>
      </c>
    </row>
    <row r="213" spans="1:14">
      <c r="A213" t="s">
        <v>9725</v>
      </c>
      <c r="B213" t="s">
        <v>9726</v>
      </c>
      <c r="C213" t="s">
        <v>9727</v>
      </c>
      <c r="D213" t="s">
        <v>9728</v>
      </c>
      <c r="E213" t="s">
        <v>9729</v>
      </c>
      <c r="F213" t="s">
        <v>9730</v>
      </c>
      <c r="G213" t="s">
        <v>9731</v>
      </c>
    </row>
    <row r="214" spans="1:14">
      <c r="A214" t="s">
        <v>9680</v>
      </c>
      <c r="B214" t="s">
        <v>4595</v>
      </c>
      <c r="C214" t="s">
        <v>9761</v>
      </c>
      <c r="D214" t="s">
        <v>4611</v>
      </c>
    </row>
    <row r="215" spans="1:14">
      <c r="A215" t="s">
        <v>10054</v>
      </c>
      <c r="B215" t="s">
        <v>10055</v>
      </c>
      <c r="C215" t="s">
        <v>10056</v>
      </c>
      <c r="D215" t="s">
        <v>10057</v>
      </c>
      <c r="E215" t="s">
        <v>10058</v>
      </c>
      <c r="F215" t="s">
        <v>8842</v>
      </c>
      <c r="G215" t="s">
        <v>10059</v>
      </c>
    </row>
    <row r="216" spans="1:14">
      <c r="A216" t="s">
        <v>10060</v>
      </c>
      <c r="B216" t="s">
        <v>10061</v>
      </c>
      <c r="C216" t="s">
        <v>10062</v>
      </c>
      <c r="D216" t="s">
        <v>10063</v>
      </c>
      <c r="E216" t="s">
        <v>10064</v>
      </c>
      <c r="F216" t="s">
        <v>10065</v>
      </c>
      <c r="G216" t="s">
        <v>10066</v>
      </c>
      <c r="H216" t="s">
        <v>10067</v>
      </c>
    </row>
    <row r="217" spans="1:14">
      <c r="A217" t="s">
        <v>10068</v>
      </c>
      <c r="B217" t="s">
        <v>8815</v>
      </c>
      <c r="C217" t="s">
        <v>8816</v>
      </c>
      <c r="D217" t="s">
        <v>10069</v>
      </c>
      <c r="E217" t="s">
        <v>8818</v>
      </c>
      <c r="F217" t="s">
        <v>10070</v>
      </c>
    </row>
    <row r="218" spans="1:14">
      <c r="A218" t="s">
        <v>10104</v>
      </c>
      <c r="B218" t="s">
        <v>4651</v>
      </c>
      <c r="C218" t="s">
        <v>10187</v>
      </c>
      <c r="D218" t="s">
        <v>10188</v>
      </c>
      <c r="E218" t="s">
        <v>10189</v>
      </c>
      <c r="F218" t="s">
        <v>10190</v>
      </c>
      <c r="G218" t="s">
        <v>10191</v>
      </c>
      <c r="H218" t="s">
        <v>10192</v>
      </c>
    </row>
    <row r="219" spans="1:14">
      <c r="A219" t="s">
        <v>10293</v>
      </c>
      <c r="B219" t="s">
        <v>7575</v>
      </c>
      <c r="C219" t="s">
        <v>8826</v>
      </c>
      <c r="D219" t="s">
        <v>8827</v>
      </c>
      <c r="E219" t="s">
        <v>8828</v>
      </c>
      <c r="F219" t="s">
        <v>8829</v>
      </c>
      <c r="G219" t="s">
        <v>8830</v>
      </c>
      <c r="H219" t="s">
        <v>8831</v>
      </c>
      <c r="I219" t="s">
        <v>8832</v>
      </c>
      <c r="J219" t="s">
        <v>8833</v>
      </c>
      <c r="K219" t="s">
        <v>8834</v>
      </c>
      <c r="L219" t="s">
        <v>8835</v>
      </c>
      <c r="M219" t="s">
        <v>8836</v>
      </c>
      <c r="N219" t="s">
        <v>8837</v>
      </c>
    </row>
    <row r="220" spans="1:14">
      <c r="A220" t="s">
        <v>10580</v>
      </c>
      <c r="B220" t="s">
        <v>10582</v>
      </c>
      <c r="C220" t="s">
        <v>10583</v>
      </c>
      <c r="D220" t="s">
        <v>10584</v>
      </c>
      <c r="E220" t="s">
        <v>10585</v>
      </c>
      <c r="F220" t="s">
        <v>10586</v>
      </c>
      <c r="G220" t="s">
        <v>10587</v>
      </c>
      <c r="H220" t="s">
        <v>10588</v>
      </c>
    </row>
    <row r="221" spans="1:14">
      <c r="A221" t="s">
        <v>10626</v>
      </c>
      <c r="B221" t="s">
        <v>10627</v>
      </c>
      <c r="C221" t="s">
        <v>10628</v>
      </c>
    </row>
    <row r="222" spans="1:14">
      <c r="A222" t="s">
        <v>10676</v>
      </c>
      <c r="B222" t="s">
        <v>10677</v>
      </c>
      <c r="C222" t="s">
        <v>10678</v>
      </c>
      <c r="D222" t="s">
        <v>10743</v>
      </c>
      <c r="E222" t="s">
        <v>10741</v>
      </c>
      <c r="F222" t="s">
        <v>10742</v>
      </c>
      <c r="G222" t="s">
        <v>10744</v>
      </c>
    </row>
    <row r="223" spans="1:14">
      <c r="A223" t="s">
        <v>8368</v>
      </c>
      <c r="B223" t="s">
        <v>10814</v>
      </c>
      <c r="C223" t="s">
        <v>4604</v>
      </c>
      <c r="D223" t="s">
        <v>4605</v>
      </c>
    </row>
    <row r="224" spans="1:14">
      <c r="A224" t="s">
        <v>10817</v>
      </c>
      <c r="B224" t="s">
        <v>4595</v>
      </c>
      <c r="C224" t="s">
        <v>10818</v>
      </c>
      <c r="D224" t="s">
        <v>10819</v>
      </c>
      <c r="E224" t="s">
        <v>7437</v>
      </c>
    </row>
    <row r="225" spans="1:8">
      <c r="A225" t="s">
        <v>10845</v>
      </c>
      <c r="B225" t="s">
        <v>10846</v>
      </c>
      <c r="C225" t="s">
        <v>5315</v>
      </c>
    </row>
    <row r="226" spans="1:8">
      <c r="A226" t="s">
        <v>10848</v>
      </c>
      <c r="B226" t="s">
        <v>10677</v>
      </c>
      <c r="C226" t="s">
        <v>10850</v>
      </c>
      <c r="D226" t="s">
        <v>10851</v>
      </c>
      <c r="E226" t="s">
        <v>10852</v>
      </c>
      <c r="F226" t="s">
        <v>10853</v>
      </c>
    </row>
    <row r="227" spans="1:8">
      <c r="A227" t="s">
        <v>10864</v>
      </c>
      <c r="B227" t="s">
        <v>10846</v>
      </c>
      <c r="C227" t="s">
        <v>4641</v>
      </c>
      <c r="D227" t="s">
        <v>10865</v>
      </c>
    </row>
    <row r="228" spans="1:8">
      <c r="A228" t="s">
        <v>1123</v>
      </c>
      <c r="B228" t="s">
        <v>10878</v>
      </c>
      <c r="C228" t="s">
        <v>10880</v>
      </c>
      <c r="D228" t="s">
        <v>10881</v>
      </c>
      <c r="E228" t="s">
        <v>10882</v>
      </c>
      <c r="F228" t="s">
        <v>10883</v>
      </c>
      <c r="G228" t="s">
        <v>10879</v>
      </c>
      <c r="H228" t="s">
        <v>10884</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64453-D4DC-4833-894D-D602C2B248F3}">
  <sheetPr codeName="Sheet1"/>
  <dimension ref="A1:F90"/>
  <sheetViews>
    <sheetView topLeftCell="A69" zoomScaleNormal="100" workbookViewId="0">
      <selection activeCell="C75" sqref="C75"/>
    </sheetView>
  </sheetViews>
  <sheetFormatPr defaultRowHeight="15"/>
  <cols>
    <col min="1" max="1" width="14.5703125" customWidth="1"/>
    <col min="2" max="2" width="57.28515625" bestFit="1" customWidth="1"/>
    <col min="3" max="3" width="62.28515625" bestFit="1" customWidth="1"/>
    <col min="4" max="4" width="10.7109375" bestFit="1" customWidth="1"/>
    <col min="5" max="5" width="11" bestFit="1" customWidth="1"/>
    <col min="6" max="6" width="80.42578125" bestFit="1" customWidth="1"/>
  </cols>
  <sheetData>
    <row r="1" spans="1:6">
      <c r="A1" t="s">
        <v>2704</v>
      </c>
      <c r="B1" t="s">
        <v>2836</v>
      </c>
      <c r="C1" t="s">
        <v>5321</v>
      </c>
      <c r="D1" t="s">
        <v>5322</v>
      </c>
      <c r="E1" t="s">
        <v>5323</v>
      </c>
      <c r="F1" t="s">
        <v>5324</v>
      </c>
    </row>
    <row r="2" spans="1:6">
      <c r="A2" t="s">
        <v>5325</v>
      </c>
      <c r="B2" t="s">
        <v>5326</v>
      </c>
      <c r="C2" t="str">
        <f>_xlfn.CONCAT(A2,"_",B2)</f>
        <v>GENERIC_NO_ERRORS</v>
      </c>
      <c r="D2">
        <v>0</v>
      </c>
      <c r="E2" t="str">
        <f>"0x"&amp;DEC2HEX(D2)</f>
        <v>0x0</v>
      </c>
      <c r="F2" t="s">
        <v>5327</v>
      </c>
    </row>
    <row r="3" spans="1:6">
      <c r="A3" t="s">
        <v>5325</v>
      </c>
      <c r="B3" t="s">
        <v>5328</v>
      </c>
      <c r="C3" t="str">
        <f t="shared" ref="C3:C66" si="0">_xlfn.CONCAT(A3,"_",B3)</f>
        <v>GENERIC_COMMUNICATION_ERROR</v>
      </c>
      <c r="D3">
        <v>1</v>
      </c>
      <c r="E3" t="str">
        <f t="shared" ref="E3:E33" si="1">"0x"&amp;DEC2HEX(D3)</f>
        <v>0x1</v>
      </c>
      <c r="F3" t="s">
        <v>5329</v>
      </c>
    </row>
    <row r="4" spans="1:6">
      <c r="A4" t="s">
        <v>5325</v>
      </c>
      <c r="B4" t="s">
        <v>5330</v>
      </c>
      <c r="C4" t="str">
        <f t="shared" si="0"/>
        <v>GENERIC_CI_BUS_COMMUNICATION_ERROR</v>
      </c>
      <c r="D4">
        <v>2</v>
      </c>
      <c r="E4" t="str">
        <f t="shared" si="1"/>
        <v>0x2</v>
      </c>
      <c r="F4" t="s">
        <v>5331</v>
      </c>
    </row>
    <row r="5" spans="1:6">
      <c r="A5" t="s">
        <v>5325</v>
      </c>
      <c r="B5" t="s">
        <v>5332</v>
      </c>
      <c r="C5" t="str">
        <f t="shared" si="0"/>
        <v>GENERIC_RVC_BUS_COMMUNICATION_ERROR</v>
      </c>
      <c r="D5">
        <v>3</v>
      </c>
      <c r="E5" t="str">
        <f t="shared" si="1"/>
        <v>0x3</v>
      </c>
      <c r="F5" t="s">
        <v>5333</v>
      </c>
    </row>
    <row r="6" spans="1:6">
      <c r="A6" t="s">
        <v>5325</v>
      </c>
      <c r="B6" t="s">
        <v>5334</v>
      </c>
      <c r="C6" t="str">
        <f t="shared" si="0"/>
        <v>GENERIC_CI_BUS_SELFTEST_ERROR</v>
      </c>
      <c r="D6">
        <v>4</v>
      </c>
      <c r="E6" t="str">
        <f t="shared" si="1"/>
        <v>0x4</v>
      </c>
      <c r="F6" t="s">
        <v>5335</v>
      </c>
    </row>
    <row r="7" spans="1:6">
      <c r="C7" t="str">
        <f t="shared" si="0"/>
        <v>_</v>
      </c>
    </row>
    <row r="8" spans="1:6">
      <c r="A8" t="s">
        <v>5325</v>
      </c>
      <c r="B8" t="s">
        <v>5336</v>
      </c>
      <c r="C8" t="str">
        <f t="shared" si="0"/>
        <v>GENERIC_DC_UNDER_VOLTAGE_ERROR</v>
      </c>
      <c r="D8">
        <v>16</v>
      </c>
      <c r="E8" t="str">
        <f t="shared" si="1"/>
        <v>0x10</v>
      </c>
      <c r="F8" t="s">
        <v>5337</v>
      </c>
    </row>
    <row r="9" spans="1:6">
      <c r="A9" t="s">
        <v>5325</v>
      </c>
      <c r="B9" t="s">
        <v>5338</v>
      </c>
      <c r="C9" t="str">
        <f t="shared" si="0"/>
        <v>GENERIC_DC_OVER_VOLTAGE_ERROR</v>
      </c>
      <c r="D9">
        <v>17</v>
      </c>
      <c r="E9" t="str">
        <f t="shared" si="1"/>
        <v>0x11</v>
      </c>
      <c r="F9" t="s">
        <v>5339</v>
      </c>
    </row>
    <row r="10" spans="1:6">
      <c r="A10" t="s">
        <v>5325</v>
      </c>
      <c r="B10" t="s">
        <v>5340</v>
      </c>
      <c r="C10" t="str">
        <f t="shared" si="0"/>
        <v>GENERIC_AC_UNDER_VOLTAGE_ERROR</v>
      </c>
      <c r="D10">
        <v>18</v>
      </c>
      <c r="E10" t="str">
        <f t="shared" si="1"/>
        <v>0x12</v>
      </c>
      <c r="F10" t="s">
        <v>5341</v>
      </c>
    </row>
    <row r="11" spans="1:6">
      <c r="A11" t="s">
        <v>5325</v>
      </c>
      <c r="B11" t="s">
        <v>5342</v>
      </c>
      <c r="C11" t="str">
        <f t="shared" si="0"/>
        <v>GENERIC_AC_OVER_VOLTAGE_ERROR</v>
      </c>
      <c r="D11">
        <v>19</v>
      </c>
      <c r="E11" t="str">
        <f t="shared" si="1"/>
        <v>0x13</v>
      </c>
      <c r="F11" t="s">
        <v>5343</v>
      </c>
    </row>
    <row r="12" spans="1:6">
      <c r="A12" t="s">
        <v>5325</v>
      </c>
      <c r="B12" t="s">
        <v>5344</v>
      </c>
      <c r="C12" t="str">
        <f t="shared" si="0"/>
        <v>GENERIC_AC_OVER_CURRENT_ERROR</v>
      </c>
      <c r="D12">
        <v>20</v>
      </c>
      <c r="E12" t="str">
        <f t="shared" si="1"/>
        <v>0x14</v>
      </c>
      <c r="F12" t="s">
        <v>5345</v>
      </c>
    </row>
    <row r="13" spans="1:6">
      <c r="A13" t="s">
        <v>5325</v>
      </c>
      <c r="B13" t="s">
        <v>5346</v>
      </c>
      <c r="C13" t="str">
        <f t="shared" si="0"/>
        <v>GENERIC_NTC_OPEN_CIRCUIT_ERROR</v>
      </c>
      <c r="D13">
        <v>21</v>
      </c>
      <c r="E13" t="str">
        <f t="shared" si="1"/>
        <v>0x15</v>
      </c>
      <c r="F13" t="s">
        <v>5347</v>
      </c>
    </row>
    <row r="14" spans="1:6">
      <c r="A14" t="s">
        <v>5325</v>
      </c>
      <c r="B14" t="s">
        <v>5348</v>
      </c>
      <c r="C14" t="str">
        <f t="shared" si="0"/>
        <v>GENERIC_NTC_SHORT_CIRCUIT_ERROR</v>
      </c>
      <c r="D14">
        <v>22</v>
      </c>
      <c r="E14" t="str">
        <f t="shared" si="1"/>
        <v>0x16</v>
      </c>
      <c r="F14" t="s">
        <v>5349</v>
      </c>
    </row>
    <row r="15" spans="1:6">
      <c r="A15" t="s">
        <v>5325</v>
      </c>
      <c r="B15" t="s">
        <v>5350</v>
      </c>
      <c r="C15" t="str">
        <f t="shared" si="0"/>
        <v>GENERIC_DOOR_OPENED_ERROR</v>
      </c>
      <c r="D15">
        <v>23</v>
      </c>
      <c r="E15" t="str">
        <f t="shared" si="1"/>
        <v>0x17</v>
      </c>
      <c r="F15" t="s">
        <v>5351</v>
      </c>
    </row>
    <row r="16" spans="1:6">
      <c r="A16" t="s">
        <v>5325</v>
      </c>
      <c r="B16" t="s">
        <v>5352</v>
      </c>
      <c r="C16" t="str">
        <f t="shared" si="0"/>
        <v>GENERIC_CURRENT_SENSOR_ERROR</v>
      </c>
      <c r="D16">
        <v>24</v>
      </c>
      <c r="E16" t="str">
        <f t="shared" si="1"/>
        <v>0x18</v>
      </c>
      <c r="F16" t="s">
        <v>5353</v>
      </c>
    </row>
    <row r="17" spans="1:6">
      <c r="A17" t="s">
        <v>5325</v>
      </c>
      <c r="B17" t="s">
        <v>5354</v>
      </c>
      <c r="C17" t="str">
        <f t="shared" si="0"/>
        <v>GENERIC_EEPROM_ERROR</v>
      </c>
      <c r="D17">
        <v>25</v>
      </c>
      <c r="E17" t="str">
        <f t="shared" si="1"/>
        <v>0x19</v>
      </c>
      <c r="F17" t="s">
        <v>5355</v>
      </c>
    </row>
    <row r="18" spans="1:6">
      <c r="A18" t="s">
        <v>5325</v>
      </c>
      <c r="B18" t="s">
        <v>8868</v>
      </c>
      <c r="C18" t="str">
        <f t="shared" si="0"/>
        <v>GENERIC_SOLENOID_VALVE_ERROR</v>
      </c>
      <c r="D18">
        <v>26</v>
      </c>
      <c r="E18" t="str">
        <f t="shared" si="1"/>
        <v>0x1A</v>
      </c>
      <c r="F18" t="s">
        <v>8869</v>
      </c>
    </row>
    <row r="19" spans="1:6">
      <c r="A19" t="s">
        <v>5325</v>
      </c>
      <c r="B19" t="s">
        <v>5386</v>
      </c>
      <c r="C19" t="str">
        <f t="shared" si="0"/>
        <v>GENERIC_TEMPERATURE_OUT_OF_RANGE_ERROR</v>
      </c>
      <c r="D19">
        <v>27</v>
      </c>
      <c r="E19" t="str">
        <f>"0x"&amp;DEC2HEX(D19)</f>
        <v>0x1B</v>
      </c>
      <c r="F19" t="s">
        <v>8870</v>
      </c>
    </row>
    <row r="20" spans="1:6">
      <c r="A20" t="s">
        <v>5325</v>
      </c>
      <c r="B20" t="s">
        <v>9207</v>
      </c>
      <c r="C20" t="str">
        <f t="shared" si="0"/>
        <v>GENERIC_POWER_FAILURE</v>
      </c>
      <c r="D20">
        <v>28</v>
      </c>
      <c r="E20" t="str">
        <f>"0x"&amp;DEC2HEX(D20)</f>
        <v>0x1C</v>
      </c>
      <c r="F20" t="s">
        <v>9208</v>
      </c>
    </row>
    <row r="21" spans="1:6">
      <c r="C21" t="str">
        <f t="shared" si="0"/>
        <v>_</v>
      </c>
    </row>
    <row r="22" spans="1:6">
      <c r="A22" t="s">
        <v>5356</v>
      </c>
      <c r="B22" t="s">
        <v>5357</v>
      </c>
      <c r="C22" t="str">
        <f t="shared" si="0"/>
        <v>AIRC_ROOM_TEMP_SENSOR_ERROR</v>
      </c>
      <c r="D22">
        <v>256</v>
      </c>
      <c r="E22" t="str">
        <f t="shared" si="1"/>
        <v>0x100</v>
      </c>
      <c r="F22" t="s">
        <v>5358</v>
      </c>
    </row>
    <row r="23" spans="1:6">
      <c r="A23" t="s">
        <v>5356</v>
      </c>
      <c r="B23" t="s">
        <v>5359</v>
      </c>
      <c r="C23" t="str">
        <f t="shared" si="0"/>
        <v>AIRC_OUTDOOR_TEMP_SENSOR_ERROR</v>
      </c>
      <c r="D23">
        <v>257</v>
      </c>
      <c r="E23" t="str">
        <f t="shared" si="1"/>
        <v>0x101</v>
      </c>
      <c r="F23" t="s">
        <v>5360</v>
      </c>
    </row>
    <row r="24" spans="1:6">
      <c r="A24" t="s">
        <v>5356</v>
      </c>
      <c r="B24" t="s">
        <v>5361</v>
      </c>
      <c r="C24" t="str">
        <f t="shared" si="0"/>
        <v>AIRC_EVAPORATOR_TEMP_SENSOR_ERROR</v>
      </c>
      <c r="D24">
        <v>258</v>
      </c>
      <c r="E24" t="str">
        <f t="shared" si="1"/>
        <v>0x102</v>
      </c>
      <c r="F24" t="s">
        <v>5362</v>
      </c>
    </row>
    <row r="25" spans="1:6">
      <c r="A25" t="s">
        <v>5356</v>
      </c>
      <c r="B25" t="s">
        <v>5363</v>
      </c>
      <c r="C25" t="str">
        <f t="shared" si="0"/>
        <v>AIRC_CONDENSOR_TEMP_SENSOR_ERROR</v>
      </c>
      <c r="D25">
        <v>259</v>
      </c>
      <c r="E25" t="str">
        <f t="shared" si="1"/>
        <v>0x103</v>
      </c>
      <c r="F25" t="s">
        <v>5364</v>
      </c>
    </row>
    <row r="26" spans="1:6">
      <c r="A26" t="s">
        <v>5356</v>
      </c>
      <c r="B26" t="s">
        <v>5365</v>
      </c>
      <c r="C26" t="str">
        <f t="shared" si="0"/>
        <v>AIRC_COMPRESSOR_DISCHARGE_TEMP_SENSOR_ERROR</v>
      </c>
      <c r="D26">
        <v>260</v>
      </c>
      <c r="E26" t="str">
        <f t="shared" si="1"/>
        <v>0x104</v>
      </c>
      <c r="F26" t="s">
        <v>5366</v>
      </c>
    </row>
    <row r="27" spans="1:6">
      <c r="A27" t="s">
        <v>5356</v>
      </c>
      <c r="B27" t="s">
        <v>5367</v>
      </c>
      <c r="C27" t="str">
        <f t="shared" si="0"/>
        <v>AIRC_COMPRESSOR_DRV_IPM_ERROR</v>
      </c>
      <c r="D27">
        <v>261</v>
      </c>
      <c r="E27" t="str">
        <f t="shared" si="1"/>
        <v>0x105</v>
      </c>
      <c r="F27" t="s">
        <v>5368</v>
      </c>
    </row>
    <row r="28" spans="1:6">
      <c r="A28" t="s">
        <v>5356</v>
      </c>
      <c r="B28" t="s">
        <v>5369</v>
      </c>
      <c r="C28" t="str">
        <f t="shared" si="0"/>
        <v>AIRC_COMPRESSOR_DISCHARGE_TEMP_SENSOR_PROTECTION_ERROR</v>
      </c>
      <c r="D28">
        <v>262</v>
      </c>
      <c r="E28" t="str">
        <f t="shared" si="1"/>
        <v>0x106</v>
      </c>
      <c r="F28" t="s">
        <v>5370</v>
      </c>
    </row>
    <row r="29" spans="1:6">
      <c r="A29" t="s">
        <v>5356</v>
      </c>
      <c r="B29" t="s">
        <v>5371</v>
      </c>
      <c r="C29" t="str">
        <f t="shared" si="0"/>
        <v>AIRC_EVAPORATOR_TEMP_SENSOR_COOL_PROTECTION_ERROR</v>
      </c>
      <c r="D29">
        <v>263</v>
      </c>
      <c r="E29" t="str">
        <f t="shared" si="1"/>
        <v>0x107</v>
      </c>
      <c r="F29" t="s">
        <v>5372</v>
      </c>
    </row>
    <row r="30" spans="1:6">
      <c r="A30" t="s">
        <v>5356</v>
      </c>
      <c r="B30" t="s">
        <v>5373</v>
      </c>
      <c r="C30" t="str">
        <f t="shared" si="0"/>
        <v>AIRC_CONDENSOR_TEMP_SENSOR_PROTECTION_ERROR</v>
      </c>
      <c r="D30">
        <v>264</v>
      </c>
      <c r="E30" t="str">
        <f t="shared" si="1"/>
        <v>0x108</v>
      </c>
      <c r="F30" t="s">
        <v>5374</v>
      </c>
    </row>
    <row r="31" spans="1:6">
      <c r="A31" t="s">
        <v>5356</v>
      </c>
      <c r="B31" t="s">
        <v>5375</v>
      </c>
      <c r="C31" t="str">
        <f t="shared" si="0"/>
        <v>AIRC_EVAPORATOR_TEMP_SENSOR_HEAT_PROTECTION_ERROR</v>
      </c>
      <c r="D31">
        <v>265</v>
      </c>
      <c r="E31" t="str">
        <f t="shared" si="1"/>
        <v>0x109</v>
      </c>
      <c r="F31" t="s">
        <v>5376</v>
      </c>
    </row>
    <row r="32" spans="1:6">
      <c r="A32" t="s">
        <v>5356</v>
      </c>
      <c r="B32" t="s">
        <v>5377</v>
      </c>
      <c r="C32" t="str">
        <f t="shared" si="0"/>
        <v>AIRC_COMPRESSOR_DRV_NO_START_ERROR</v>
      </c>
      <c r="D32">
        <v>266</v>
      </c>
      <c r="E32" t="str">
        <f t="shared" si="1"/>
        <v>0x10A</v>
      </c>
      <c r="F32" s="38" t="s">
        <v>5378</v>
      </c>
    </row>
    <row r="33" spans="1:6">
      <c r="A33" t="s">
        <v>5356</v>
      </c>
      <c r="B33" t="s">
        <v>5379</v>
      </c>
      <c r="C33" t="str">
        <f t="shared" si="0"/>
        <v>AIRC_COMPRESSOR_DRV_IPM_PROTECTION_ERROR</v>
      </c>
      <c r="D33">
        <v>267</v>
      </c>
      <c r="E33" t="str">
        <f t="shared" si="1"/>
        <v>0x10B</v>
      </c>
      <c r="F33" t="s">
        <v>5380</v>
      </c>
    </row>
    <row r="34" spans="1:6">
      <c r="A34" t="s">
        <v>5356</v>
      </c>
      <c r="B34" t="s">
        <v>5787</v>
      </c>
      <c r="C34" t="str">
        <f>_xlfn.CONCAT(A34,"_",B34)</f>
        <v>AIRC_OUTDOOR_TEMP_ERROR</v>
      </c>
      <c r="D34">
        <v>268</v>
      </c>
      <c r="E34" t="str">
        <f>"0x"&amp;DEC2HEX(D34)</f>
        <v>0x10C</v>
      </c>
      <c r="F34" t="s">
        <v>5789</v>
      </c>
    </row>
    <row r="35" spans="1:6">
      <c r="A35" t="s">
        <v>5356</v>
      </c>
      <c r="B35" t="s">
        <v>5788</v>
      </c>
      <c r="C35" t="str">
        <f>_xlfn.CONCAT(A35,"_",B35)</f>
        <v>AIRC_EVAPORATOR_FAN_ERROR</v>
      </c>
      <c r="D35">
        <v>269</v>
      </c>
      <c r="E35" t="str">
        <f>"0x"&amp;DEC2HEX(D35)</f>
        <v>0x10D</v>
      </c>
      <c r="F35" t="s">
        <v>5790</v>
      </c>
    </row>
    <row r="36" spans="1:6">
      <c r="A36" t="s">
        <v>5356</v>
      </c>
      <c r="B36" t="s">
        <v>5792</v>
      </c>
      <c r="C36" t="str">
        <f>_xlfn.CONCAT(A36,"_",B36)</f>
        <v>AIRC_CONDENSER_FAN_ERROR</v>
      </c>
      <c r="D36">
        <v>270</v>
      </c>
      <c r="E36" t="str">
        <f>"0x"&amp;DEC2HEX(D36)</f>
        <v>0x10E</v>
      </c>
      <c r="F36" t="s">
        <v>5791</v>
      </c>
    </row>
    <row r="37" spans="1:6">
      <c r="A37" t="s">
        <v>5356</v>
      </c>
      <c r="B37" t="s">
        <v>9209</v>
      </c>
      <c r="C37" t="str">
        <f>_xlfn.CONCAT(A37,"_",B37)</f>
        <v>AIRC_INVALID_ZONE_CONFIG</v>
      </c>
      <c r="D37">
        <v>271</v>
      </c>
      <c r="E37" t="str">
        <f>"0x"&amp;DEC2HEX(D37)</f>
        <v>0x10F</v>
      </c>
      <c r="F37" t="s">
        <v>9210</v>
      </c>
    </row>
    <row r="38" spans="1:6">
      <c r="A38" t="s">
        <v>5356</v>
      </c>
      <c r="B38" t="s">
        <v>9220</v>
      </c>
      <c r="C38" t="str">
        <f t="shared" si="0"/>
        <v>AIRC_INVALID_ZONE_CONFIG_2</v>
      </c>
      <c r="D38">
        <v>272</v>
      </c>
      <c r="E38" t="str">
        <f>"0x"&amp;DEC2HEX(D38)</f>
        <v>0x110</v>
      </c>
      <c r="F38" t="s">
        <v>9210</v>
      </c>
    </row>
    <row r="39" spans="1:6">
      <c r="C39" t="str">
        <f t="shared" si="0"/>
        <v>_</v>
      </c>
    </row>
    <row r="40" spans="1:6">
      <c r="C40" t="str">
        <f t="shared" si="0"/>
        <v>_</v>
      </c>
    </row>
    <row r="41" spans="1:6">
      <c r="C41" t="str">
        <f t="shared" si="0"/>
        <v>_</v>
      </c>
    </row>
    <row r="42" spans="1:6">
      <c r="A42" t="s">
        <v>8855</v>
      </c>
      <c r="B42" t="s">
        <v>5381</v>
      </c>
      <c r="C42" t="str">
        <f t="shared" si="0"/>
        <v>MC_COMPRESSOR_FAN_OVER_CURRENT_ERROR</v>
      </c>
      <c r="D42">
        <v>512</v>
      </c>
      <c r="E42" t="str">
        <f t="shared" ref="E42:E47" si="2">"0x"&amp;DEC2HEX(D42)</f>
        <v>0x200</v>
      </c>
    </row>
    <row r="43" spans="1:6">
      <c r="A43" t="s">
        <v>8855</v>
      </c>
      <c r="B43" t="s">
        <v>5382</v>
      </c>
      <c r="C43" t="str">
        <f t="shared" si="0"/>
        <v>MC_COMPRESSOR_START_FAIL_ERROR</v>
      </c>
      <c r="D43">
        <v>513</v>
      </c>
      <c r="E43" t="str">
        <f t="shared" si="2"/>
        <v>0x201</v>
      </c>
    </row>
    <row r="44" spans="1:6">
      <c r="A44" t="s">
        <v>8855</v>
      </c>
      <c r="B44" t="s">
        <v>5383</v>
      </c>
      <c r="C44" t="str">
        <f t="shared" si="0"/>
        <v>MC_COMPRESSOR_SPEED_LOW_ERROR</v>
      </c>
      <c r="D44">
        <v>514</v>
      </c>
      <c r="E44" t="str">
        <f t="shared" si="2"/>
        <v>0x202</v>
      </c>
    </row>
    <row r="45" spans="1:6">
      <c r="A45" t="s">
        <v>8855</v>
      </c>
      <c r="B45" t="s">
        <v>5384</v>
      </c>
      <c r="C45" t="str">
        <f t="shared" si="0"/>
        <v>MC_COMPRESSOR_OVER_TEMPERATURE_ERROR</v>
      </c>
      <c r="D45">
        <v>515</v>
      </c>
      <c r="E45" t="str">
        <f t="shared" si="2"/>
        <v>0x203</v>
      </c>
    </row>
    <row r="46" spans="1:6">
      <c r="A46" t="s">
        <v>8855</v>
      </c>
      <c r="B46" t="s">
        <v>5385</v>
      </c>
      <c r="C46" t="str">
        <f t="shared" si="0"/>
        <v>MC_COMPRESSOR_FAN_SPEED_LOW_ERROR</v>
      </c>
      <c r="D46">
        <v>516</v>
      </c>
      <c r="E46" t="str">
        <f t="shared" si="2"/>
        <v>0x204</v>
      </c>
    </row>
    <row r="47" spans="1:6">
      <c r="A47" t="s">
        <v>8855</v>
      </c>
      <c r="B47" t="s">
        <v>5346</v>
      </c>
      <c r="C47" t="str">
        <f t="shared" si="0"/>
        <v>MC_NTC_OPEN_CIRCUIT_ERROR</v>
      </c>
      <c r="D47">
        <v>517</v>
      </c>
      <c r="E47" t="str">
        <f t="shared" si="2"/>
        <v>0x205</v>
      </c>
      <c r="F47" t="s">
        <v>8861</v>
      </c>
    </row>
    <row r="48" spans="1:6">
      <c r="A48" t="s">
        <v>8855</v>
      </c>
      <c r="B48" t="s">
        <v>5348</v>
      </c>
      <c r="C48" t="str">
        <f t="shared" si="0"/>
        <v>MC_NTC_SHORT_CIRCUIT_ERROR</v>
      </c>
      <c r="D48">
        <v>518</v>
      </c>
      <c r="E48" t="str">
        <f>"0x"&amp;DEC2HEX(D48)</f>
        <v>0x206</v>
      </c>
      <c r="F48" t="s">
        <v>8862</v>
      </c>
    </row>
    <row r="49" spans="1:6">
      <c r="A49" t="s">
        <v>8855</v>
      </c>
      <c r="B49" t="s">
        <v>8856</v>
      </c>
      <c r="C49" t="str">
        <f t="shared" si="0"/>
        <v>MC_NTC1_OPEN_CIRCUIT_ERROR</v>
      </c>
      <c r="D49">
        <v>519</v>
      </c>
      <c r="E49" t="str">
        <f>"0x"&amp;DEC2HEX(D49)</f>
        <v>0x207</v>
      </c>
      <c r="F49" t="s">
        <v>8863</v>
      </c>
    </row>
    <row r="50" spans="1:6">
      <c r="A50" t="s">
        <v>8855</v>
      </c>
      <c r="B50" t="s">
        <v>8857</v>
      </c>
      <c r="C50" t="str">
        <f t="shared" si="0"/>
        <v>MC_NTC1_SHORT_CIRCUIT_ERROR</v>
      </c>
      <c r="D50">
        <v>520</v>
      </c>
      <c r="E50" t="str">
        <f t="shared" ref="E50:E54" si="3">"0x"&amp;DEC2HEX(D50)</f>
        <v>0x208</v>
      </c>
      <c r="F50" t="s">
        <v>8864</v>
      </c>
    </row>
    <row r="51" spans="1:6">
      <c r="A51" t="s">
        <v>8855</v>
      </c>
      <c r="B51" t="s">
        <v>8858</v>
      </c>
      <c r="C51" t="str">
        <f t="shared" si="0"/>
        <v>MC_NTC2_OPEN_CIRCUIT_ERROR</v>
      </c>
      <c r="D51">
        <v>521</v>
      </c>
      <c r="E51" t="str">
        <f t="shared" si="3"/>
        <v>0x209</v>
      </c>
      <c r="F51" t="s">
        <v>8865</v>
      </c>
    </row>
    <row r="52" spans="1:6">
      <c r="A52" t="s">
        <v>8855</v>
      </c>
      <c r="B52" t="s">
        <v>8859</v>
      </c>
      <c r="C52" t="str">
        <f t="shared" si="0"/>
        <v>MC_NTC2_SHORT_CIRCUIT_ERROR</v>
      </c>
      <c r="D52">
        <v>522</v>
      </c>
      <c r="E52" t="str">
        <f t="shared" si="3"/>
        <v>0x20A</v>
      </c>
      <c r="F52" t="s">
        <v>8866</v>
      </c>
    </row>
    <row r="53" spans="1:6">
      <c r="A53" t="s">
        <v>8855</v>
      </c>
      <c r="B53" t="s">
        <v>5386</v>
      </c>
      <c r="C53" t="str">
        <f t="shared" si="0"/>
        <v>MC_TEMPERATURE_OUT_OF_RANGE_ERROR</v>
      </c>
      <c r="D53">
        <v>523</v>
      </c>
      <c r="E53" t="str">
        <f t="shared" si="3"/>
        <v>0x20B</v>
      </c>
      <c r="F53" t="s">
        <v>5387</v>
      </c>
    </row>
    <row r="54" spans="1:6">
      <c r="A54" t="s">
        <v>8855</v>
      </c>
      <c r="B54" t="s">
        <v>8860</v>
      </c>
      <c r="C54" t="str">
        <f t="shared" si="0"/>
        <v>MC_CONTROLLER_OVER_TEMPERATURE_ERROR</v>
      </c>
      <c r="D54">
        <v>524</v>
      </c>
      <c r="E54" t="str">
        <f t="shared" si="3"/>
        <v>0x20C</v>
      </c>
      <c r="F54" t="s">
        <v>8867</v>
      </c>
    </row>
    <row r="55" spans="1:6">
      <c r="C55" t="str">
        <f t="shared" si="0"/>
        <v>_</v>
      </c>
    </row>
    <row r="56" spans="1:6">
      <c r="A56" t="s">
        <v>5388</v>
      </c>
      <c r="B56" t="s">
        <v>5389</v>
      </c>
      <c r="C56" t="str">
        <f t="shared" si="0"/>
        <v>HEAT_FAN_SPEED_LOW_ERROR</v>
      </c>
      <c r="D56">
        <v>768</v>
      </c>
      <c r="E56" t="str">
        <f>"0x"&amp;DEC2HEX(D56)</f>
        <v>0x300</v>
      </c>
      <c r="F56" t="s">
        <v>5390</v>
      </c>
    </row>
    <row r="57" spans="1:6">
      <c r="A57" t="s">
        <v>5388</v>
      </c>
      <c r="B57" t="s">
        <v>5346</v>
      </c>
      <c r="C57" t="str">
        <f t="shared" si="0"/>
        <v>HEAT_NTC_OPEN_CIRCUIT_ERROR</v>
      </c>
      <c r="D57">
        <v>769</v>
      </c>
      <c r="E57" t="str">
        <f>"0x"&amp;DEC2HEX(D57)</f>
        <v>0x301</v>
      </c>
      <c r="F57" t="s">
        <v>5347</v>
      </c>
    </row>
    <row r="58" spans="1:6">
      <c r="A58" t="s">
        <v>5388</v>
      </c>
      <c r="B58" t="s">
        <v>5348</v>
      </c>
      <c r="C58" t="str">
        <f t="shared" si="0"/>
        <v>HEAT_NTC_SHORT_CIRCUIT_ERROR</v>
      </c>
      <c r="D58">
        <v>770</v>
      </c>
      <c r="E58" t="str">
        <f>"0x"&amp;DEC2HEX(D58)</f>
        <v>0x302</v>
      </c>
      <c r="F58" t="s">
        <v>5349</v>
      </c>
    </row>
    <row r="59" spans="1:6">
      <c r="A59" t="s">
        <v>5388</v>
      </c>
      <c r="B59" t="s">
        <v>5391</v>
      </c>
      <c r="C59" t="str">
        <f t="shared" si="0"/>
        <v>HEAT_LOW_CURRENT_ERROR</v>
      </c>
      <c r="D59">
        <v>771</v>
      </c>
      <c r="E59" t="str">
        <f>"0x"&amp;DEC2HEX(D59)</f>
        <v>0x303</v>
      </c>
      <c r="F59" t="s">
        <v>5392</v>
      </c>
    </row>
    <row r="60" spans="1:6">
      <c r="A60" t="s">
        <v>5388</v>
      </c>
      <c r="B60" t="s">
        <v>5393</v>
      </c>
      <c r="C60" t="str">
        <f t="shared" si="0"/>
        <v>HEAT_OVER_CURRENT_ERROR</v>
      </c>
      <c r="D60">
        <v>772</v>
      </c>
      <c r="E60" t="str">
        <f>"0x"&amp;DEC2HEX(D60)</f>
        <v>0x304</v>
      </c>
      <c r="F60" t="s">
        <v>5394</v>
      </c>
    </row>
    <row r="61" spans="1:6">
      <c r="C61" t="str">
        <f t="shared" si="0"/>
        <v>_</v>
      </c>
    </row>
    <row r="62" spans="1:6" ht="30">
      <c r="A62" t="s">
        <v>9353</v>
      </c>
      <c r="B62" t="s">
        <v>9378</v>
      </c>
      <c r="C62" t="str">
        <f t="shared" si="0"/>
        <v>MPS_DC_HIGH_VOLT_LIMIT_REACHED</v>
      </c>
      <c r="D62">
        <v>832</v>
      </c>
      <c r="E62" t="str">
        <f t="shared" ref="E62:E90" si="4">"0x"&amp;DEC2HEX(D62)</f>
        <v>0x340</v>
      </c>
      <c r="F62" s="38" t="s">
        <v>9404</v>
      </c>
    </row>
    <row r="63" spans="1:6" ht="30">
      <c r="A63" t="s">
        <v>9353</v>
      </c>
      <c r="B63" t="s">
        <v>9379</v>
      </c>
      <c r="C63" t="str">
        <f t="shared" si="0"/>
        <v>MPS_DC_HIGH_VOLT_LIMIT_CHARGE_DISCONNECTED</v>
      </c>
      <c r="D63">
        <f>D62+1</f>
        <v>833</v>
      </c>
      <c r="E63" t="str">
        <f t="shared" si="4"/>
        <v>0x341</v>
      </c>
      <c r="F63" s="38" t="s">
        <v>9351</v>
      </c>
    </row>
    <row r="64" spans="1:6" ht="30">
      <c r="A64" t="s">
        <v>9353</v>
      </c>
      <c r="B64" t="s">
        <v>9380</v>
      </c>
      <c r="C64" t="str">
        <f t="shared" si="0"/>
        <v>MPS_DC_LOW_VOLT_LIMIT_REACHED</v>
      </c>
      <c r="D64">
        <f t="shared" ref="D64:D90" si="5">D63+1</f>
        <v>834</v>
      </c>
      <c r="E64" t="str">
        <f t="shared" si="4"/>
        <v>0x342</v>
      </c>
      <c r="F64" s="38" t="s">
        <v>9405</v>
      </c>
    </row>
    <row r="65" spans="1:6" ht="30">
      <c r="A65" t="s">
        <v>9353</v>
      </c>
      <c r="B65" t="s">
        <v>9381</v>
      </c>
      <c r="C65" t="str">
        <f t="shared" si="0"/>
        <v>MPS_DC_LOW_VOLT_LIMIT_LOAD_DISCONNECTED</v>
      </c>
      <c r="D65">
        <f t="shared" si="5"/>
        <v>835</v>
      </c>
      <c r="E65" t="str">
        <f t="shared" si="4"/>
        <v>0x343</v>
      </c>
      <c r="F65" s="38" t="s">
        <v>9350</v>
      </c>
    </row>
    <row r="66" spans="1:6" ht="30">
      <c r="A66" t="s">
        <v>9353</v>
      </c>
      <c r="B66" t="s">
        <v>9382</v>
      </c>
      <c r="C66" t="str">
        <f t="shared" si="0"/>
        <v>MPS_DC_LOW_STATE_CHARGE_LIMIT_REACHED</v>
      </c>
      <c r="D66">
        <f t="shared" si="5"/>
        <v>836</v>
      </c>
      <c r="E66" t="str">
        <f t="shared" si="4"/>
        <v>0x344</v>
      </c>
      <c r="F66" s="38" t="s">
        <v>9406</v>
      </c>
    </row>
    <row r="67" spans="1:6" ht="30">
      <c r="A67" t="s">
        <v>9353</v>
      </c>
      <c r="B67" t="s">
        <v>9383</v>
      </c>
      <c r="C67" t="str">
        <f t="shared" ref="C67:C90" si="6">_xlfn.CONCAT(A67,"_",B67)</f>
        <v>MPS_DC_LOW_STATE_CHARGE_LIMIT_LOAD_DISCONNECTED</v>
      </c>
      <c r="D67">
        <f t="shared" si="5"/>
        <v>837</v>
      </c>
      <c r="E67" t="str">
        <f t="shared" si="4"/>
        <v>0x345</v>
      </c>
      <c r="F67" s="38" t="s">
        <v>9349</v>
      </c>
    </row>
    <row r="68" spans="1:6" ht="30">
      <c r="A68" t="s">
        <v>9353</v>
      </c>
      <c r="B68" t="s">
        <v>9384</v>
      </c>
      <c r="C68" t="str">
        <f t="shared" si="6"/>
        <v>MPS_DC_LOW_TEMP_LIMIT_REACHED</v>
      </c>
      <c r="D68">
        <f t="shared" si="5"/>
        <v>838</v>
      </c>
      <c r="E68" t="str">
        <f t="shared" si="4"/>
        <v>0x346</v>
      </c>
      <c r="F68" s="38" t="s">
        <v>9407</v>
      </c>
    </row>
    <row r="69" spans="1:6" ht="30">
      <c r="A69" t="s">
        <v>9353</v>
      </c>
      <c r="B69" t="s">
        <v>9385</v>
      </c>
      <c r="C69" t="str">
        <f t="shared" si="6"/>
        <v>MPS_DC_LOW_TEMP_LIMIT_DISCONNECTED</v>
      </c>
      <c r="D69">
        <f t="shared" si="5"/>
        <v>839</v>
      </c>
      <c r="E69" t="str">
        <f t="shared" si="4"/>
        <v>0x347</v>
      </c>
      <c r="F69" s="38" t="s">
        <v>9348</v>
      </c>
    </row>
    <row r="70" spans="1:6" ht="30">
      <c r="A70" t="s">
        <v>9353</v>
      </c>
      <c r="B70" t="s">
        <v>9386</v>
      </c>
      <c r="C70" t="str">
        <f t="shared" si="6"/>
        <v>MPS_DC_HIGH_TEMP_LIMIT_REACHED</v>
      </c>
      <c r="D70">
        <f t="shared" si="5"/>
        <v>840</v>
      </c>
      <c r="E70" t="str">
        <f t="shared" si="4"/>
        <v>0x348</v>
      </c>
      <c r="F70" s="38" t="s">
        <v>9408</v>
      </c>
    </row>
    <row r="71" spans="1:6" ht="30">
      <c r="A71" t="s">
        <v>9353</v>
      </c>
      <c r="B71" t="s">
        <v>9387</v>
      </c>
      <c r="C71" t="str">
        <f t="shared" si="6"/>
        <v>MPS_DC_HIGH_TEMP_LIMIT_DISCONNECTED</v>
      </c>
      <c r="D71">
        <f t="shared" si="5"/>
        <v>841</v>
      </c>
      <c r="E71" t="str">
        <f t="shared" si="4"/>
        <v>0x349</v>
      </c>
      <c r="F71" s="38" t="s">
        <v>9346</v>
      </c>
    </row>
    <row r="72" spans="1:6" ht="30">
      <c r="A72" t="s">
        <v>9353</v>
      </c>
      <c r="B72" t="s">
        <v>9388</v>
      </c>
      <c r="C72" t="str">
        <f t="shared" si="6"/>
        <v>MPS_DC_HIGH_CURR_LIMIT_REACHED</v>
      </c>
      <c r="D72">
        <f t="shared" si="5"/>
        <v>842</v>
      </c>
      <c r="E72" t="str">
        <f t="shared" si="4"/>
        <v>0x34A</v>
      </c>
      <c r="F72" s="38" t="s">
        <v>9409</v>
      </c>
    </row>
    <row r="73" spans="1:6" ht="30">
      <c r="A73" t="s">
        <v>9353</v>
      </c>
      <c r="B73" t="s">
        <v>9389</v>
      </c>
      <c r="C73" t="str">
        <f t="shared" si="6"/>
        <v>MPS_DC_HIGH_CURR_LIMIT_DISCONNECTED</v>
      </c>
      <c r="D73">
        <f t="shared" si="5"/>
        <v>843</v>
      </c>
      <c r="E73" t="str">
        <f>"0x"&amp;DEC2HEX(D73)</f>
        <v>0x34B</v>
      </c>
      <c r="F73" s="38" t="s">
        <v>9347</v>
      </c>
    </row>
    <row r="74" spans="1:6">
      <c r="A74" t="s">
        <v>9353</v>
      </c>
      <c r="B74" t="s">
        <v>9401</v>
      </c>
      <c r="C74" t="str">
        <f t="shared" si="6"/>
        <v>MPS_GEN_DEVICE_OVERTEMP</v>
      </c>
      <c r="D74">
        <f t="shared" si="5"/>
        <v>844</v>
      </c>
      <c r="E74" t="str">
        <f>"0x"&amp;DEC2HEX(D74)</f>
        <v>0x34C</v>
      </c>
      <c r="F74" s="38" t="s">
        <v>9402</v>
      </c>
    </row>
    <row r="75" spans="1:6">
      <c r="A75" t="s">
        <v>9353</v>
      </c>
      <c r="B75" t="s">
        <v>9377</v>
      </c>
      <c r="C75" t="str">
        <f t="shared" si="6"/>
        <v>MPS_GEN_DEVICE_FAULT</v>
      </c>
      <c r="D75">
        <f t="shared" si="5"/>
        <v>845</v>
      </c>
      <c r="E75" t="str">
        <f t="shared" si="4"/>
        <v>0x34D</v>
      </c>
      <c r="F75" s="38" t="s">
        <v>9352</v>
      </c>
    </row>
    <row r="76" spans="1:6">
      <c r="A76" t="s">
        <v>9353</v>
      </c>
      <c r="B76" t="s">
        <v>9354</v>
      </c>
      <c r="C76" t="str">
        <f t="shared" si="6"/>
        <v>MPS_BAT_CELL_FAULT</v>
      </c>
      <c r="D76">
        <f t="shared" si="5"/>
        <v>846</v>
      </c>
      <c r="E76" t="str">
        <f t="shared" si="4"/>
        <v>0x34E</v>
      </c>
      <c r="F76" s="38" t="s">
        <v>9403</v>
      </c>
    </row>
    <row r="77" spans="1:6">
      <c r="A77" t="s">
        <v>9353</v>
      </c>
      <c r="B77" t="s">
        <v>9366</v>
      </c>
      <c r="C77" t="str">
        <f t="shared" si="6"/>
        <v>MPS_AC_OPEN_GROUND_ERROR</v>
      </c>
      <c r="D77">
        <f t="shared" si="5"/>
        <v>847</v>
      </c>
      <c r="E77" t="str">
        <f t="shared" si="4"/>
        <v>0x34F</v>
      </c>
      <c r="F77" s="38" t="s">
        <v>9355</v>
      </c>
    </row>
    <row r="78" spans="1:6">
      <c r="A78" t="s">
        <v>9353</v>
      </c>
      <c r="B78" t="s">
        <v>9367</v>
      </c>
      <c r="C78" t="str">
        <f t="shared" si="6"/>
        <v>MPS_AC_OPEN_NEUTRAL_ERROR</v>
      </c>
      <c r="D78">
        <f t="shared" si="5"/>
        <v>848</v>
      </c>
      <c r="E78" t="str">
        <f t="shared" si="4"/>
        <v>0x350</v>
      </c>
      <c r="F78" s="38" t="s">
        <v>9356</v>
      </c>
    </row>
    <row r="79" spans="1:6">
      <c r="A79" t="s">
        <v>9353</v>
      </c>
      <c r="B79" t="s">
        <v>9368</v>
      </c>
      <c r="C79" t="str">
        <f t="shared" si="6"/>
        <v>MPS_AC_REVERSE_POLARITY_ERROR</v>
      </c>
      <c r="D79">
        <f t="shared" si="5"/>
        <v>849</v>
      </c>
      <c r="E79" t="str">
        <f t="shared" si="4"/>
        <v>0x351</v>
      </c>
      <c r="F79" s="38" t="s">
        <v>9357</v>
      </c>
    </row>
    <row r="80" spans="1:6">
      <c r="A80" t="s">
        <v>9353</v>
      </c>
      <c r="B80" t="s">
        <v>9369</v>
      </c>
      <c r="C80" t="str">
        <f t="shared" si="6"/>
        <v>MPS_AC_GROUND_CURRENT_ERROR</v>
      </c>
      <c r="D80">
        <f t="shared" si="5"/>
        <v>850</v>
      </c>
      <c r="E80" t="str">
        <f t="shared" si="4"/>
        <v>0x352</v>
      </c>
      <c r="F80" s="38" t="s">
        <v>9358</v>
      </c>
    </row>
    <row r="81" spans="1:6">
      <c r="A81" t="s">
        <v>9353</v>
      </c>
      <c r="B81" t="s">
        <v>9370</v>
      </c>
      <c r="C81" t="str">
        <f t="shared" si="6"/>
        <v>MPS_AC_EXTREME_LOW_VOLT_ERROR</v>
      </c>
      <c r="D81">
        <f t="shared" si="5"/>
        <v>851</v>
      </c>
      <c r="E81" t="str">
        <f t="shared" si="4"/>
        <v>0x353</v>
      </c>
      <c r="F81" s="38" t="s">
        <v>9359</v>
      </c>
    </row>
    <row r="82" spans="1:6">
      <c r="A82" t="s">
        <v>9353</v>
      </c>
      <c r="B82" t="s">
        <v>9371</v>
      </c>
      <c r="C82" t="str">
        <f t="shared" si="6"/>
        <v>MPS_AC_EXTREME_HIGH_VOLT_ERROR</v>
      </c>
      <c r="D82">
        <f t="shared" si="5"/>
        <v>852</v>
      </c>
      <c r="E82" t="str">
        <f t="shared" si="4"/>
        <v>0x354</v>
      </c>
      <c r="F82" s="38" t="s">
        <v>9360</v>
      </c>
    </row>
    <row r="83" spans="1:6">
      <c r="A83" t="s">
        <v>9353</v>
      </c>
      <c r="B83" t="s">
        <v>9390</v>
      </c>
      <c r="C83" t="str">
        <f t="shared" si="6"/>
        <v>MPS_AC_LOW_VOLT_ERROR</v>
      </c>
      <c r="D83">
        <f t="shared" si="5"/>
        <v>853</v>
      </c>
      <c r="E83" t="str">
        <f t="shared" si="4"/>
        <v>0x355</v>
      </c>
      <c r="F83" s="38" t="s">
        <v>9393</v>
      </c>
    </row>
    <row r="84" spans="1:6">
      <c r="A84" t="s">
        <v>9353</v>
      </c>
      <c r="B84" t="s">
        <v>9391</v>
      </c>
      <c r="C84" t="str">
        <f t="shared" si="6"/>
        <v>MPS_AC_HIGH_VOLT_ERROR</v>
      </c>
      <c r="D84">
        <f t="shared" si="5"/>
        <v>854</v>
      </c>
      <c r="E84" t="str">
        <f t="shared" si="4"/>
        <v>0x356</v>
      </c>
      <c r="F84" s="38" t="s">
        <v>9392</v>
      </c>
    </row>
    <row r="85" spans="1:6">
      <c r="A85" t="s">
        <v>9353</v>
      </c>
      <c r="B85" t="s">
        <v>9372</v>
      </c>
      <c r="C85" t="str">
        <f t="shared" si="6"/>
        <v>MPS_AC_OPEN_LINE_1_VOLT_ERROR</v>
      </c>
      <c r="D85">
        <f t="shared" si="5"/>
        <v>855</v>
      </c>
      <c r="E85" t="str">
        <f t="shared" si="4"/>
        <v>0x357</v>
      </c>
      <c r="F85" s="38" t="s">
        <v>9361</v>
      </c>
    </row>
    <row r="86" spans="1:6">
      <c r="A86" t="s">
        <v>9353</v>
      </c>
      <c r="B86" t="s">
        <v>9373</v>
      </c>
      <c r="C86" t="str">
        <f t="shared" si="6"/>
        <v>MPS_AC_OPEN_LINE_2_VOLT_ERROR</v>
      </c>
      <c r="D86">
        <f t="shared" si="5"/>
        <v>856</v>
      </c>
      <c r="E86" t="str">
        <f t="shared" si="4"/>
        <v>0x358</v>
      </c>
      <c r="F86" s="38" t="s">
        <v>9362</v>
      </c>
    </row>
    <row r="87" spans="1:6">
      <c r="A87" t="s">
        <v>9353</v>
      </c>
      <c r="B87" t="s">
        <v>9374</v>
      </c>
      <c r="C87" t="str">
        <f t="shared" si="6"/>
        <v>MPS_AC_SURGE_PROTECTION_ERROR</v>
      </c>
      <c r="D87">
        <f t="shared" si="5"/>
        <v>857</v>
      </c>
      <c r="E87" t="str">
        <f t="shared" si="4"/>
        <v>0x359</v>
      </c>
      <c r="F87" s="38" t="s">
        <v>9363</v>
      </c>
    </row>
    <row r="88" spans="1:6">
      <c r="A88" t="s">
        <v>9353</v>
      </c>
      <c r="B88" t="s">
        <v>9375</v>
      </c>
      <c r="C88" t="str">
        <f t="shared" si="6"/>
        <v>MPS_AC_HIGH_FREQ_ERROR</v>
      </c>
      <c r="D88">
        <f t="shared" si="5"/>
        <v>858</v>
      </c>
      <c r="E88" t="str">
        <f t="shared" si="4"/>
        <v>0x35A</v>
      </c>
      <c r="F88" s="38" t="s">
        <v>9364</v>
      </c>
    </row>
    <row r="89" spans="1:6">
      <c r="A89" t="s">
        <v>9353</v>
      </c>
      <c r="B89" t="s">
        <v>9376</v>
      </c>
      <c r="C89" t="str">
        <f t="shared" si="6"/>
        <v>MPS_AC_LOW_FREQ_ERROR</v>
      </c>
      <c r="D89">
        <f t="shared" si="5"/>
        <v>859</v>
      </c>
      <c r="E89" t="str">
        <f t="shared" si="4"/>
        <v>0x35B</v>
      </c>
      <c r="F89" s="38" t="s">
        <v>9365</v>
      </c>
    </row>
    <row r="90" spans="1:6">
      <c r="A90" t="s">
        <v>9353</v>
      </c>
      <c r="B90" t="s">
        <v>9410</v>
      </c>
      <c r="C90" t="str">
        <f t="shared" si="6"/>
        <v>MPS_AC_HIGH_CURR_ERROR</v>
      </c>
      <c r="D90">
        <f t="shared" si="5"/>
        <v>860</v>
      </c>
      <c r="E90" t="str">
        <f t="shared" si="4"/>
        <v>0x35C</v>
      </c>
      <c r="F90" s="38" t="s">
        <v>9411</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DA3CF-9C26-4042-A0F7-E161E509980B}">
  <sheetPr codeName="Blad4"/>
  <dimension ref="A1:K38"/>
  <sheetViews>
    <sheetView workbookViewId="0">
      <selection activeCell="I32" sqref="I32"/>
    </sheetView>
  </sheetViews>
  <sheetFormatPr defaultColWidth="8.85546875" defaultRowHeight="15"/>
  <cols>
    <col min="1" max="1" width="13.7109375" customWidth="1"/>
    <col min="2" max="2" width="11.42578125" customWidth="1"/>
    <col min="3" max="3" width="19.42578125" customWidth="1"/>
    <col min="4" max="4" width="23.28515625" customWidth="1"/>
    <col min="5" max="5" width="28.85546875" customWidth="1"/>
    <col min="6" max="6" width="24.7109375" customWidth="1"/>
    <col min="7" max="7" width="26.85546875" customWidth="1"/>
    <col min="8" max="8" width="12.28515625" customWidth="1"/>
    <col min="9" max="9" width="25.140625" customWidth="1"/>
  </cols>
  <sheetData>
    <row r="1" spans="1:8">
      <c r="A1" t="s">
        <v>2894</v>
      </c>
      <c r="B1" t="s">
        <v>5395</v>
      </c>
      <c r="C1" t="s">
        <v>5396</v>
      </c>
    </row>
    <row r="3" spans="1:8">
      <c r="A3" t="s">
        <v>5397</v>
      </c>
      <c r="B3" t="s">
        <v>5398</v>
      </c>
      <c r="C3" t="s">
        <v>5399</v>
      </c>
    </row>
    <row r="5" spans="1:8">
      <c r="C5" s="17" t="str">
        <f>Parameters!$I$52</f>
        <v>chgrsvc0btryv</v>
      </c>
      <c r="D5" t="str">
        <f>Enums!$D$3</f>
        <v>TRUMA Aventa Comfort=2</v>
      </c>
      <c r="E5" t="str">
        <f>Enums!$E$3</f>
        <v>TRUMA Aventa Comfort CP+=3</v>
      </c>
    </row>
    <row r="6" spans="1:8">
      <c r="C6" s="17" t="e">
        <f>Parameters!#REF!</f>
        <v>#REF!</v>
      </c>
      <c r="D6" t="s">
        <v>5400</v>
      </c>
    </row>
    <row r="7" spans="1:8">
      <c r="C7" s="17" t="e">
        <f>Parameters!#REF!</f>
        <v>#REF!</v>
      </c>
      <c r="D7" t="str">
        <f>Enums!$B$1</f>
        <v>Low=0</v>
      </c>
      <c r="E7" t="str">
        <f>Enums!$E$1</f>
        <v>Max=3</v>
      </c>
      <c r="F7" t="str">
        <f>Enums!$G$1</f>
        <v>Auto=5</v>
      </c>
    </row>
    <row r="8" spans="1:8">
      <c r="C8" s="17" t="e">
        <f>Parameters!#REF!</f>
        <v>#REF!</v>
      </c>
      <c r="D8" t="str">
        <f>Enums!$B$2</f>
        <v>Cool=0</v>
      </c>
      <c r="E8" t="str">
        <f>Enums!$E$2</f>
        <v>Auto=3</v>
      </c>
    </row>
    <row r="9" spans="1:8">
      <c r="C9" s="17" t="e">
        <f>Parameters!#REF!</f>
        <v>#REF!</v>
      </c>
      <c r="D9" t="s">
        <v>5401</v>
      </c>
    </row>
    <row r="11" spans="1:8">
      <c r="A11" t="s">
        <v>5402</v>
      </c>
      <c r="B11" t="s">
        <v>5398</v>
      </c>
      <c r="C11" t="s">
        <v>5403</v>
      </c>
    </row>
    <row r="12" spans="1:8">
      <c r="C12" s="17" t="str">
        <f>Parameters!$I$52</f>
        <v>chgrsvc0btryv</v>
      </c>
      <c r="D12" t="str">
        <f>Enums!$C$3</f>
        <v>DOMETIC FreshJet=1</v>
      </c>
    </row>
    <row r="13" spans="1:8">
      <c r="C13" s="17" t="e">
        <f>Parameters!#REF!</f>
        <v>#REF!</v>
      </c>
      <c r="D13" t="s">
        <v>5400</v>
      </c>
    </row>
    <row r="14" spans="1:8">
      <c r="C14" s="17" t="e">
        <f>Parameters!#REF!</f>
        <v>#REF!</v>
      </c>
      <c r="D14" t="str">
        <f>Enums!$B$1</f>
        <v>Low=0</v>
      </c>
      <c r="E14" t="str">
        <f>Enums!$C$1</f>
        <v>Med=1</v>
      </c>
      <c r="F14" t="str">
        <f>Enums!$D$1</f>
        <v>High=2</v>
      </c>
      <c r="G14" t="str">
        <f>Enums!$E$1</f>
        <v>Max=3</v>
      </c>
      <c r="H14" t="str">
        <f>Enums!$G$1</f>
        <v>Auto=5</v>
      </c>
    </row>
    <row r="15" spans="1:8">
      <c r="C15" s="17" t="e">
        <f>Parameters!#REF!</f>
        <v>#REF!</v>
      </c>
      <c r="D15" t="str">
        <f>Enums!$B$2</f>
        <v>Cool=0</v>
      </c>
      <c r="E15" t="str">
        <f>Enums!$C$2</f>
        <v>Heat=1</v>
      </c>
      <c r="F15" t="str">
        <f>Enums!$D$2</f>
        <v>Fan=2</v>
      </c>
      <c r="G15" t="str">
        <f>Enums!$E$2</f>
        <v>Auto=3</v>
      </c>
      <c r="H15" t="str">
        <f>Enums!$F$2</f>
        <v>Dry=4</v>
      </c>
    </row>
    <row r="16" spans="1:8">
      <c r="C16" s="17" t="e">
        <f>Parameters!#REF!</f>
        <v>#REF!</v>
      </c>
      <c r="D16" t="s">
        <v>5401</v>
      </c>
    </row>
    <row r="19" spans="1:11">
      <c r="A19" t="s">
        <v>5397</v>
      </c>
      <c r="B19" t="s">
        <v>500</v>
      </c>
      <c r="C19" t="s">
        <v>5404</v>
      </c>
    </row>
    <row r="21" spans="1:11">
      <c r="C21" t="str">
        <f>Parameters!$I$141</f>
        <v>lgt0awn</v>
      </c>
      <c r="D21" t="str">
        <f>Enums!$C$7</f>
        <v>TRUMA Combi Gas 6=1</v>
      </c>
      <c r="E21" t="str">
        <f>Enums!$D$7</f>
        <v>TRUMA Combi Gas 4=2</v>
      </c>
      <c r="F21" t="str">
        <f>Enums!$E$7</f>
        <v>TRUMA Combi Gas 6 E=3</v>
      </c>
      <c r="G21" t="str">
        <f>Enums!$F$7</f>
        <v>TRUMA Combi Gas 4 E=4</v>
      </c>
    </row>
    <row r="22" spans="1:11">
      <c r="C22" t="str">
        <f>Parameters!$I$135</f>
        <v>lgt0ambz</v>
      </c>
      <c r="D22" t="s">
        <v>5400</v>
      </c>
    </row>
    <row r="23" spans="1:11">
      <c r="C23" t="str">
        <f>Parameters!$I$136</f>
        <v>lgt0addx</v>
      </c>
      <c r="D23" s="18" t="s">
        <v>5405</v>
      </c>
    </row>
    <row r="24" spans="1:11">
      <c r="C24" t="str">
        <f>Parameters!$I$137</f>
        <v>lgt0addy</v>
      </c>
      <c r="D24" t="s">
        <v>5400</v>
      </c>
    </row>
    <row r="25" spans="1:11">
      <c r="C25" t="str">
        <f>Parameters!$I$138</f>
        <v>lgt0addz</v>
      </c>
      <c r="D25" t="str">
        <f>Enums!$C$5</f>
        <v>Eco=1</v>
      </c>
      <c r="E25" t="str">
        <f>Enums!$D$5</f>
        <v>Hot=2</v>
      </c>
    </row>
    <row r="26" spans="1:11">
      <c r="C26" t="str">
        <f>Parameters!$I$139</f>
        <v>lgt0ktnx</v>
      </c>
      <c r="D26" t="str">
        <f>Enums!$B$6</f>
        <v>Gas=0</v>
      </c>
      <c r="E26" t="str">
        <f>Enums!$C$6</f>
        <v>Gas+el 900 W=1</v>
      </c>
      <c r="F26" t="str">
        <f>Enums!$D$6</f>
        <v>Gas+el 1800 W=2</v>
      </c>
      <c r="G26" t="str">
        <f>Enums!$E$6</f>
        <v>El 900 W=3</v>
      </c>
      <c r="H26" t="str">
        <f>Enums!$F$6</f>
        <v>El 1800 W=4</v>
      </c>
    </row>
    <row r="27" spans="1:11">
      <c r="C27" t="str">
        <f>Parameters!$I$140</f>
        <v>lgt0ktny</v>
      </c>
    </row>
    <row r="29" spans="1:11">
      <c r="A29" t="s">
        <v>5406</v>
      </c>
      <c r="B29" t="s">
        <v>500</v>
      </c>
      <c r="C29" s="19">
        <v>3020</v>
      </c>
    </row>
    <row r="31" spans="1:11">
      <c r="C31" t="str">
        <f>Parameters!$I$141</f>
        <v>lgt0awn</v>
      </c>
      <c r="D31" t="str">
        <f>Enums!$R$7</f>
        <v>ALDE 3020=16</v>
      </c>
      <c r="I31" s="20" t="s">
        <v>5407</v>
      </c>
      <c r="J31" s="20" t="s">
        <v>5408</v>
      </c>
      <c r="K31" s="24" t="s">
        <v>5409</v>
      </c>
    </row>
    <row r="32" spans="1:11">
      <c r="C32" t="str">
        <f>Parameters!$I$135</f>
        <v>lgt0ambz</v>
      </c>
      <c r="D32" t="s">
        <v>5400</v>
      </c>
      <c r="I32" t="s">
        <v>5410</v>
      </c>
      <c r="J32">
        <v>1</v>
      </c>
      <c r="K32">
        <v>0</v>
      </c>
    </row>
    <row r="33" spans="3:11">
      <c r="C33" t="str">
        <f>Parameters!$I$136</f>
        <v>lgt0addx</v>
      </c>
      <c r="D33" s="18" t="s">
        <v>5405</v>
      </c>
      <c r="I33" t="s">
        <v>5411</v>
      </c>
      <c r="J33">
        <v>1</v>
      </c>
      <c r="K33">
        <v>2</v>
      </c>
    </row>
    <row r="34" spans="3:11">
      <c r="C34" t="str">
        <f>Parameters!$I$137</f>
        <v>lgt0addy</v>
      </c>
      <c r="D34" t="s">
        <v>5400</v>
      </c>
      <c r="I34" t="s">
        <v>5412</v>
      </c>
      <c r="J34">
        <v>1</v>
      </c>
      <c r="K34">
        <v>3</v>
      </c>
    </row>
    <row r="35" spans="3:11">
      <c r="C35" t="str">
        <f>Parameters!$I$138</f>
        <v>lgt0addz</v>
      </c>
      <c r="D35" t="str">
        <f>Enums!$C$5</f>
        <v>Eco=1</v>
      </c>
      <c r="E35" t="str">
        <f>Enums!$D$5</f>
        <v>Hot=2</v>
      </c>
      <c r="I35" t="s">
        <v>5413</v>
      </c>
      <c r="J35">
        <v>1</v>
      </c>
      <c r="K35">
        <v>4</v>
      </c>
    </row>
    <row r="36" spans="3:11">
      <c r="C36" t="str">
        <f>Parameters!$I$143</f>
        <v>fwtr0lvl</v>
      </c>
      <c r="D36" t="str">
        <f>Enums!$B$13</f>
        <v>Off=0</v>
      </c>
      <c r="E36" t="str">
        <f>Enums!$D$13</f>
        <v>1kW=2</v>
      </c>
      <c r="F36" t="str">
        <f>Enums!$E$13</f>
        <v>2kW=3</v>
      </c>
      <c r="G36" t="str">
        <f>Enums!$F$13</f>
        <v>3kW=4</v>
      </c>
      <c r="I36" t="s">
        <v>5414</v>
      </c>
      <c r="J36">
        <v>0</v>
      </c>
      <c r="K36">
        <v>2</v>
      </c>
    </row>
    <row r="37" spans="3:11">
      <c r="C37" t="str">
        <f>Parameters!$I$144</f>
        <v>wwtr0avl</v>
      </c>
      <c r="D37" t="s">
        <v>5400</v>
      </c>
      <c r="I37" t="s">
        <v>5415</v>
      </c>
      <c r="J37">
        <v>0</v>
      </c>
      <c r="K37">
        <v>3</v>
      </c>
    </row>
    <row r="38" spans="3:11">
      <c r="I38" t="s">
        <v>5416</v>
      </c>
      <c r="J38">
        <v>0</v>
      </c>
      <c r="K38">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CB8BF-81F2-483A-BCDA-AFEE16FA4900}">
  <sheetPr codeName="Blad2"/>
  <dimension ref="A1:N18"/>
  <sheetViews>
    <sheetView zoomScale="110" zoomScaleNormal="110" workbookViewId="0">
      <selection activeCell="L15" sqref="L15"/>
    </sheetView>
  </sheetViews>
  <sheetFormatPr defaultColWidth="8.85546875" defaultRowHeight="15"/>
  <cols>
    <col min="1" max="1" width="11.28515625" style="19" bestFit="1" customWidth="1"/>
    <col min="2" max="2" width="13.28515625" bestFit="1" customWidth="1"/>
    <col min="3" max="3" width="20.140625" style="19" bestFit="1" customWidth="1"/>
    <col min="4" max="4" width="12.5703125" style="19" bestFit="1" customWidth="1"/>
    <col min="5" max="5" width="10.42578125" bestFit="1" customWidth="1"/>
    <col min="6" max="6" width="36.42578125" style="19" bestFit="1" customWidth="1"/>
    <col min="7" max="7" width="16.28515625" customWidth="1"/>
    <col min="8" max="8" width="20.140625" bestFit="1" customWidth="1"/>
    <col min="13" max="13" width="25" bestFit="1" customWidth="1"/>
    <col min="14" max="14" width="19.42578125" bestFit="1" customWidth="1"/>
  </cols>
  <sheetData>
    <row r="1" spans="1:14">
      <c r="A1" t="s">
        <v>5417</v>
      </c>
      <c r="B1" t="s">
        <v>5418</v>
      </c>
      <c r="C1" s="19" t="s">
        <v>5419</v>
      </c>
      <c r="D1" s="19">
        <v>7</v>
      </c>
      <c r="E1" s="17" t="s">
        <v>5420</v>
      </c>
      <c r="F1" s="19" t="s">
        <v>5421</v>
      </c>
      <c r="G1" s="19"/>
      <c r="H1" t="s">
        <v>4129</v>
      </c>
      <c r="I1" t="s">
        <v>4308</v>
      </c>
      <c r="J1" t="s">
        <v>133</v>
      </c>
      <c r="K1" t="s">
        <v>4309</v>
      </c>
      <c r="L1">
        <v>0</v>
      </c>
      <c r="M1" t="s">
        <v>4310</v>
      </c>
      <c r="N1" t="s">
        <v>4311</v>
      </c>
    </row>
    <row r="2" spans="1:14">
      <c r="A2" t="s">
        <v>5417</v>
      </c>
      <c r="B2" t="s">
        <v>5422</v>
      </c>
      <c r="C2" s="19" t="s">
        <v>5423</v>
      </c>
      <c r="D2" s="19">
        <v>5</v>
      </c>
      <c r="E2" s="17" t="s">
        <v>5424</v>
      </c>
      <c r="F2" s="19" t="s">
        <v>5425</v>
      </c>
      <c r="G2" s="19"/>
      <c r="H2" s="29" t="s">
        <v>3053</v>
      </c>
      <c r="I2" s="29" t="s">
        <v>4308</v>
      </c>
      <c r="J2" s="29" t="s">
        <v>139</v>
      </c>
      <c r="K2" s="29">
        <v>1</v>
      </c>
      <c r="L2" s="29">
        <v>-40</v>
      </c>
      <c r="M2" s="29" t="s">
        <v>4317</v>
      </c>
      <c r="N2" s="29" t="s">
        <v>4318</v>
      </c>
    </row>
    <row r="3" spans="1:14">
      <c r="A3"/>
      <c r="E3" s="17"/>
      <c r="G3" s="19"/>
      <c r="H3" s="29" t="s">
        <v>1451</v>
      </c>
      <c r="I3" s="29" t="s">
        <v>4308</v>
      </c>
      <c r="J3" s="29" t="s">
        <v>25</v>
      </c>
      <c r="K3" s="29">
        <v>1</v>
      </c>
      <c r="L3" s="29">
        <v>0</v>
      </c>
      <c r="M3" s="29" t="s">
        <v>4324</v>
      </c>
      <c r="N3" s="29" t="s">
        <v>4325</v>
      </c>
    </row>
    <row r="4" spans="1:14">
      <c r="A4"/>
      <c r="B4" s="19"/>
      <c r="C4" s="32" t="s">
        <v>5426</v>
      </c>
      <c r="H4" s="30" t="s">
        <v>4330</v>
      </c>
      <c r="I4" s="30" t="s">
        <v>4331</v>
      </c>
      <c r="J4" s="30" t="s">
        <v>32</v>
      </c>
      <c r="K4" s="30">
        <v>1</v>
      </c>
      <c r="L4" s="30">
        <v>0</v>
      </c>
      <c r="M4" s="30" t="s">
        <v>4332</v>
      </c>
      <c r="N4" s="30"/>
    </row>
    <row r="5" spans="1:14">
      <c r="A5"/>
      <c r="B5" s="19" t="s">
        <v>5427</v>
      </c>
      <c r="C5" s="19" t="s">
        <v>5428</v>
      </c>
      <c r="D5" s="19">
        <v>10</v>
      </c>
      <c r="E5" t="s">
        <v>271</v>
      </c>
      <c r="F5" s="19" t="s">
        <v>5429</v>
      </c>
      <c r="G5" s="19"/>
      <c r="H5" s="30" t="s">
        <v>4139</v>
      </c>
      <c r="I5" s="30" t="s">
        <v>4308</v>
      </c>
      <c r="J5" s="30" t="s">
        <v>32</v>
      </c>
      <c r="K5" s="30">
        <v>1</v>
      </c>
      <c r="L5" s="30">
        <v>0</v>
      </c>
      <c r="M5" s="30" t="s">
        <v>4337</v>
      </c>
      <c r="N5" s="30"/>
    </row>
    <row r="6" spans="1:14">
      <c r="A6"/>
      <c r="B6" s="19" t="s">
        <v>5430</v>
      </c>
      <c r="C6" s="19" t="s">
        <v>5419</v>
      </c>
      <c r="D6" s="19">
        <v>7</v>
      </c>
      <c r="E6" s="17" t="s">
        <v>5420</v>
      </c>
      <c r="F6" s="19" t="s">
        <v>5421</v>
      </c>
      <c r="H6" t="s">
        <v>4343</v>
      </c>
      <c r="I6" t="s">
        <v>4344</v>
      </c>
      <c r="J6" t="s">
        <v>4345</v>
      </c>
      <c r="K6" t="s">
        <v>4346</v>
      </c>
      <c r="L6">
        <v>0</v>
      </c>
      <c r="N6" t="s">
        <v>4347</v>
      </c>
    </row>
    <row r="7" spans="1:14">
      <c r="A7"/>
      <c r="B7" s="19" t="s">
        <v>5431</v>
      </c>
      <c r="C7" s="19" t="s">
        <v>5423</v>
      </c>
      <c r="D7" s="19">
        <v>5</v>
      </c>
      <c r="E7" s="17" t="s">
        <v>5424</v>
      </c>
      <c r="F7" s="19" t="s">
        <v>5425</v>
      </c>
    </row>
    <row r="8" spans="1:14">
      <c r="A8"/>
      <c r="B8" s="19" t="s">
        <v>5432</v>
      </c>
      <c r="C8" s="19" t="s">
        <v>5433</v>
      </c>
      <c r="D8" s="19">
        <v>5</v>
      </c>
      <c r="F8" s="19" t="s">
        <v>5434</v>
      </c>
      <c r="H8" s="19" t="s">
        <v>3053</v>
      </c>
      <c r="I8" s="19" t="s">
        <v>4357</v>
      </c>
      <c r="J8" t="s">
        <v>4358</v>
      </c>
      <c r="M8" s="19" t="s">
        <v>4359</v>
      </c>
      <c r="N8" t="s">
        <v>4360</v>
      </c>
    </row>
    <row r="9" spans="1:14">
      <c r="A9"/>
      <c r="B9" s="19" t="s">
        <v>5435</v>
      </c>
      <c r="C9" s="19" t="s">
        <v>5436</v>
      </c>
      <c r="D9" s="19">
        <v>5</v>
      </c>
      <c r="F9" s="19" t="s">
        <v>5437</v>
      </c>
      <c r="H9" s="19" t="s">
        <v>3243</v>
      </c>
      <c r="I9" s="19" t="s">
        <v>4314</v>
      </c>
      <c r="J9" t="s">
        <v>4364</v>
      </c>
      <c r="M9" s="19" t="s">
        <v>4365</v>
      </c>
      <c r="N9" t="s">
        <v>4360</v>
      </c>
    </row>
    <row r="10" spans="1:14">
      <c r="A10"/>
      <c r="H10" s="19" t="s">
        <v>3247</v>
      </c>
      <c r="I10" s="19" t="s">
        <v>4370</v>
      </c>
      <c r="J10" t="s">
        <v>4371</v>
      </c>
      <c r="M10" s="19" t="s">
        <v>4372</v>
      </c>
      <c r="N10" t="s">
        <v>4360</v>
      </c>
    </row>
    <row r="11" spans="1:14">
      <c r="A11"/>
      <c r="B11" s="19"/>
      <c r="C11" s="32" t="s">
        <v>5438</v>
      </c>
      <c r="H11" s="19" t="s">
        <v>4376</v>
      </c>
      <c r="I11" s="19" t="s">
        <v>4321</v>
      </c>
      <c r="J11" s="19" t="s">
        <v>4369</v>
      </c>
      <c r="M11" s="19" t="s">
        <v>4377</v>
      </c>
      <c r="N11" t="s">
        <v>4378</v>
      </c>
    </row>
    <row r="12" spans="1:14">
      <c r="A12"/>
      <c r="B12" s="19" t="s">
        <v>5439</v>
      </c>
      <c r="C12" s="19" t="s">
        <v>5428</v>
      </c>
      <c r="D12" s="19">
        <v>10</v>
      </c>
      <c r="F12" s="19" t="s">
        <v>5440</v>
      </c>
      <c r="H12" t="s">
        <v>4382</v>
      </c>
      <c r="I12" t="s">
        <v>4357</v>
      </c>
      <c r="J12" t="s">
        <v>4383</v>
      </c>
      <c r="M12" t="s">
        <v>4384</v>
      </c>
      <c r="N12" t="s">
        <v>3025</v>
      </c>
    </row>
    <row r="13" spans="1:14">
      <c r="A13"/>
    </row>
    <row r="14" spans="1:14">
      <c r="A14"/>
      <c r="C14" s="32" t="s">
        <v>5441</v>
      </c>
    </row>
    <row r="15" spans="1:14">
      <c r="A15"/>
      <c r="B15" t="s">
        <v>5442</v>
      </c>
      <c r="C15" s="19" t="s">
        <v>5443</v>
      </c>
      <c r="D15" s="19">
        <v>1</v>
      </c>
    </row>
    <row r="16" spans="1:14">
      <c r="A16"/>
    </row>
    <row r="17" spans="1:1">
      <c r="A17"/>
    </row>
    <row r="18" spans="1:1">
      <c r="A18"/>
    </row>
  </sheetData>
  <phoneticPr fontId="2" type="noConversion"/>
  <hyperlinks>
    <hyperlink ref="E6" location="Bytes!A2" display="0x21 struct" xr:uid="{9C81CDB7-CE20-41A2-AAC1-FB564EE752BB}"/>
    <hyperlink ref="E7" location="Bytes!A3" display="0x22 struct" xr:uid="{F8D63E2E-3091-4983-91D9-0184BFB5A5E6}"/>
    <hyperlink ref="E1" location="Bytes!A2" display="0x21 struct" xr:uid="{2A65F6CE-9F5C-49B5-995C-9C069B855292}"/>
    <hyperlink ref="E2" location="Bytes!A3" display="0x22 struct" xr:uid="{F35C27C9-792D-474E-B44D-15687B2CFB27}"/>
  </hyperlinks>
  <pageMargins left="0.7" right="0.7" top="0.75" bottom="0.75" header="0.3" footer="0.3"/>
  <pageSetup paperSize="9"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B606D-AE5F-4E2D-AE3F-FD5474021FB3}">
  <sheetPr codeName="Blad10"/>
  <dimension ref="A1:F22"/>
  <sheetViews>
    <sheetView zoomScale="110" zoomScaleNormal="110" workbookViewId="0">
      <selection activeCell="B22" sqref="A22:B22"/>
    </sheetView>
  </sheetViews>
  <sheetFormatPr defaultRowHeight="15"/>
  <cols>
    <col min="1" max="1" width="8.140625" bestFit="1" customWidth="1"/>
    <col min="2" max="2" width="21.85546875" bestFit="1" customWidth="1"/>
    <col min="3" max="3" width="9.7109375" bestFit="1" customWidth="1"/>
    <col min="4" max="4" width="26.28515625" style="47" bestFit="1" customWidth="1"/>
    <col min="5" max="5" width="9.140625" customWidth="1"/>
  </cols>
  <sheetData>
    <row r="1" spans="1:4">
      <c r="A1" s="42" t="s">
        <v>5444</v>
      </c>
      <c r="B1" s="42" t="s">
        <v>5445</v>
      </c>
      <c r="C1" s="42" t="s">
        <v>5446</v>
      </c>
      <c r="D1" s="46" t="s">
        <v>5447</v>
      </c>
    </row>
    <row r="2" spans="1:4">
      <c r="A2" t="s">
        <v>5448</v>
      </c>
      <c r="B2" t="s">
        <v>5449</v>
      </c>
      <c r="C2" t="s">
        <v>5450</v>
      </c>
      <c r="D2" s="47" t="str">
        <f>_xlfn.XLOOKUP(C2,'BLE Sensors'!$A:$A,'BLE Sensors'!$B:$B)</f>
        <v>BME280</v>
      </c>
    </row>
    <row r="3" spans="1:4">
      <c r="A3" t="s">
        <v>5451</v>
      </c>
      <c r="B3" t="s">
        <v>5452</v>
      </c>
      <c r="C3" t="s">
        <v>5453</v>
      </c>
      <c r="D3" s="47" t="str">
        <f>_xlfn.XLOOKUP(C3,'BLE Sensors'!$A:$A,'BLE Sensors'!$B:$B)</f>
        <v>BME680</v>
      </c>
    </row>
    <row r="4" spans="1:4">
      <c r="A4" t="s">
        <v>5454</v>
      </c>
      <c r="B4" t="s">
        <v>4210</v>
      </c>
      <c r="C4" t="s">
        <v>5451</v>
      </c>
      <c r="D4" s="47" t="str">
        <f>_xlfn.XLOOKUP(C4,'BLE Sensors'!$A:$A,'BLE Sensors'!$B:$B)</f>
        <v>Accelerometer</v>
      </c>
    </row>
    <row r="5" spans="1:4">
      <c r="C5" t="s">
        <v>5455</v>
      </c>
      <c r="D5" s="47" t="str">
        <f>_xlfn.XLOOKUP(C5,'BLE Sensors'!$A:$A,'BLE Sensors'!$B:$B)</f>
        <v>HALL analog sensor</v>
      </c>
    </row>
    <row r="6" spans="1:4">
      <c r="A6" t="s">
        <v>5450</v>
      </c>
      <c r="B6" t="s">
        <v>5456</v>
      </c>
      <c r="C6" t="s">
        <v>5451</v>
      </c>
      <c r="D6" s="47" t="str">
        <f>_xlfn.XLOOKUP(C6,'BLE Sensors'!$A:$A,'BLE Sensors'!$B:$B)</f>
        <v>Accelerometer</v>
      </c>
    </row>
    <row r="7" spans="1:4">
      <c r="C7" t="s">
        <v>5454</v>
      </c>
      <c r="D7" s="47" t="str">
        <f>_xlfn.XLOOKUP(C7,'BLE Sensors'!$A:$A,'BLE Sensors'!$B:$B)</f>
        <v>HALL sensor</v>
      </c>
    </row>
    <row r="8" spans="1:4">
      <c r="C8" t="s">
        <v>5457</v>
      </c>
      <c r="D8" s="47" t="str">
        <f>_xlfn.XLOOKUP(C8,'BLE Sensors'!$A:$A,'BLE Sensors'!$B:$B)</f>
        <v>PIR sensor</v>
      </c>
    </row>
    <row r="9" spans="1:4">
      <c r="A9" t="s">
        <v>5453</v>
      </c>
      <c r="B9" t="s">
        <v>5458</v>
      </c>
      <c r="C9" t="s">
        <v>5459</v>
      </c>
      <c r="D9" s="47" t="str">
        <f>_xlfn.XLOOKUP(C9,'BLE Sensors'!$A:$A,'BLE Sensors'!$B:$B)</f>
        <v>Wire break sensor</v>
      </c>
    </row>
    <row r="10" spans="1:4">
      <c r="C10" t="s">
        <v>5460</v>
      </c>
      <c r="D10" s="47" t="str">
        <f>_xlfn.XLOOKUP(C10,'BLE Sensors'!$A:$A,'BLE Sensors'!$B:$B)</f>
        <v>Voltage sensor</v>
      </c>
    </row>
    <row r="11" spans="1:4">
      <c r="A11" t="s">
        <v>5457</v>
      </c>
      <c r="B11" t="s">
        <v>55</v>
      </c>
      <c r="C11" t="s">
        <v>5451</v>
      </c>
      <c r="D11" s="47" t="str">
        <f>_xlfn.XLOOKUP(C11,'BLE Sensors'!$A:$A,'BLE Sensors'!$B:$B)</f>
        <v>Accelerometer</v>
      </c>
    </row>
    <row r="12" spans="1:4">
      <c r="C12" t="s">
        <v>5454</v>
      </c>
      <c r="D12" s="47" t="str">
        <f>_xlfn.XLOOKUP(C12,'BLE Sensors'!$A:$A,'BLE Sensors'!$B:$B)</f>
        <v>HALL sensor</v>
      </c>
    </row>
    <row r="13" spans="1:4">
      <c r="C13" t="s">
        <v>5450</v>
      </c>
      <c r="D13" s="47" t="str">
        <f>_xlfn.XLOOKUP(C13,'BLE Sensors'!$A:$A,'BLE Sensors'!$B:$B)</f>
        <v>BME280</v>
      </c>
    </row>
    <row r="14" spans="1:4">
      <c r="C14" t="s">
        <v>5453</v>
      </c>
      <c r="D14" s="47" t="str">
        <f>_xlfn.XLOOKUP(C14,'BLE Sensors'!$A:$A,'BLE Sensors'!$B:$B)</f>
        <v>BME680</v>
      </c>
    </row>
    <row r="15" spans="1:4">
      <c r="C15" t="s">
        <v>5457</v>
      </c>
      <c r="D15" s="47" t="str">
        <f>_xlfn.XLOOKUP(C15,'BLE Sensors'!$A:$A,'BLE Sensors'!$B:$B)</f>
        <v>PIR sensor</v>
      </c>
    </row>
    <row r="16" spans="1:4">
      <c r="C16" t="s">
        <v>5459</v>
      </c>
      <c r="D16" s="47" t="str">
        <f>_xlfn.XLOOKUP(C16,'BLE Sensors'!$A:$A,'BLE Sensors'!$B:$B)</f>
        <v>Wire break sensor</v>
      </c>
    </row>
    <row r="17" spans="1:6">
      <c r="C17" t="s">
        <v>5460</v>
      </c>
      <c r="D17" s="47" t="str">
        <f>_xlfn.XLOOKUP(C17,'BLE Sensors'!$A:$A,'BLE Sensors'!$B:$B)</f>
        <v>Voltage sensor</v>
      </c>
    </row>
    <row r="18" spans="1:6">
      <c r="A18" t="s">
        <v>5459</v>
      </c>
      <c r="B18" t="s">
        <v>5461</v>
      </c>
      <c r="C18" t="s">
        <v>5462</v>
      </c>
      <c r="D18" s="47" t="str">
        <f>_xlfn.XLOOKUP(C18,'BLE Sensors'!$A:$A,'BLE Sensors'!$B:$B)</f>
        <v>Differential pressure sensor</v>
      </c>
      <c r="F18" t="s">
        <v>4307</v>
      </c>
    </row>
    <row r="19" spans="1:6">
      <c r="A19" t="s">
        <v>5460</v>
      </c>
      <c r="B19" t="s">
        <v>5463</v>
      </c>
      <c r="C19" t="s">
        <v>5451</v>
      </c>
      <c r="D19" s="47" t="str">
        <f>_xlfn.XLOOKUP(C19,'BLE Sensors'!$A:$A,'BLE Sensors'!$B:$B)</f>
        <v>Accelerometer</v>
      </c>
    </row>
    <row r="20" spans="1:6">
      <c r="C20" t="s">
        <v>5455</v>
      </c>
      <c r="D20" s="47" t="str">
        <f>_xlfn.XLOOKUP(C20,'BLE Sensors'!$A:$A,'BLE Sensors'!$B:$B)</f>
        <v>HALL analog sensor</v>
      </c>
    </row>
    <row r="21" spans="1:6">
      <c r="C21" t="s">
        <v>5450</v>
      </c>
      <c r="D21" s="47" t="str">
        <f>_xlfn.XLOOKUP(C21,'BLE Sensors'!$A:$A,'BLE Sensors'!$B:$B)</f>
        <v>BME280</v>
      </c>
    </row>
    <row r="22" spans="1:6">
      <c r="A22" t="s">
        <v>5462</v>
      </c>
      <c r="B22" t="s">
        <v>5731</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98954-0CDF-4DFF-B16F-7F0663922199}">
  <sheetPr codeName="Blad11"/>
  <dimension ref="A1:J172"/>
  <sheetViews>
    <sheetView topLeftCell="A7" zoomScale="110" zoomScaleNormal="110" workbookViewId="0">
      <selection activeCell="D33" sqref="D33"/>
    </sheetView>
  </sheetViews>
  <sheetFormatPr defaultRowHeight="15"/>
  <cols>
    <col min="1" max="1" width="9.28515625" bestFit="1" customWidth="1"/>
    <col min="2" max="2" width="26.28515625" bestFit="1" customWidth="1"/>
    <col min="3" max="3" width="12.5703125" bestFit="1" customWidth="1"/>
    <col min="4" max="4" width="38.28515625" bestFit="1" customWidth="1"/>
    <col min="5" max="5" width="10.140625" bestFit="1" customWidth="1"/>
    <col min="6" max="6" width="13.85546875" hidden="1" customWidth="1"/>
    <col min="7" max="7" width="11.5703125" bestFit="1" customWidth="1"/>
    <col min="8" max="8" width="65.85546875" customWidth="1"/>
    <col min="9" max="9" width="49.85546875" bestFit="1" customWidth="1"/>
    <col min="10" max="10" width="13.5703125" customWidth="1"/>
    <col min="11" max="11" width="8.28515625" bestFit="1" customWidth="1"/>
  </cols>
  <sheetData>
    <row r="1" spans="1:10">
      <c r="A1" s="42" t="s">
        <v>5464</v>
      </c>
      <c r="B1" s="42" t="s">
        <v>5465</v>
      </c>
      <c r="C1" s="42" t="s">
        <v>5466</v>
      </c>
      <c r="D1" s="42" t="s">
        <v>8</v>
      </c>
      <c r="E1" s="42" t="s">
        <v>2704</v>
      </c>
      <c r="F1" s="42" t="s">
        <v>5467</v>
      </c>
      <c r="G1" s="42" t="s">
        <v>5468</v>
      </c>
      <c r="H1" s="42" t="s">
        <v>5324</v>
      </c>
      <c r="I1" s="42" t="s">
        <v>17</v>
      </c>
    </row>
    <row r="2" spans="1:10">
      <c r="A2" s="20" t="s">
        <v>5448</v>
      </c>
      <c r="B2" s="20" t="s">
        <v>5469</v>
      </c>
      <c r="C2" s="53" t="s">
        <v>5451</v>
      </c>
      <c r="D2" s="1" t="s">
        <v>2894</v>
      </c>
      <c r="E2" s="48" t="s">
        <v>4314</v>
      </c>
      <c r="F2" s="2"/>
      <c r="I2" s="19" t="s">
        <v>5470</v>
      </c>
      <c r="J2" s="49" t="s">
        <v>116</v>
      </c>
    </row>
    <row r="3" spans="1:10">
      <c r="C3" s="45" t="s">
        <v>5454</v>
      </c>
      <c r="D3" s="2" t="s">
        <v>2897</v>
      </c>
      <c r="E3" s="48" t="s">
        <v>4304</v>
      </c>
      <c r="F3" s="2"/>
      <c r="G3">
        <v>5</v>
      </c>
      <c r="H3" s="11" t="s">
        <v>2896</v>
      </c>
      <c r="J3" s="54" t="s">
        <v>25</v>
      </c>
    </row>
    <row r="4" spans="1:10">
      <c r="C4" s="45" t="s">
        <v>5450</v>
      </c>
      <c r="D4" s="2" t="s">
        <v>2900</v>
      </c>
      <c r="E4" s="48" t="s">
        <v>4304</v>
      </c>
      <c r="F4" s="2"/>
      <c r="H4" s="11" t="s">
        <v>2899</v>
      </c>
    </row>
    <row r="5" spans="1:10">
      <c r="C5" s="45" t="s">
        <v>5453</v>
      </c>
      <c r="D5" s="2" t="s">
        <v>2904</v>
      </c>
      <c r="E5" s="2" t="s">
        <v>4335</v>
      </c>
      <c r="F5" s="2"/>
      <c r="H5" s="2" t="s">
        <v>5471</v>
      </c>
      <c r="I5" t="s">
        <v>5472</v>
      </c>
    </row>
    <row r="6" spans="1:10">
      <c r="C6" s="45" t="s">
        <v>5457</v>
      </c>
      <c r="D6" s="2" t="s">
        <v>2836</v>
      </c>
      <c r="E6" s="2" t="s">
        <v>38</v>
      </c>
      <c r="H6" t="s">
        <v>5473</v>
      </c>
    </row>
    <row r="7" spans="1:10">
      <c r="C7" s="45" t="s">
        <v>5459</v>
      </c>
      <c r="D7" s="2" t="s">
        <v>2910</v>
      </c>
      <c r="E7" s="2" t="s">
        <v>163</v>
      </c>
      <c r="F7" s="2"/>
    </row>
    <row r="8" spans="1:10">
      <c r="C8" s="45" t="s">
        <v>5460</v>
      </c>
      <c r="D8" s="2" t="s">
        <v>2914</v>
      </c>
      <c r="E8" s="2" t="s">
        <v>4314</v>
      </c>
      <c r="F8" s="2"/>
      <c r="G8" s="33" t="s">
        <v>5474</v>
      </c>
      <c r="H8" t="s">
        <v>5475</v>
      </c>
    </row>
    <row r="9" spans="1:10">
      <c r="C9" s="45" t="s">
        <v>5462</v>
      </c>
      <c r="D9" s="2" t="s">
        <v>2918</v>
      </c>
      <c r="E9" s="2" t="s">
        <v>4314</v>
      </c>
      <c r="F9" s="2"/>
      <c r="G9" s="33" t="s">
        <v>5474</v>
      </c>
      <c r="H9" t="s">
        <v>5475</v>
      </c>
    </row>
    <row r="10" spans="1:10">
      <c r="C10" s="45" t="s">
        <v>5455</v>
      </c>
      <c r="D10" s="2" t="s">
        <v>2922</v>
      </c>
      <c r="E10" s="2" t="s">
        <v>4314</v>
      </c>
      <c r="F10" s="2"/>
    </row>
    <row r="11" spans="1:10">
      <c r="C11" s="45" t="s">
        <v>5476</v>
      </c>
      <c r="D11" s="2" t="s">
        <v>2926</v>
      </c>
      <c r="E11" s="2" t="s">
        <v>4304</v>
      </c>
      <c r="F11" s="2"/>
      <c r="G11">
        <v>5</v>
      </c>
      <c r="H11" s="19" t="s">
        <v>5477</v>
      </c>
    </row>
    <row r="12" spans="1:10">
      <c r="C12" s="45" t="s">
        <v>5478</v>
      </c>
      <c r="D12" s="2" t="s">
        <v>2930</v>
      </c>
      <c r="E12" s="2" t="s">
        <v>4335</v>
      </c>
      <c r="F12" s="2"/>
      <c r="H12" s="19"/>
      <c r="I12" s="2" t="s">
        <v>5479</v>
      </c>
    </row>
    <row r="13" spans="1:10">
      <c r="C13" s="45" t="s">
        <v>5480</v>
      </c>
      <c r="D13" s="2" t="s">
        <v>5481</v>
      </c>
      <c r="E13" s="2" t="s">
        <v>4335</v>
      </c>
      <c r="F13" s="2"/>
      <c r="H13" s="19"/>
      <c r="I13" t="s">
        <v>5482</v>
      </c>
    </row>
    <row r="14" spans="1:10">
      <c r="C14" s="45" t="s">
        <v>5483</v>
      </c>
      <c r="D14" s="2" t="s">
        <v>2938</v>
      </c>
      <c r="E14" s="48" t="s">
        <v>4304</v>
      </c>
      <c r="F14" s="2"/>
      <c r="H14" s="19"/>
    </row>
    <row r="15" spans="1:10">
      <c r="C15" s="45" t="s">
        <v>5484</v>
      </c>
      <c r="D15" s="2" t="s">
        <v>2942</v>
      </c>
      <c r="E15" s="48" t="s">
        <v>4304</v>
      </c>
      <c r="F15" s="2"/>
      <c r="H15" s="19"/>
    </row>
    <row r="16" spans="1:10">
      <c r="C16" s="45" t="s">
        <v>5485</v>
      </c>
      <c r="D16" s="2" t="s">
        <v>2946</v>
      </c>
      <c r="E16" s="2" t="s">
        <v>163</v>
      </c>
      <c r="F16" s="2"/>
      <c r="H16" s="19"/>
    </row>
    <row r="17" spans="3:8">
      <c r="C17" s="45" t="s">
        <v>5486</v>
      </c>
      <c r="D17" s="2" t="s">
        <v>2950</v>
      </c>
      <c r="E17" s="2" t="s">
        <v>4389</v>
      </c>
      <c r="F17" s="2"/>
      <c r="G17" s="33"/>
    </row>
    <row r="18" spans="3:8">
      <c r="C18" s="45" t="s">
        <v>5487</v>
      </c>
      <c r="D18" s="2" t="s">
        <v>2954</v>
      </c>
      <c r="E18" s="2" t="s">
        <v>4389</v>
      </c>
      <c r="F18" s="2"/>
      <c r="G18" s="33"/>
    </row>
    <row r="19" spans="3:8">
      <c r="C19" s="45" t="s">
        <v>5488</v>
      </c>
      <c r="D19" s="2" t="s">
        <v>2958</v>
      </c>
      <c r="E19" s="2" t="s">
        <v>4335</v>
      </c>
      <c r="F19" s="2"/>
      <c r="H19" s="19" t="s">
        <v>5489</v>
      </c>
    </row>
    <row r="20" spans="3:8">
      <c r="C20" s="45" t="s">
        <v>5490</v>
      </c>
      <c r="D20" s="2" t="s">
        <v>2962</v>
      </c>
      <c r="E20" s="2" t="s">
        <v>4389</v>
      </c>
      <c r="F20" s="2"/>
      <c r="H20" s="19"/>
    </row>
    <row r="21" spans="3:8">
      <c r="C21" s="45" t="s">
        <v>5491</v>
      </c>
      <c r="D21" s="2" t="s">
        <v>2966</v>
      </c>
      <c r="E21" s="59" t="s">
        <v>4304</v>
      </c>
      <c r="F21" s="2"/>
      <c r="H21" s="19"/>
    </row>
    <row r="22" spans="3:8">
      <c r="C22" s="45" t="s">
        <v>5492</v>
      </c>
      <c r="D22" s="2" t="s">
        <v>2970</v>
      </c>
      <c r="E22" s="2" t="s">
        <v>4389</v>
      </c>
      <c r="F22" s="2"/>
      <c r="H22" s="19"/>
    </row>
    <row r="23" spans="3:8">
      <c r="C23" s="45" t="s">
        <v>5493</v>
      </c>
      <c r="D23" s="2" t="s">
        <v>5494</v>
      </c>
      <c r="E23" s="59" t="s">
        <v>4304</v>
      </c>
      <c r="F23" s="2"/>
      <c r="H23" s="19"/>
    </row>
    <row r="24" spans="3:8">
      <c r="C24" s="45" t="s">
        <v>5495</v>
      </c>
      <c r="D24" t="s">
        <v>1207</v>
      </c>
      <c r="E24" t="s">
        <v>38</v>
      </c>
    </row>
    <row r="25" spans="3:8">
      <c r="C25" s="45" t="s">
        <v>5496</v>
      </c>
      <c r="D25" t="s">
        <v>2981</v>
      </c>
      <c r="E25" t="s">
        <v>38</v>
      </c>
    </row>
    <row r="26" spans="3:8">
      <c r="C26" s="45" t="s">
        <v>5497</v>
      </c>
      <c r="D26" t="s">
        <v>2985</v>
      </c>
      <c r="E26" t="s">
        <v>38</v>
      </c>
    </row>
    <row r="27" spans="3:8">
      <c r="C27" s="45" t="s">
        <v>5498</v>
      </c>
      <c r="D27" t="s">
        <v>2989</v>
      </c>
      <c r="E27" t="s">
        <v>38</v>
      </c>
    </row>
    <row r="28" spans="3:8">
      <c r="C28" s="45" t="s">
        <v>5499</v>
      </c>
      <c r="D28" t="s">
        <v>2992</v>
      </c>
      <c r="E28" t="s">
        <v>38</v>
      </c>
    </row>
    <row r="29" spans="3:8">
      <c r="C29" s="45" t="s">
        <v>5500</v>
      </c>
      <c r="D29" t="s">
        <v>885</v>
      </c>
      <c r="E29" t="s">
        <v>38</v>
      </c>
    </row>
    <row r="30" spans="3:8">
      <c r="C30" s="45" t="s">
        <v>5501</v>
      </c>
      <c r="D30" t="s">
        <v>2998</v>
      </c>
      <c r="E30" t="s">
        <v>38</v>
      </c>
    </row>
    <row r="31" spans="3:8">
      <c r="C31" s="45" t="s">
        <v>5502</v>
      </c>
      <c r="D31" t="s">
        <v>3002</v>
      </c>
      <c r="E31" t="s">
        <v>38</v>
      </c>
    </row>
    <row r="32" spans="3:8">
      <c r="C32" s="45" t="s">
        <v>5503</v>
      </c>
      <c r="D32" t="s">
        <v>3006</v>
      </c>
      <c r="E32" t="s">
        <v>38</v>
      </c>
    </row>
    <row r="33" spans="1:10">
      <c r="C33" s="45" t="s">
        <v>5504</v>
      </c>
      <c r="D33" t="s">
        <v>3010</v>
      </c>
      <c r="E33" t="s">
        <v>38</v>
      </c>
    </row>
    <row r="34" spans="1:10">
      <c r="C34" s="45" t="s">
        <v>5418</v>
      </c>
      <c r="D34" t="s">
        <v>3014</v>
      </c>
      <c r="E34" t="s">
        <v>38</v>
      </c>
    </row>
    <row r="35" spans="1:10">
      <c r="C35" s="45" t="s">
        <v>5422</v>
      </c>
      <c r="D35" t="s">
        <v>3018</v>
      </c>
      <c r="E35" t="s">
        <v>38</v>
      </c>
    </row>
    <row r="36" spans="1:10">
      <c r="C36" s="45" t="s">
        <v>5505</v>
      </c>
      <c r="D36" t="s">
        <v>250</v>
      </c>
      <c r="E36" t="s">
        <v>4380</v>
      </c>
    </row>
    <row r="37" spans="1:10">
      <c r="C37" s="45" t="s">
        <v>5562</v>
      </c>
      <c r="D37" t="s">
        <v>8876</v>
      </c>
      <c r="E37" t="s">
        <v>4304</v>
      </c>
      <c r="H37" t="s">
        <v>8879</v>
      </c>
    </row>
    <row r="38" spans="1:10">
      <c r="A38" s="20" t="s">
        <v>5451</v>
      </c>
      <c r="B38" s="20" t="s">
        <v>3025</v>
      </c>
      <c r="C38" s="53" t="s">
        <v>5451</v>
      </c>
      <c r="D38" s="20" t="s">
        <v>852</v>
      </c>
      <c r="E38" s="2" t="s">
        <v>4395</v>
      </c>
      <c r="H38" t="s">
        <v>5506</v>
      </c>
      <c r="I38" t="s">
        <v>5507</v>
      </c>
    </row>
    <row r="39" spans="1:10">
      <c r="A39" s="20"/>
      <c r="B39" s="20"/>
      <c r="C39" s="45" t="s">
        <v>5454</v>
      </c>
      <c r="D39" t="s">
        <v>2910</v>
      </c>
      <c r="E39" s="2" t="s">
        <v>163</v>
      </c>
      <c r="H39" t="s">
        <v>5508</v>
      </c>
    </row>
    <row r="40" spans="1:10">
      <c r="A40" s="20"/>
      <c r="B40" s="20"/>
      <c r="C40" s="45" t="s">
        <v>5450</v>
      </c>
      <c r="D40" s="2" t="s">
        <v>5509</v>
      </c>
      <c r="E40" s="2" t="s">
        <v>4374</v>
      </c>
      <c r="H40" t="s">
        <v>5510</v>
      </c>
      <c r="J40" t="s">
        <v>5509</v>
      </c>
    </row>
    <row r="41" spans="1:10">
      <c r="A41" s="20"/>
      <c r="B41" s="20"/>
      <c r="C41" s="45" t="s">
        <v>5453</v>
      </c>
      <c r="D41" s="2" t="s">
        <v>5511</v>
      </c>
      <c r="E41" s="2" t="s">
        <v>4374</v>
      </c>
      <c r="H41" t="s">
        <v>5512</v>
      </c>
      <c r="J41" t="s">
        <v>5511</v>
      </c>
    </row>
    <row r="42" spans="1:10">
      <c r="A42" s="20"/>
      <c r="B42" s="20"/>
      <c r="C42" s="45" t="s">
        <v>5457</v>
      </c>
      <c r="D42" s="2" t="s">
        <v>5513</v>
      </c>
      <c r="E42" s="2" t="s">
        <v>4374</v>
      </c>
      <c r="H42" t="s">
        <v>5514</v>
      </c>
      <c r="J42" t="s">
        <v>5513</v>
      </c>
    </row>
    <row r="43" spans="1:10">
      <c r="A43" s="20"/>
      <c r="B43" s="20"/>
      <c r="C43" s="45" t="s">
        <v>5459</v>
      </c>
      <c r="D43" s="2" t="s">
        <v>5515</v>
      </c>
      <c r="E43" s="2" t="s">
        <v>4392</v>
      </c>
      <c r="H43" t="s">
        <v>5516</v>
      </c>
      <c r="J43" t="s">
        <v>5515</v>
      </c>
    </row>
    <row r="44" spans="1:10">
      <c r="A44" s="20"/>
      <c r="B44" s="20"/>
      <c r="C44" s="45" t="s">
        <v>5460</v>
      </c>
      <c r="D44" s="2" t="s">
        <v>5517</v>
      </c>
      <c r="E44" s="2" t="s">
        <v>4392</v>
      </c>
      <c r="H44" t="s">
        <v>5518</v>
      </c>
      <c r="J44" t="s">
        <v>5517</v>
      </c>
    </row>
    <row r="45" spans="1:10">
      <c r="A45" s="20"/>
      <c r="B45" s="20"/>
      <c r="C45" s="45" t="s">
        <v>5462</v>
      </c>
      <c r="D45" s="2" t="s">
        <v>5519</v>
      </c>
      <c r="E45" s="5" t="s">
        <v>4352</v>
      </c>
      <c r="H45" t="s">
        <v>661</v>
      </c>
      <c r="J45" t="s">
        <v>5519</v>
      </c>
    </row>
    <row r="46" spans="1:10">
      <c r="A46" s="20"/>
      <c r="B46" s="20"/>
      <c r="C46" s="45" t="s">
        <v>5455</v>
      </c>
      <c r="D46" s="2" t="s">
        <v>5520</v>
      </c>
      <c r="E46" s="48" t="s">
        <v>4304</v>
      </c>
      <c r="H46" t="s">
        <v>5521</v>
      </c>
      <c r="J46" t="s">
        <v>5520</v>
      </c>
    </row>
    <row r="47" spans="1:10">
      <c r="A47" s="20"/>
      <c r="B47" s="20"/>
      <c r="C47" s="45" t="s">
        <v>5476</v>
      </c>
      <c r="D47" s="2" t="s">
        <v>5522</v>
      </c>
      <c r="E47" s="48" t="s">
        <v>4304</v>
      </c>
      <c r="H47" s="11" t="s">
        <v>3060</v>
      </c>
      <c r="J47" t="s">
        <v>5522</v>
      </c>
    </row>
    <row r="48" spans="1:10">
      <c r="A48" s="20"/>
      <c r="B48" s="20"/>
      <c r="C48" s="45" t="s">
        <v>5478</v>
      </c>
      <c r="D48" s="2" t="s">
        <v>5523</v>
      </c>
      <c r="E48" s="59" t="s">
        <v>4304</v>
      </c>
      <c r="H48" t="s">
        <v>5524</v>
      </c>
      <c r="J48" t="s">
        <v>5523</v>
      </c>
    </row>
    <row r="49" spans="1:10">
      <c r="A49" s="20"/>
      <c r="B49" s="20"/>
      <c r="C49" s="45" t="s">
        <v>5480</v>
      </c>
      <c r="D49" s="2" t="s">
        <v>5525</v>
      </c>
      <c r="E49" s="54" t="s">
        <v>4304</v>
      </c>
      <c r="H49" t="s">
        <v>5526</v>
      </c>
      <c r="J49" t="s">
        <v>5525</v>
      </c>
    </row>
    <row r="50" spans="1:10">
      <c r="A50" s="20"/>
      <c r="B50" s="20"/>
      <c r="C50" s="45" t="s">
        <v>5483</v>
      </c>
      <c r="D50" s="2" t="s">
        <v>5527</v>
      </c>
      <c r="E50" s="59" t="s">
        <v>4304</v>
      </c>
      <c r="H50" t="s">
        <v>5528</v>
      </c>
      <c r="J50" t="s">
        <v>5527</v>
      </c>
    </row>
    <row r="51" spans="1:10">
      <c r="A51" s="20"/>
      <c r="B51" s="20"/>
      <c r="C51" s="45" t="s">
        <v>5484</v>
      </c>
      <c r="D51" s="2" t="s">
        <v>5529</v>
      </c>
      <c r="E51" s="54" t="s">
        <v>4304</v>
      </c>
      <c r="H51" t="s">
        <v>5530</v>
      </c>
      <c r="J51" t="s">
        <v>5529</v>
      </c>
    </row>
    <row r="52" spans="1:10">
      <c r="A52" s="20"/>
      <c r="B52" s="20"/>
      <c r="C52" s="45" t="s">
        <v>5485</v>
      </c>
      <c r="D52" s="2" t="s">
        <v>5531</v>
      </c>
      <c r="E52" s="59" t="s">
        <v>4304</v>
      </c>
      <c r="H52" t="s">
        <v>5532</v>
      </c>
      <c r="J52" t="s">
        <v>5531</v>
      </c>
    </row>
    <row r="53" spans="1:10">
      <c r="A53" s="20"/>
      <c r="B53" s="20"/>
      <c r="C53" s="45" t="s">
        <v>5486</v>
      </c>
      <c r="D53" s="2" t="s">
        <v>5533</v>
      </c>
      <c r="E53" t="s">
        <v>4386</v>
      </c>
      <c r="H53" t="s">
        <v>5534</v>
      </c>
      <c r="J53" t="s">
        <v>5533</v>
      </c>
    </row>
    <row r="54" spans="1:10">
      <c r="A54" s="20"/>
      <c r="B54" s="20"/>
      <c r="C54" s="45" t="s">
        <v>5487</v>
      </c>
      <c r="D54" s="2" t="s">
        <v>5535</v>
      </c>
      <c r="E54" s="59" t="s">
        <v>4304</v>
      </c>
      <c r="H54" t="s">
        <v>5536</v>
      </c>
      <c r="J54" t="s">
        <v>5535</v>
      </c>
    </row>
    <row r="55" spans="1:10">
      <c r="A55" s="20"/>
      <c r="B55" s="20"/>
      <c r="C55" s="45" t="s">
        <v>5488</v>
      </c>
      <c r="D55" s="2" t="s">
        <v>5537</v>
      </c>
      <c r="E55" s="54" t="s">
        <v>4304</v>
      </c>
      <c r="H55" t="s">
        <v>5538</v>
      </c>
      <c r="J55" t="s">
        <v>5537</v>
      </c>
    </row>
    <row r="56" spans="1:10">
      <c r="A56" s="20"/>
      <c r="B56" s="20"/>
      <c r="C56" s="45" t="s">
        <v>5490</v>
      </c>
      <c r="D56" s="2" t="s">
        <v>5539</v>
      </c>
      <c r="E56" s="59" t="s">
        <v>4304</v>
      </c>
      <c r="H56" t="s">
        <v>5540</v>
      </c>
      <c r="J56" t="s">
        <v>5539</v>
      </c>
    </row>
    <row r="57" spans="1:10">
      <c r="A57" s="20"/>
      <c r="B57" s="20"/>
      <c r="C57" s="45" t="s">
        <v>5491</v>
      </c>
      <c r="D57" s="2" t="s">
        <v>5541</v>
      </c>
      <c r="E57" s="59" t="s">
        <v>4304</v>
      </c>
      <c r="H57" t="s">
        <v>5542</v>
      </c>
      <c r="J57" t="s">
        <v>5541</v>
      </c>
    </row>
    <row r="58" spans="1:10">
      <c r="A58" s="20"/>
      <c r="B58" s="20"/>
      <c r="C58" s="45" t="s">
        <v>5492</v>
      </c>
      <c r="D58" s="2" t="s">
        <v>5543</v>
      </c>
      <c r="E58" s="54" t="s">
        <v>4304</v>
      </c>
      <c r="H58" t="s">
        <v>5544</v>
      </c>
      <c r="J58" t="s">
        <v>5543</v>
      </c>
    </row>
    <row r="59" spans="1:10">
      <c r="A59" s="20"/>
      <c r="B59" s="20"/>
      <c r="C59" s="45" t="s">
        <v>5493</v>
      </c>
      <c r="D59" s="2" t="s">
        <v>5545</v>
      </c>
      <c r="E59" s="48" t="s">
        <v>4304</v>
      </c>
      <c r="H59" s="11" t="s">
        <v>3108</v>
      </c>
      <c r="J59" t="s">
        <v>5545</v>
      </c>
    </row>
    <row r="60" spans="1:10">
      <c r="A60" s="20"/>
      <c r="B60" s="20"/>
      <c r="C60" s="45" t="s">
        <v>5495</v>
      </c>
      <c r="D60" s="2" t="s">
        <v>5546</v>
      </c>
      <c r="E60" s="48" t="s">
        <v>4304</v>
      </c>
      <c r="H60" s="31" t="s">
        <v>3112</v>
      </c>
      <c r="J60" t="s">
        <v>5546</v>
      </c>
    </row>
    <row r="61" spans="1:10">
      <c r="A61" s="20"/>
      <c r="B61" s="20"/>
      <c r="C61" s="45" t="s">
        <v>5496</v>
      </c>
      <c r="D61" s="2" t="s">
        <v>5547</v>
      </c>
      <c r="E61" s="48" t="s">
        <v>4304</v>
      </c>
      <c r="H61" s="11" t="s">
        <v>3116</v>
      </c>
      <c r="J61" t="s">
        <v>5547</v>
      </c>
    </row>
    <row r="62" spans="1:10">
      <c r="A62" s="20"/>
      <c r="B62" s="20"/>
      <c r="C62" s="45" t="s">
        <v>5497</v>
      </c>
      <c r="D62" s="2" t="s">
        <v>5548</v>
      </c>
      <c r="E62" s="48" t="s">
        <v>4304</v>
      </c>
      <c r="H62" s="11" t="s">
        <v>3120</v>
      </c>
      <c r="J62" t="s">
        <v>5548</v>
      </c>
    </row>
    <row r="63" spans="1:10">
      <c r="A63" s="20"/>
      <c r="B63" s="20"/>
      <c r="C63" s="45" t="s">
        <v>5498</v>
      </c>
      <c r="D63" s="2" t="s">
        <v>5549</v>
      </c>
      <c r="E63" s="48" t="s">
        <v>4304</v>
      </c>
      <c r="H63" s="11" t="s">
        <v>3124</v>
      </c>
      <c r="J63" t="s">
        <v>5549</v>
      </c>
    </row>
    <row r="64" spans="1:10">
      <c r="A64" s="20"/>
      <c r="B64" s="20"/>
      <c r="C64" s="45" t="s">
        <v>5499</v>
      </c>
      <c r="D64" s="2" t="s">
        <v>5550</v>
      </c>
      <c r="E64" s="48" t="s">
        <v>4304</v>
      </c>
      <c r="H64" s="11" t="s">
        <v>3128</v>
      </c>
      <c r="J64" t="s">
        <v>5550</v>
      </c>
    </row>
    <row r="65" spans="1:10">
      <c r="A65" s="20"/>
      <c r="B65" s="20"/>
      <c r="C65" s="45" t="s">
        <v>5500</v>
      </c>
      <c r="D65" s="2" t="s">
        <v>5551</v>
      </c>
      <c r="E65" s="2" t="s">
        <v>4304</v>
      </c>
      <c r="H65" t="s">
        <v>5552</v>
      </c>
      <c r="J65" t="s">
        <v>5551</v>
      </c>
    </row>
    <row r="66" spans="1:10">
      <c r="A66" s="20"/>
      <c r="B66" s="20"/>
      <c r="C66" s="45" t="s">
        <v>5501</v>
      </c>
      <c r="D66" s="2" t="s">
        <v>5553</v>
      </c>
      <c r="E66" s="2" t="s">
        <v>4304</v>
      </c>
      <c r="H66" t="s">
        <v>5554</v>
      </c>
      <c r="J66" t="s">
        <v>5553</v>
      </c>
    </row>
    <row r="67" spans="1:10">
      <c r="A67" s="20"/>
      <c r="B67" s="20"/>
      <c r="C67" s="45" t="s">
        <v>5502</v>
      </c>
      <c r="D67" s="2" t="s">
        <v>5555</v>
      </c>
      <c r="E67" s="2" t="s">
        <v>4304</v>
      </c>
      <c r="H67" t="s">
        <v>5556</v>
      </c>
      <c r="J67" t="s">
        <v>5555</v>
      </c>
    </row>
    <row r="68" spans="1:10">
      <c r="A68" s="20"/>
      <c r="B68" s="20"/>
      <c r="C68" s="45" t="s">
        <v>5503</v>
      </c>
      <c r="D68" s="2" t="s">
        <v>5557</v>
      </c>
      <c r="E68" s="48" t="s">
        <v>4304</v>
      </c>
      <c r="H68" s="11" t="s">
        <v>3144</v>
      </c>
      <c r="J68" t="s">
        <v>5557</v>
      </c>
    </row>
    <row r="69" spans="1:10">
      <c r="A69" s="20"/>
      <c r="B69" s="20"/>
      <c r="C69" s="45" t="s">
        <v>5504</v>
      </c>
      <c r="D69" s="2" t="s">
        <v>5558</v>
      </c>
      <c r="E69" s="48" t="s">
        <v>4304</v>
      </c>
      <c r="H69" s="11" t="s">
        <v>3148</v>
      </c>
      <c r="J69" t="s">
        <v>5558</v>
      </c>
    </row>
    <row r="70" spans="1:10">
      <c r="A70" s="20"/>
      <c r="B70" s="20"/>
      <c r="C70" s="45" t="s">
        <v>5418</v>
      </c>
      <c r="D70" s="2" t="s">
        <v>5559</v>
      </c>
      <c r="E70" s="48" t="s">
        <v>4304</v>
      </c>
      <c r="H70" s="11" t="s">
        <v>3152</v>
      </c>
      <c r="J70" t="s">
        <v>5559</v>
      </c>
    </row>
    <row r="71" spans="1:10">
      <c r="A71" s="20"/>
      <c r="B71" s="20"/>
      <c r="C71" s="45" t="s">
        <v>5422</v>
      </c>
      <c r="D71" s="2" t="s">
        <v>5560</v>
      </c>
      <c r="E71" s="2" t="s">
        <v>4304</v>
      </c>
      <c r="J71" t="s">
        <v>5560</v>
      </c>
    </row>
    <row r="72" spans="1:10">
      <c r="A72" s="20"/>
      <c r="B72" s="20"/>
      <c r="C72" s="45" t="s">
        <v>5505</v>
      </c>
      <c r="D72" s="2" t="s">
        <v>5561</v>
      </c>
      <c r="E72" s="2" t="s">
        <v>4304</v>
      </c>
      <c r="J72" t="s">
        <v>5561</v>
      </c>
    </row>
    <row r="73" spans="1:10">
      <c r="A73" s="20"/>
      <c r="B73" s="20"/>
      <c r="C73" s="45" t="s">
        <v>5562</v>
      </c>
      <c r="D73" s="2" t="s">
        <v>5563</v>
      </c>
      <c r="E73" s="2" t="s">
        <v>4304</v>
      </c>
      <c r="J73" t="s">
        <v>5563</v>
      </c>
    </row>
    <row r="74" spans="1:10">
      <c r="A74" s="20"/>
      <c r="B74" s="20"/>
      <c r="C74" s="45" t="s">
        <v>5564</v>
      </c>
      <c r="D74" s="2" t="s">
        <v>5565</v>
      </c>
      <c r="E74" s="2" t="s">
        <v>4304</v>
      </c>
      <c r="H74" s="38" t="s">
        <v>5566</v>
      </c>
      <c r="J74" t="s">
        <v>5565</v>
      </c>
    </row>
    <row r="75" spans="1:10">
      <c r="A75" s="20"/>
      <c r="B75" s="20"/>
      <c r="C75" s="45" t="s">
        <v>5567</v>
      </c>
      <c r="D75" s="2" t="s">
        <v>5568</v>
      </c>
      <c r="E75" s="2" t="s">
        <v>4304</v>
      </c>
      <c r="H75" s="38" t="s">
        <v>5569</v>
      </c>
      <c r="J75" t="s">
        <v>5568</v>
      </c>
    </row>
    <row r="76" spans="1:10">
      <c r="A76" s="20"/>
      <c r="B76" s="20"/>
      <c r="C76" s="45" t="s">
        <v>5570</v>
      </c>
      <c r="D76" s="2" t="s">
        <v>5571</v>
      </c>
      <c r="E76" s="2" t="s">
        <v>4304</v>
      </c>
      <c r="H76" t="s">
        <v>5572</v>
      </c>
      <c r="J76" t="s">
        <v>5571</v>
      </c>
    </row>
    <row r="77" spans="1:10">
      <c r="A77" s="20"/>
      <c r="B77" s="20"/>
      <c r="C77" s="45" t="s">
        <v>5573</v>
      </c>
      <c r="D77" s="2" t="s">
        <v>5574</v>
      </c>
      <c r="E77" s="48" t="s">
        <v>4304</v>
      </c>
      <c r="H77" s="11" t="s">
        <v>3179</v>
      </c>
      <c r="J77" t="s">
        <v>5574</v>
      </c>
    </row>
    <row r="78" spans="1:10">
      <c r="A78" s="20"/>
      <c r="B78" s="20"/>
      <c r="C78" s="45" t="s">
        <v>5575</v>
      </c>
      <c r="D78" s="2" t="s">
        <v>5576</v>
      </c>
      <c r="E78" s="48" t="s">
        <v>4304</v>
      </c>
      <c r="H78" s="8" t="s">
        <v>3183</v>
      </c>
      <c r="J78" t="s">
        <v>5576</v>
      </c>
    </row>
    <row r="79" spans="1:10">
      <c r="A79" s="20"/>
      <c r="B79" s="20"/>
      <c r="C79" s="45" t="s">
        <v>5577</v>
      </c>
      <c r="D79" s="2" t="s">
        <v>5578</v>
      </c>
      <c r="E79" s="48" t="s">
        <v>4304</v>
      </c>
      <c r="H79" s="8" t="s">
        <v>3183</v>
      </c>
      <c r="J79" t="s">
        <v>5578</v>
      </c>
    </row>
    <row r="80" spans="1:10">
      <c r="A80" s="20"/>
      <c r="B80" s="20"/>
      <c r="C80" s="45" t="s">
        <v>5579</v>
      </c>
      <c r="D80" s="2" t="s">
        <v>5580</v>
      </c>
      <c r="E80" s="48" t="s">
        <v>4304</v>
      </c>
      <c r="H80" s="8" t="s">
        <v>3183</v>
      </c>
      <c r="J80" t="s">
        <v>5580</v>
      </c>
    </row>
    <row r="81" spans="1:10">
      <c r="A81" s="20"/>
      <c r="B81" s="20"/>
      <c r="C81" s="45" t="s">
        <v>5581</v>
      </c>
      <c r="D81" s="2" t="s">
        <v>5582</v>
      </c>
      <c r="E81" s="54" t="s">
        <v>4304</v>
      </c>
      <c r="H81" t="s">
        <v>5583</v>
      </c>
      <c r="J81" t="s">
        <v>5582</v>
      </c>
    </row>
    <row r="82" spans="1:10">
      <c r="A82" s="20"/>
      <c r="B82" s="20"/>
      <c r="C82" s="45" t="s">
        <v>5584</v>
      </c>
      <c r="D82" s="2" t="s">
        <v>5585</v>
      </c>
      <c r="E82" s="54" t="s">
        <v>4304</v>
      </c>
      <c r="H82" t="s">
        <v>5586</v>
      </c>
      <c r="J82" t="s">
        <v>5585</v>
      </c>
    </row>
    <row r="83" spans="1:10">
      <c r="A83" s="20"/>
      <c r="B83" s="20"/>
      <c r="C83" s="45" t="s">
        <v>5587</v>
      </c>
      <c r="D83" s="2" t="s">
        <v>5588</v>
      </c>
      <c r="E83" s="54" t="s">
        <v>4304</v>
      </c>
      <c r="H83" t="s">
        <v>5589</v>
      </c>
      <c r="J83" t="s">
        <v>5588</v>
      </c>
    </row>
    <row r="84" spans="1:10">
      <c r="A84" s="20"/>
      <c r="B84" s="20"/>
      <c r="C84" s="45" t="s">
        <v>5590</v>
      </c>
      <c r="D84" s="2" t="s">
        <v>5591</v>
      </c>
      <c r="E84" s="54" t="s">
        <v>4304</v>
      </c>
      <c r="H84" t="s">
        <v>5592</v>
      </c>
      <c r="J84" t="s">
        <v>5591</v>
      </c>
    </row>
    <row r="85" spans="1:10">
      <c r="A85" s="20"/>
      <c r="B85" s="20"/>
      <c r="C85" s="45" t="s">
        <v>5593</v>
      </c>
      <c r="D85" s="2" t="s">
        <v>5594</v>
      </c>
      <c r="E85" s="54" t="s">
        <v>4304</v>
      </c>
      <c r="H85" t="s">
        <v>5595</v>
      </c>
      <c r="J85" t="s">
        <v>5594</v>
      </c>
    </row>
    <row r="86" spans="1:10">
      <c r="A86" s="20" t="s">
        <v>5454</v>
      </c>
      <c r="B86" s="20" t="s">
        <v>3216</v>
      </c>
      <c r="C86" s="53" t="s">
        <v>5451</v>
      </c>
      <c r="D86" s="20" t="s">
        <v>852</v>
      </c>
      <c r="E86" s="2" t="s">
        <v>4395</v>
      </c>
      <c r="H86" t="s">
        <v>5596</v>
      </c>
      <c r="I86" t="s">
        <v>5507</v>
      </c>
    </row>
    <row r="87" spans="1:10">
      <c r="A87" s="20"/>
      <c r="B87" s="20"/>
      <c r="C87" s="45" t="s">
        <v>5454</v>
      </c>
      <c r="D87" t="s">
        <v>2910</v>
      </c>
      <c r="E87" s="2" t="s">
        <v>163</v>
      </c>
      <c r="H87" t="s">
        <v>5508</v>
      </c>
    </row>
    <row r="88" spans="1:10">
      <c r="A88" s="20"/>
      <c r="B88" s="20"/>
      <c r="C88" s="45" t="s">
        <v>5450</v>
      </c>
      <c r="D88" t="s">
        <v>3225</v>
      </c>
      <c r="E88" s="54" t="s">
        <v>4304</v>
      </c>
    </row>
    <row r="89" spans="1:10">
      <c r="C89" s="45" t="s">
        <v>5453</v>
      </c>
      <c r="D89" t="s">
        <v>3229</v>
      </c>
      <c r="E89" s="54" t="s">
        <v>4304</v>
      </c>
    </row>
    <row r="90" spans="1:10">
      <c r="A90" s="20" t="s">
        <v>5450</v>
      </c>
      <c r="B90" s="20" t="s">
        <v>3233</v>
      </c>
      <c r="C90" s="53" t="s">
        <v>5451</v>
      </c>
      <c r="D90" s="20" t="s">
        <v>852</v>
      </c>
      <c r="E90" s="2" t="s">
        <v>4395</v>
      </c>
      <c r="H90" t="s">
        <v>5597</v>
      </c>
      <c r="I90" t="s">
        <v>5507</v>
      </c>
    </row>
    <row r="91" spans="1:10">
      <c r="A91" s="20"/>
      <c r="B91" s="20"/>
      <c r="C91" s="45" t="s">
        <v>5454</v>
      </c>
      <c r="D91" t="s">
        <v>2910</v>
      </c>
      <c r="E91" s="2" t="s">
        <v>163</v>
      </c>
      <c r="H91" t="s">
        <v>5508</v>
      </c>
    </row>
    <row r="92" spans="1:10">
      <c r="A92" s="20"/>
      <c r="B92" s="20"/>
      <c r="C92" s="45" t="s">
        <v>5450</v>
      </c>
      <c r="D92" s="2" t="s">
        <v>3053</v>
      </c>
      <c r="E92" s="5" t="s">
        <v>4352</v>
      </c>
    </row>
    <row r="93" spans="1:10">
      <c r="C93" s="45" t="s">
        <v>5453</v>
      </c>
      <c r="D93" s="2" t="s">
        <v>3243</v>
      </c>
      <c r="E93" s="5" t="s">
        <v>4355</v>
      </c>
    </row>
    <row r="94" spans="1:10">
      <c r="C94" s="45" t="s">
        <v>5457</v>
      </c>
      <c r="D94" s="2" t="s">
        <v>3247</v>
      </c>
      <c r="E94" s="5" t="s">
        <v>4362</v>
      </c>
    </row>
    <row r="95" spans="1:10">
      <c r="C95" s="45" t="s">
        <v>5459</v>
      </c>
      <c r="D95" t="s">
        <v>3081</v>
      </c>
      <c r="E95" s="54" t="s">
        <v>4304</v>
      </c>
    </row>
    <row r="96" spans="1:10">
      <c r="C96" s="45" t="s">
        <v>5460</v>
      </c>
      <c r="D96" s="2" t="s">
        <v>3253</v>
      </c>
      <c r="E96" s="54" t="s">
        <v>4304</v>
      </c>
    </row>
    <row r="97" spans="1:9">
      <c r="C97" s="45" t="s">
        <v>5462</v>
      </c>
      <c r="D97" t="s">
        <v>3257</v>
      </c>
      <c r="E97" s="54" t="s">
        <v>4304</v>
      </c>
    </row>
    <row r="98" spans="1:9">
      <c r="C98" s="45" t="s">
        <v>5455</v>
      </c>
      <c r="D98" t="s">
        <v>3262</v>
      </c>
      <c r="E98" s="2" t="s">
        <v>4304</v>
      </c>
      <c r="I98" t="s">
        <v>5598</v>
      </c>
    </row>
    <row r="99" spans="1:9">
      <c r="C99" s="45" t="s">
        <v>5476</v>
      </c>
      <c r="D99" t="s">
        <v>3266</v>
      </c>
      <c r="E99" s="2" t="s">
        <v>4304</v>
      </c>
      <c r="I99" t="s">
        <v>5598</v>
      </c>
    </row>
    <row r="100" spans="1:9">
      <c r="C100" s="45" t="s">
        <v>5478</v>
      </c>
      <c r="D100" t="s">
        <v>3270</v>
      </c>
      <c r="E100" s="2" t="s">
        <v>4304</v>
      </c>
      <c r="I100" t="s">
        <v>5598</v>
      </c>
    </row>
    <row r="101" spans="1:9">
      <c r="C101" s="45" t="s">
        <v>5480</v>
      </c>
      <c r="D101" t="s">
        <v>3085</v>
      </c>
      <c r="E101" t="s">
        <v>4386</v>
      </c>
      <c r="H101" t="s">
        <v>5534</v>
      </c>
    </row>
    <row r="102" spans="1:9">
      <c r="A102" s="20" t="s">
        <v>5453</v>
      </c>
      <c r="B102" s="20" t="s">
        <v>3276</v>
      </c>
      <c r="C102" s="53" t="s">
        <v>5451</v>
      </c>
      <c r="D102" s="20" t="s">
        <v>852</v>
      </c>
      <c r="E102" s="2" t="s">
        <v>4395</v>
      </c>
      <c r="H102" t="s">
        <v>5599</v>
      </c>
      <c r="I102" t="s">
        <v>5507</v>
      </c>
    </row>
    <row r="103" spans="1:9">
      <c r="A103" s="20"/>
      <c r="B103" s="20"/>
      <c r="C103" s="45" t="s">
        <v>5454</v>
      </c>
      <c r="D103" t="s">
        <v>2910</v>
      </c>
      <c r="E103" s="2" t="s">
        <v>163</v>
      </c>
      <c r="H103" t="s">
        <v>5508</v>
      </c>
    </row>
    <row r="104" spans="1:9">
      <c r="A104" s="20"/>
      <c r="B104" s="20"/>
      <c r="C104" s="45" t="s">
        <v>5450</v>
      </c>
      <c r="D104" t="s">
        <v>3053</v>
      </c>
      <c r="E104" s="5" t="s">
        <v>4352</v>
      </c>
    </row>
    <row r="105" spans="1:9">
      <c r="C105" s="45" t="s">
        <v>5453</v>
      </c>
      <c r="D105" t="s">
        <v>3243</v>
      </c>
      <c r="E105" s="5" t="s">
        <v>4355</v>
      </c>
    </row>
    <row r="106" spans="1:9">
      <c r="C106" s="45" t="s">
        <v>5457</v>
      </c>
      <c r="D106" t="s">
        <v>3247</v>
      </c>
      <c r="E106" s="5" t="s">
        <v>4362</v>
      </c>
    </row>
    <row r="107" spans="1:9">
      <c r="C107" s="45" t="s">
        <v>5459</v>
      </c>
      <c r="D107" t="s">
        <v>5410</v>
      </c>
      <c r="E107" s="5" t="s">
        <v>4321</v>
      </c>
    </row>
    <row r="108" spans="1:9">
      <c r="C108" s="45" t="s">
        <v>5460</v>
      </c>
      <c r="D108" t="s">
        <v>5452</v>
      </c>
      <c r="E108" s="5" t="s">
        <v>4314</v>
      </c>
      <c r="H108" t="s">
        <v>5600</v>
      </c>
      <c r="I108" t="s">
        <v>5601</v>
      </c>
    </row>
    <row r="109" spans="1:9">
      <c r="C109" s="45" t="s">
        <v>5462</v>
      </c>
      <c r="D109" t="s">
        <v>5602</v>
      </c>
      <c r="E109" s="5" t="s">
        <v>4304</v>
      </c>
      <c r="H109" t="s">
        <v>5603</v>
      </c>
      <c r="I109" t="s">
        <v>5604</v>
      </c>
    </row>
    <row r="110" spans="1:9">
      <c r="C110" s="45" t="s">
        <v>5455</v>
      </c>
      <c r="D110" t="s">
        <v>5605</v>
      </c>
      <c r="E110" s="5" t="s">
        <v>4314</v>
      </c>
      <c r="H110" t="s">
        <v>5606</v>
      </c>
    </row>
    <row r="111" spans="1:9">
      <c r="C111" s="45" t="s">
        <v>5476</v>
      </c>
      <c r="D111" t="s">
        <v>5607</v>
      </c>
      <c r="E111" s="5" t="s">
        <v>4314</v>
      </c>
      <c r="H111" t="s">
        <v>5608</v>
      </c>
    </row>
    <row r="112" spans="1:9">
      <c r="C112" s="45" t="s">
        <v>5478</v>
      </c>
      <c r="D112" t="s">
        <v>3309</v>
      </c>
      <c r="E112" s="57" t="s">
        <v>4304</v>
      </c>
    </row>
    <row r="113" spans="1:9">
      <c r="C113" s="45" t="s">
        <v>5480</v>
      </c>
      <c r="D113" t="s">
        <v>3313</v>
      </c>
      <c r="E113" s="57" t="s">
        <v>4304</v>
      </c>
    </row>
    <row r="114" spans="1:9">
      <c r="C114" s="45" t="s">
        <v>5483</v>
      </c>
      <c r="D114" t="s">
        <v>3081</v>
      </c>
      <c r="E114" s="57" t="s">
        <v>4304</v>
      </c>
    </row>
    <row r="115" spans="1:9">
      <c r="C115" s="45" t="s">
        <v>5484</v>
      </c>
      <c r="D115" t="s">
        <v>3253</v>
      </c>
      <c r="E115" s="57" t="s">
        <v>4304</v>
      </c>
    </row>
    <row r="116" spans="1:9">
      <c r="C116" s="45" t="s">
        <v>5485</v>
      </c>
      <c r="D116" t="s">
        <v>3257</v>
      </c>
      <c r="E116" s="57" t="s">
        <v>4304</v>
      </c>
    </row>
    <row r="117" spans="1:9">
      <c r="C117" s="45" t="s">
        <v>5486</v>
      </c>
      <c r="D117" t="s">
        <v>5609</v>
      </c>
      <c r="E117" s="57" t="s">
        <v>4304</v>
      </c>
    </row>
    <row r="118" spans="1:9">
      <c r="C118" s="45" t="s">
        <v>5487</v>
      </c>
      <c r="D118" t="s">
        <v>5610</v>
      </c>
      <c r="E118" s="57" t="s">
        <v>4304</v>
      </c>
    </row>
    <row r="119" spans="1:9">
      <c r="C119" s="45" t="s">
        <v>5488</v>
      </c>
      <c r="D119" t="s">
        <v>5611</v>
      </c>
      <c r="E119" s="57" t="s">
        <v>4304</v>
      </c>
    </row>
    <row r="120" spans="1:9">
      <c r="C120" s="45" t="s">
        <v>5490</v>
      </c>
      <c r="D120" t="s">
        <v>3335</v>
      </c>
      <c r="E120" s="57" t="s">
        <v>4304</v>
      </c>
    </row>
    <row r="121" spans="1:9">
      <c r="C121" s="45" t="s">
        <v>5491</v>
      </c>
      <c r="D121" t="s">
        <v>3339</v>
      </c>
      <c r="E121" s="57" t="s">
        <v>4304</v>
      </c>
    </row>
    <row r="122" spans="1:9">
      <c r="C122" s="45" t="s">
        <v>5492</v>
      </c>
      <c r="D122" t="s">
        <v>5612</v>
      </c>
      <c r="E122" s="57" t="s">
        <v>4304</v>
      </c>
    </row>
    <row r="123" spans="1:9">
      <c r="C123" s="45" t="s">
        <v>5493</v>
      </c>
      <c r="D123" t="s">
        <v>5613</v>
      </c>
      <c r="E123" s="57" t="s">
        <v>4304</v>
      </c>
    </row>
    <row r="124" spans="1:9">
      <c r="C124" s="45" t="s">
        <v>5495</v>
      </c>
      <c r="D124" t="s">
        <v>3351</v>
      </c>
      <c r="E124" s="58" t="s">
        <v>4304</v>
      </c>
      <c r="H124" s="31" t="s">
        <v>3350</v>
      </c>
    </row>
    <row r="125" spans="1:9">
      <c r="C125" s="45" t="s">
        <v>5496</v>
      </c>
      <c r="D125" t="s">
        <v>5614</v>
      </c>
      <c r="E125" s="58" t="s">
        <v>4304</v>
      </c>
      <c r="H125" s="31" t="s">
        <v>3350</v>
      </c>
    </row>
    <row r="126" spans="1:9">
      <c r="A126" s="20" t="s">
        <v>5457</v>
      </c>
      <c r="B126" s="20" t="s">
        <v>3359</v>
      </c>
      <c r="C126" s="53" t="s">
        <v>5451</v>
      </c>
      <c r="D126" s="20" t="s">
        <v>852</v>
      </c>
      <c r="E126" s="2" t="s">
        <v>4395</v>
      </c>
      <c r="H126" t="s">
        <v>5615</v>
      </c>
      <c r="I126" t="s">
        <v>5507</v>
      </c>
    </row>
    <row r="127" spans="1:9">
      <c r="A127" s="20"/>
      <c r="B127" s="20"/>
      <c r="C127" s="45" t="s">
        <v>5454</v>
      </c>
      <c r="D127" t="s">
        <v>2910</v>
      </c>
      <c r="E127" s="2" t="s">
        <v>163</v>
      </c>
      <c r="H127" t="s">
        <v>5508</v>
      </c>
    </row>
    <row r="128" spans="1:9">
      <c r="A128" s="20"/>
      <c r="B128" s="20"/>
      <c r="C128" s="45" t="s">
        <v>5450</v>
      </c>
      <c r="D128" s="2" t="s">
        <v>1062</v>
      </c>
      <c r="E128" s="48" t="s">
        <v>4304</v>
      </c>
      <c r="H128" s="31" t="s">
        <v>3060</v>
      </c>
    </row>
    <row r="129" spans="1:9">
      <c r="A129" s="20"/>
      <c r="B129" s="20"/>
      <c r="C129" s="45" t="s">
        <v>5453</v>
      </c>
      <c r="D129" s="2" t="s">
        <v>3370</v>
      </c>
      <c r="E129" s="54" t="s">
        <v>4304</v>
      </c>
    </row>
    <row r="130" spans="1:9">
      <c r="A130" s="20" t="s">
        <v>5459</v>
      </c>
      <c r="B130" s="20" t="s">
        <v>3374</v>
      </c>
      <c r="C130" s="53" t="s">
        <v>5451</v>
      </c>
      <c r="D130" s="20" t="s">
        <v>852</v>
      </c>
      <c r="E130" s="2" t="s">
        <v>4395</v>
      </c>
      <c r="H130" t="s">
        <v>5616</v>
      </c>
      <c r="I130" t="s">
        <v>5507</v>
      </c>
    </row>
    <row r="131" spans="1:9">
      <c r="A131" s="20"/>
      <c r="B131" s="20"/>
      <c r="C131" s="45" t="s">
        <v>5454</v>
      </c>
      <c r="D131" t="s">
        <v>2910</v>
      </c>
      <c r="E131" s="2" t="s">
        <v>163</v>
      </c>
      <c r="H131" t="s">
        <v>5508</v>
      </c>
    </row>
    <row r="132" spans="1:9">
      <c r="A132" s="20"/>
      <c r="B132" s="20"/>
      <c r="C132" s="45" t="s">
        <v>5450</v>
      </c>
      <c r="D132" s="2" t="s">
        <v>3382</v>
      </c>
      <c r="E132" s="2" t="s">
        <v>4304</v>
      </c>
    </row>
    <row r="133" spans="1:9">
      <c r="C133" s="45" t="s">
        <v>5453</v>
      </c>
      <c r="D133" s="2" t="s">
        <v>3386</v>
      </c>
      <c r="E133" s="2" t="s">
        <v>4304</v>
      </c>
    </row>
    <row r="134" spans="1:9">
      <c r="C134" s="45" t="s">
        <v>5457</v>
      </c>
      <c r="D134" t="s">
        <v>3225</v>
      </c>
      <c r="E134" s="54" t="s">
        <v>4304</v>
      </c>
      <c r="H134" t="s">
        <v>5617</v>
      </c>
      <c r="I134" t="s">
        <v>5618</v>
      </c>
    </row>
    <row r="135" spans="1:9">
      <c r="C135" s="45" t="s">
        <v>5459</v>
      </c>
      <c r="D135" t="s">
        <v>3392</v>
      </c>
      <c r="E135" s="5" t="s">
        <v>4380</v>
      </c>
      <c r="H135" t="s">
        <v>5619</v>
      </c>
    </row>
    <row r="136" spans="1:9">
      <c r="C136" s="45" t="s">
        <v>5460</v>
      </c>
      <c r="D136" t="s">
        <v>3229</v>
      </c>
      <c r="E136" s="54" t="s">
        <v>4304</v>
      </c>
    </row>
    <row r="137" spans="1:9">
      <c r="C137" s="45" t="s">
        <v>5462</v>
      </c>
      <c r="D137" t="s">
        <v>3398</v>
      </c>
      <c r="E137" s="54" t="s">
        <v>4304</v>
      </c>
    </row>
    <row r="138" spans="1:9">
      <c r="C138" s="45" t="s">
        <v>5455</v>
      </c>
      <c r="D138" t="s">
        <v>3085</v>
      </c>
      <c r="E138" t="s">
        <v>4386</v>
      </c>
      <c r="H138" t="s">
        <v>5534</v>
      </c>
    </row>
    <row r="139" spans="1:9">
      <c r="A139" s="20" t="s">
        <v>5460</v>
      </c>
      <c r="B139" s="20" t="s">
        <v>3404</v>
      </c>
      <c r="C139" s="53" t="s">
        <v>5451</v>
      </c>
      <c r="D139" s="20" t="s">
        <v>852</v>
      </c>
      <c r="E139" s="2" t="s">
        <v>4395</v>
      </c>
      <c r="H139" t="s">
        <v>5616</v>
      </c>
      <c r="I139" t="s">
        <v>5507</v>
      </c>
    </row>
    <row r="140" spans="1:9">
      <c r="A140" s="20"/>
      <c r="B140" s="20"/>
      <c r="C140" s="45" t="s">
        <v>5454</v>
      </c>
      <c r="D140" t="s">
        <v>2910</v>
      </c>
      <c r="E140" s="2" t="s">
        <v>163</v>
      </c>
      <c r="H140" t="s">
        <v>5508</v>
      </c>
    </row>
    <row r="141" spans="1:9">
      <c r="A141" s="20"/>
      <c r="B141" s="20"/>
      <c r="C141" s="45" t="s">
        <v>5450</v>
      </c>
      <c r="D141" s="2" t="s">
        <v>3382</v>
      </c>
      <c r="E141" s="2" t="s">
        <v>4304</v>
      </c>
      <c r="I141" t="s">
        <v>5620</v>
      </c>
    </row>
    <row r="142" spans="1:9">
      <c r="C142" s="45" t="s">
        <v>5453</v>
      </c>
      <c r="D142" s="2" t="s">
        <v>3386</v>
      </c>
      <c r="E142" s="2" t="s">
        <v>4304</v>
      </c>
    </row>
    <row r="143" spans="1:9">
      <c r="C143" s="45" t="s">
        <v>5457</v>
      </c>
      <c r="D143" s="2" t="s">
        <v>3416</v>
      </c>
      <c r="E143" s="2" t="s">
        <v>4380</v>
      </c>
      <c r="H143" t="s">
        <v>5621</v>
      </c>
    </row>
    <row r="144" spans="1:9">
      <c r="C144" s="45" t="s">
        <v>5459</v>
      </c>
      <c r="D144" s="2" t="s">
        <v>3420</v>
      </c>
      <c r="E144" t="s">
        <v>4380</v>
      </c>
      <c r="H144" t="s">
        <v>5622</v>
      </c>
    </row>
    <row r="145" spans="1:9">
      <c r="C145" s="45" t="s">
        <v>5460</v>
      </c>
      <c r="D145" s="2" t="s">
        <v>3424</v>
      </c>
      <c r="E145" t="s">
        <v>4380</v>
      </c>
      <c r="H145" t="s">
        <v>5623</v>
      </c>
    </row>
    <row r="146" spans="1:9">
      <c r="C146" s="45" t="s">
        <v>5462</v>
      </c>
      <c r="D146" s="2" t="s">
        <v>3428</v>
      </c>
      <c r="E146" s="54" t="s">
        <v>4304</v>
      </c>
      <c r="H146" t="s">
        <v>5624</v>
      </c>
    </row>
    <row r="147" spans="1:9">
      <c r="C147" s="45" t="s">
        <v>5455</v>
      </c>
      <c r="D147" s="2" t="s">
        <v>3432</v>
      </c>
      <c r="E147" s="48" t="s">
        <v>4304</v>
      </c>
      <c r="H147" s="31" t="s">
        <v>3431</v>
      </c>
    </row>
    <row r="148" spans="1:9">
      <c r="C148" s="45" t="s">
        <v>5476</v>
      </c>
      <c r="D148" s="2" t="s">
        <v>5625</v>
      </c>
      <c r="E148" s="54" t="s">
        <v>4304</v>
      </c>
    </row>
    <row r="149" spans="1:9">
      <c r="C149" s="45" t="s">
        <v>5478</v>
      </c>
      <c r="D149" s="2" t="s">
        <v>3440</v>
      </c>
      <c r="E149" s="54" t="s">
        <v>4304</v>
      </c>
    </row>
    <row r="150" spans="1:9">
      <c r="C150" s="45" t="s">
        <v>5480</v>
      </c>
      <c r="D150" s="2" t="s">
        <v>3444</v>
      </c>
      <c r="E150" s="54" t="s">
        <v>4304</v>
      </c>
    </row>
    <row r="151" spans="1:9">
      <c r="C151" s="45" t="s">
        <v>5483</v>
      </c>
      <c r="D151" s="2" t="s">
        <v>5626</v>
      </c>
      <c r="E151" s="54" t="s">
        <v>4304</v>
      </c>
    </row>
    <row r="152" spans="1:9">
      <c r="C152" s="45" t="s">
        <v>5484</v>
      </c>
      <c r="D152" t="s">
        <v>3085</v>
      </c>
      <c r="E152" t="s">
        <v>4386</v>
      </c>
      <c r="H152" t="s">
        <v>5534</v>
      </c>
    </row>
    <row r="153" spans="1:9">
      <c r="A153" s="20" t="s">
        <v>5462</v>
      </c>
      <c r="B153" s="20" t="s">
        <v>3454</v>
      </c>
      <c r="C153" s="53" t="s">
        <v>5451</v>
      </c>
      <c r="D153" s="20" t="s">
        <v>852</v>
      </c>
      <c r="E153" s="2" t="s">
        <v>4395</v>
      </c>
      <c r="H153" t="s">
        <v>5627</v>
      </c>
      <c r="I153" t="s">
        <v>5507</v>
      </c>
    </row>
    <row r="154" spans="1:9">
      <c r="A154" s="20"/>
      <c r="B154" s="20"/>
      <c r="C154" s="45" t="s">
        <v>5454</v>
      </c>
      <c r="D154" t="s">
        <v>2910</v>
      </c>
      <c r="E154" s="2" t="s">
        <v>163</v>
      </c>
      <c r="H154" t="s">
        <v>5508</v>
      </c>
    </row>
    <row r="155" spans="1:9">
      <c r="A155" s="20"/>
      <c r="B155" s="20"/>
      <c r="C155" s="45" t="s">
        <v>5450</v>
      </c>
      <c r="D155" t="s">
        <v>3463</v>
      </c>
      <c r="E155" t="s">
        <v>4362</v>
      </c>
    </row>
    <row r="156" spans="1:9">
      <c r="C156" s="45" t="s">
        <v>5453</v>
      </c>
      <c r="D156" s="2" t="s">
        <v>3053</v>
      </c>
      <c r="E156" t="s">
        <v>4352</v>
      </c>
    </row>
    <row r="157" spans="1:9">
      <c r="C157" s="45" t="s">
        <v>5457</v>
      </c>
      <c r="D157" s="2" t="s">
        <v>3469</v>
      </c>
      <c r="E157" t="s">
        <v>4321</v>
      </c>
    </row>
    <row r="158" spans="1:9">
      <c r="C158" s="45" t="s">
        <v>5459</v>
      </c>
      <c r="D158" s="2" t="s">
        <v>3473</v>
      </c>
      <c r="E158" s="54" t="s">
        <v>4304</v>
      </c>
    </row>
    <row r="159" spans="1:9">
      <c r="C159" s="45" t="s">
        <v>5460</v>
      </c>
      <c r="D159" s="2" t="s">
        <v>3081</v>
      </c>
      <c r="E159" s="54" t="s">
        <v>4304</v>
      </c>
    </row>
    <row r="160" spans="1:9">
      <c r="C160" s="45" t="s">
        <v>5462</v>
      </c>
      <c r="D160" t="s">
        <v>3085</v>
      </c>
      <c r="E160" t="s">
        <v>4386</v>
      </c>
      <c r="H160" t="s">
        <v>5534</v>
      </c>
    </row>
    <row r="161" spans="1:8">
      <c r="C161" s="45" t="s">
        <v>5455</v>
      </c>
      <c r="D161" s="2" t="s">
        <v>3482</v>
      </c>
      <c r="E161" s="48" t="s">
        <v>4304</v>
      </c>
      <c r="H161" s="31" t="s">
        <v>3481</v>
      </c>
    </row>
    <row r="162" spans="1:8">
      <c r="A162" s="20" t="s">
        <v>5455</v>
      </c>
      <c r="B162" s="20" t="s">
        <v>3486</v>
      </c>
      <c r="C162" s="53" t="s">
        <v>5451</v>
      </c>
      <c r="D162" s="20" t="s">
        <v>852</v>
      </c>
      <c r="E162" s="2" t="s">
        <v>4395</v>
      </c>
      <c r="H162" t="s">
        <v>5596</v>
      </c>
    </row>
    <row r="163" spans="1:8">
      <c r="A163" s="20"/>
      <c r="B163" s="20"/>
      <c r="C163" s="45" t="s">
        <v>5454</v>
      </c>
      <c r="D163" t="s">
        <v>2910</v>
      </c>
      <c r="E163" s="2" t="s">
        <v>163</v>
      </c>
      <c r="H163" t="s">
        <v>5508</v>
      </c>
    </row>
    <row r="164" spans="1:8">
      <c r="A164" s="20"/>
      <c r="B164" s="20"/>
      <c r="C164" s="45" t="s">
        <v>5450</v>
      </c>
      <c r="D164" t="s">
        <v>5628</v>
      </c>
      <c r="E164" t="s">
        <v>4405</v>
      </c>
    </row>
    <row r="165" spans="1:8">
      <c r="A165" s="20"/>
      <c r="B165" s="20"/>
      <c r="C165" s="45" t="s">
        <v>5453</v>
      </c>
      <c r="D165" s="2" t="s">
        <v>5629</v>
      </c>
      <c r="E165" t="s">
        <v>4405</v>
      </c>
    </row>
    <row r="166" spans="1:8">
      <c r="A166" s="20"/>
      <c r="B166" s="20"/>
      <c r="C166" s="45" t="s">
        <v>5457</v>
      </c>
      <c r="D166" s="2" t="s">
        <v>5630</v>
      </c>
      <c r="E166" t="s">
        <v>4405</v>
      </c>
    </row>
    <row r="167" spans="1:8">
      <c r="A167" s="20"/>
      <c r="B167" s="20"/>
      <c r="C167" s="45" t="s">
        <v>5459</v>
      </c>
      <c r="D167" s="2" t="s">
        <v>1062</v>
      </c>
      <c r="E167" s="49" t="s">
        <v>4304</v>
      </c>
    </row>
    <row r="168" spans="1:8">
      <c r="A168" s="20"/>
      <c r="B168" s="20"/>
      <c r="C168" s="45" t="s">
        <v>5460</v>
      </c>
      <c r="D168" s="2" t="s">
        <v>5631</v>
      </c>
      <c r="E168" s="54" t="s">
        <v>4304</v>
      </c>
    </row>
    <row r="169" spans="1:8">
      <c r="A169" s="20"/>
      <c r="B169" s="20"/>
      <c r="C169" s="45" t="s">
        <v>5462</v>
      </c>
      <c r="D169" s="2" t="s">
        <v>5632</v>
      </c>
      <c r="E169" s="54" t="s">
        <v>4304</v>
      </c>
    </row>
    <row r="170" spans="1:8">
      <c r="A170" s="20"/>
      <c r="B170" s="20"/>
      <c r="C170" s="45" t="s">
        <v>5455</v>
      </c>
      <c r="D170" s="2" t="s">
        <v>5633</v>
      </c>
      <c r="E170" s="54" t="s">
        <v>4304</v>
      </c>
    </row>
    <row r="171" spans="1:8">
      <c r="A171" s="20"/>
      <c r="B171" s="20"/>
      <c r="C171" s="45" t="s">
        <v>5476</v>
      </c>
      <c r="D171" s="2" t="s">
        <v>3370</v>
      </c>
      <c r="E171" s="54" t="s">
        <v>4304</v>
      </c>
    </row>
    <row r="172" spans="1:8">
      <c r="A172" s="20"/>
      <c r="C172" s="45" t="s">
        <v>5478</v>
      </c>
      <c r="D172" t="s">
        <v>3085</v>
      </c>
      <c r="E172" t="s">
        <v>4386</v>
      </c>
    </row>
  </sheetData>
  <phoneticPr fontId="2" type="noConversion"/>
  <hyperlinks>
    <hyperlink ref="H3" location="snode0type" display="snode0type" xr:uid="{7DF112D2-2826-4DCC-8075-9E4CFD2C946D}"/>
    <hyperlink ref="H4" location="sdev0mdl" display="sdev0mdl" xr:uid="{EC5659DC-C09A-42D2-93EE-C6F73A9B5E3D}"/>
    <hyperlink ref="H59" location="saccm0datarate" display="saccm0datarate" xr:uid="{C39A92D5-4C6D-43B6-8A22-22B698AB826A}"/>
    <hyperlink ref="H47" location="saccm0event" display="saccm0event" xr:uid="{93948D98-2A28-49C7-9DDC-1703D1DBA93E}"/>
    <hyperlink ref="H60" location="saccm0powerm" display="saccm0powerm" xr:uid="{7224DC51-2491-43D4-8E60-D24C4A0A41F3}"/>
    <hyperlink ref="H61" location="saccm0bw" display="saccm0bw" xr:uid="{9569EF00-3499-4EDA-B108-F57C2E1FFEBC}"/>
    <hyperlink ref="H62" location="saccm0fullscale" display="saccm0fullscale" xr:uid="{33005A70-D896-4660-917E-2E2CECBA519D}"/>
    <hyperlink ref="H63" location="saccm0filtpath" display="saccm0filtpath" xr:uid="{AF661F1E-278E-4246-9B38-20BBD6447626}"/>
    <hyperlink ref="H64" location="saccm0tiltt" display="saccm0tiltt" xr:uid="{AC3DC6CA-377B-47E4-9537-0179B1327ECB}"/>
    <hyperlink ref="H68" location="saccm0tapdir" display="saccm0tapdir" xr:uid="{13DA2D23-D2A4-4D76-9E85-0167EB67AE53}"/>
    <hyperlink ref="H69" location="saccm0tapp" display="saccm0tapp" xr:uid="{17D230BF-5B4E-485F-8D87-75EC8AC645BF}"/>
    <hyperlink ref="H70" location="saccm0fallthresh" display="saccm0fallthresh" xr:uid="{3FCE6154-D0F5-4080-BFD3-59ED86FC3077}"/>
    <hyperlink ref="H77" location="saccm0tapmode" display="saccm0tapmode" xr:uid="{D4082DEF-EEF0-4BB0-BF25-AB793703E3C1}"/>
    <hyperlink ref="H78" location="saccm0taprecogx" display="saccm0taprecogx" xr:uid="{DD98A4F6-FDED-4278-9968-CD7212431BA0}"/>
    <hyperlink ref="H79" location="saccm0taprecogx" display="saccm0taprecogx" xr:uid="{07431B25-38AA-4AC4-BD16-9C8FE2B063EF}"/>
    <hyperlink ref="H80" location="saccm0taprecogx" display="saccm0taprecogx" xr:uid="{12DAA03E-A12B-450D-82B6-7284A93EFA16}"/>
    <hyperlink ref="H128" location="saccm0event" display="saccm0event" xr:uid="{1559B46E-AA2A-45FF-A551-D93B6908C992}"/>
    <hyperlink ref="H161" location="sv0mc" display="sv0mc" xr:uid="{45E71689-467D-4990-A493-65F2E9126956}"/>
    <hyperlink ref="H124" location="sbmeb0samprate" display="sbmeb0samprate" xr:uid="{BDFF749E-7589-4915-B373-7B1A6737080A}"/>
    <hyperlink ref="H125" location="sbmeb0samprate" display="sbmeb0samprate" xr:uid="{0B66A70B-E9DA-4F30-A24D-E06433F99857}"/>
    <hyperlink ref="H147" location="sv0psts" display="sv0psts" xr:uid="{65435A05-91B6-446F-A2A1-FCE11A343F0B}"/>
  </hyperlinks>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F0204-ED54-4CE2-B806-1BCF01618C31}">
  <sheetPr codeName="Blad3"/>
  <dimension ref="A1:K3"/>
  <sheetViews>
    <sheetView workbookViewId="0">
      <selection activeCell="B2" sqref="B2"/>
    </sheetView>
  </sheetViews>
  <sheetFormatPr defaultColWidth="8.85546875" defaultRowHeight="15"/>
  <cols>
    <col min="1" max="1" width="13.28515625" customWidth="1"/>
    <col min="2" max="2" width="11.85546875" customWidth="1"/>
    <col min="3" max="3" width="20.28515625" customWidth="1"/>
    <col min="4" max="4" width="16.42578125" customWidth="1"/>
    <col min="5" max="5" width="17.42578125" customWidth="1"/>
    <col min="6" max="6" width="18.28515625" customWidth="1"/>
    <col min="7" max="7" width="13.28515625" customWidth="1"/>
    <col min="8" max="8" width="13" customWidth="1"/>
  </cols>
  <sheetData>
    <row r="1" spans="1:11">
      <c r="A1" t="s">
        <v>5634</v>
      </c>
      <c r="B1" t="s">
        <v>5635</v>
      </c>
      <c r="C1" t="s">
        <v>5636</v>
      </c>
      <c r="D1" t="s">
        <v>5637</v>
      </c>
      <c r="E1" t="s">
        <v>5638</v>
      </c>
      <c r="F1" t="s">
        <v>5639</v>
      </c>
      <c r="G1" t="s">
        <v>5640</v>
      </c>
      <c r="H1" t="s">
        <v>5641</v>
      </c>
      <c r="I1" t="s">
        <v>5642</v>
      </c>
      <c r="J1" t="s">
        <v>5643</v>
      </c>
      <c r="K1" t="s">
        <v>5644</v>
      </c>
    </row>
    <row r="2" spans="1:11">
      <c r="A2" t="s">
        <v>5418</v>
      </c>
      <c r="B2" s="31" t="s">
        <v>4129</v>
      </c>
      <c r="C2" s="31" t="s">
        <v>5645</v>
      </c>
      <c r="D2" s="31" t="s">
        <v>5646</v>
      </c>
      <c r="E2" s="31" t="s">
        <v>5647</v>
      </c>
      <c r="F2" t="s">
        <v>5648</v>
      </c>
      <c r="G2" t="s">
        <v>5649</v>
      </c>
      <c r="H2" t="s">
        <v>5650</v>
      </c>
    </row>
    <row r="3" spans="1:11">
      <c r="A3" t="s">
        <v>5422</v>
      </c>
      <c r="B3" s="31" t="s">
        <v>5651</v>
      </c>
      <c r="C3" s="31" t="s">
        <v>5652</v>
      </c>
      <c r="D3" t="s">
        <v>5653</v>
      </c>
      <c r="E3" t="s">
        <v>5654</v>
      </c>
      <c r="F3" t="s">
        <v>5655</v>
      </c>
    </row>
  </sheetData>
  <hyperlinks>
    <hyperlink ref="B2" location="Types!H2" display="Voltage" xr:uid="{FB8C3548-1279-4220-80BE-4E4D204A38AB}"/>
    <hyperlink ref="B3" location="Types!H7" display="X accel" xr:uid="{E5C02B9D-D73D-4371-875C-C64D54875B82}"/>
    <hyperlink ref="C3" location="Types!H7" display="Y accel" xr:uid="{AD8024CC-D61E-4425-9B3A-7352EBD37DC8}"/>
    <hyperlink ref="C2" location="Types!H3" display="Temperature&amp;button" xr:uid="{FBA36CDC-856C-4FEA-A7B6-A547E9659074}"/>
    <hyperlink ref="D2" location="Types!H5" display="Level&amp;quality[0]" xr:uid="{B636185C-5A25-45A4-B74C-ADF059368B59}"/>
    <hyperlink ref="E2" location="Types!H5" display="Level&amp;quality[1]" xr:uid="{87887A66-1F58-4853-8F63-8B61ED6F480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EF204-AA8A-4A10-BED7-1FC8528E1B09}">
  <sheetPr codeName="Blad9"/>
  <dimension ref="A1:H70"/>
  <sheetViews>
    <sheetView topLeftCell="A41" zoomScaleNormal="100" workbookViewId="0">
      <selection activeCell="B55" sqref="B55"/>
    </sheetView>
  </sheetViews>
  <sheetFormatPr defaultRowHeight="15"/>
  <cols>
    <col min="1" max="1" width="15.85546875" bestFit="1" customWidth="1"/>
    <col min="2" max="2" width="18.140625" customWidth="1"/>
    <col min="3" max="3" width="124.28515625" customWidth="1"/>
    <col min="4" max="4" width="49.28515625" bestFit="1" customWidth="1"/>
  </cols>
  <sheetData>
    <row r="1" spans="1:8">
      <c r="A1" s="42" t="s">
        <v>5656</v>
      </c>
      <c r="B1" s="42" t="s">
        <v>5657</v>
      </c>
      <c r="C1" s="42" t="s">
        <v>5324</v>
      </c>
      <c r="D1" s="42" t="s">
        <v>17</v>
      </c>
    </row>
    <row r="2" spans="1:8">
      <c r="A2" s="2" t="s">
        <v>0</v>
      </c>
      <c r="B2" s="21">
        <v>0</v>
      </c>
      <c r="C2" t="s">
        <v>5658</v>
      </c>
      <c r="D2" s="52" t="s">
        <v>5659</v>
      </c>
    </row>
    <row r="3" spans="1:8">
      <c r="A3" s="2" t="s">
        <v>1</v>
      </c>
      <c r="B3" s="2" t="s">
        <v>18</v>
      </c>
      <c r="C3" t="s">
        <v>5660</v>
      </c>
    </row>
    <row r="4" spans="1:8">
      <c r="A4" s="2" t="s">
        <v>2</v>
      </c>
      <c r="B4" s="21">
        <v>0</v>
      </c>
      <c r="C4" t="s">
        <v>5661</v>
      </c>
      <c r="D4" s="52" t="s">
        <v>5659</v>
      </c>
    </row>
    <row r="5" spans="1:8">
      <c r="A5" s="2" t="s">
        <v>3</v>
      </c>
      <c r="B5" s="2" t="s">
        <v>19</v>
      </c>
      <c r="C5" t="s">
        <v>5662</v>
      </c>
    </row>
    <row r="6" spans="1:8">
      <c r="A6" s="2" t="s">
        <v>4</v>
      </c>
      <c r="B6" s="14">
        <v>0</v>
      </c>
      <c r="C6" t="s">
        <v>5663</v>
      </c>
      <c r="D6" s="52" t="s">
        <v>5664</v>
      </c>
    </row>
    <row r="7" spans="1:8">
      <c r="A7" s="2" t="s">
        <v>5</v>
      </c>
      <c r="B7" s="21">
        <v>0</v>
      </c>
      <c r="C7" t="s">
        <v>5665</v>
      </c>
      <c r="D7" s="52" t="s">
        <v>5659</v>
      </c>
    </row>
    <row r="8" spans="1:8">
      <c r="A8" s="2" t="s">
        <v>6</v>
      </c>
      <c r="B8" s="2" t="s">
        <v>20</v>
      </c>
      <c r="C8" t="s">
        <v>5666</v>
      </c>
    </row>
    <row r="9" spans="1:8">
      <c r="A9" s="22" t="s">
        <v>7</v>
      </c>
      <c r="B9" s="23" t="s">
        <v>21</v>
      </c>
      <c r="C9" t="s">
        <v>5667</v>
      </c>
      <c r="D9" s="52" t="s">
        <v>5659</v>
      </c>
    </row>
    <row r="10" spans="1:8">
      <c r="A10" s="2" t="s">
        <v>8</v>
      </c>
      <c r="B10" s="34" t="s">
        <v>22</v>
      </c>
      <c r="C10" t="s">
        <v>5668</v>
      </c>
      <c r="D10" s="52" t="s">
        <v>5659</v>
      </c>
      <c r="E10" s="1"/>
      <c r="F10" s="1"/>
      <c r="G10" s="1"/>
      <c r="H10" s="1"/>
    </row>
    <row r="11" spans="1:8">
      <c r="A11" s="43" t="s">
        <v>9</v>
      </c>
      <c r="B11" s="2" t="s">
        <v>23</v>
      </c>
      <c r="C11" t="s">
        <v>5669</v>
      </c>
    </row>
    <row r="12" spans="1:8">
      <c r="A12" s="43" t="s">
        <v>10</v>
      </c>
      <c r="B12" s="2" t="s">
        <v>23</v>
      </c>
      <c r="C12" t="s">
        <v>5670</v>
      </c>
    </row>
    <row r="13" spans="1:8">
      <c r="A13" s="43" t="s">
        <v>11</v>
      </c>
      <c r="B13" s="2"/>
      <c r="C13" t="s">
        <v>5671</v>
      </c>
    </row>
    <row r="14" spans="1:8">
      <c r="A14" s="44" t="s">
        <v>12</v>
      </c>
      <c r="B14" s="2" t="s">
        <v>24</v>
      </c>
      <c r="C14" t="s">
        <v>5672</v>
      </c>
    </row>
    <row r="15" spans="1:8">
      <c r="A15" s="44" t="s">
        <v>13</v>
      </c>
      <c r="B15" s="2" t="s">
        <v>25</v>
      </c>
      <c r="C15" t="s">
        <v>5673</v>
      </c>
    </row>
    <row r="16" spans="1:8">
      <c r="A16" s="44" t="s">
        <v>14</v>
      </c>
      <c r="B16" s="2" t="s">
        <v>26</v>
      </c>
      <c r="C16" t="s">
        <v>5674</v>
      </c>
    </row>
    <row r="17" spans="1:4">
      <c r="A17" s="2" t="s">
        <v>15</v>
      </c>
      <c r="B17" s="7">
        <v>1</v>
      </c>
      <c r="C17" t="s">
        <v>5675</v>
      </c>
    </row>
    <row r="18" spans="1:4">
      <c r="A18" s="2" t="s">
        <v>16</v>
      </c>
      <c r="B18" s="1" t="s">
        <v>27</v>
      </c>
      <c r="C18" t="s">
        <v>5676</v>
      </c>
    </row>
    <row r="19" spans="1:4">
      <c r="A19" s="2" t="s">
        <v>17</v>
      </c>
      <c r="B19" s="2"/>
      <c r="C19" t="s">
        <v>5677</v>
      </c>
    </row>
    <row r="20" spans="1:4">
      <c r="C20" t="s">
        <v>5678</v>
      </c>
      <c r="D20" s="52"/>
    </row>
    <row r="21" spans="1:4">
      <c r="C21" t="s">
        <v>5679</v>
      </c>
      <c r="D21" s="52" t="s">
        <v>5680</v>
      </c>
    </row>
    <row r="22" spans="1:4">
      <c r="C22" t="s">
        <v>5681</v>
      </c>
    </row>
    <row r="24" spans="1:4">
      <c r="C24" s="42" t="s">
        <v>5682</v>
      </c>
    </row>
    <row r="25" spans="1:4">
      <c r="C25" t="s">
        <v>5683</v>
      </c>
    </row>
    <row r="26" spans="1:4">
      <c r="C26" t="s">
        <v>5684</v>
      </c>
    </row>
    <row r="27" spans="1:4">
      <c r="C27" t="s">
        <v>5685</v>
      </c>
    </row>
    <row r="28" spans="1:4">
      <c r="C28" t="s">
        <v>5686</v>
      </c>
    </row>
    <row r="29" spans="1:4">
      <c r="C29" t="s">
        <v>5687</v>
      </c>
    </row>
    <row r="30" spans="1:4">
      <c r="C30" t="s">
        <v>5688</v>
      </c>
    </row>
    <row r="31" spans="1:4">
      <c r="C31" t="s">
        <v>5689</v>
      </c>
    </row>
    <row r="32" spans="1:4">
      <c r="C32" t="s">
        <v>5690</v>
      </c>
    </row>
    <row r="33" spans="2:3">
      <c r="C33" t="s">
        <v>5691</v>
      </c>
    </row>
    <row r="34" spans="2:3">
      <c r="C34" t="s">
        <v>5692</v>
      </c>
    </row>
    <row r="35" spans="2:3">
      <c r="C35" t="s">
        <v>5693</v>
      </c>
    </row>
    <row r="36" spans="2:3">
      <c r="C36" t="s">
        <v>5694</v>
      </c>
    </row>
    <row r="37" spans="2:3">
      <c r="C37" t="s">
        <v>5695</v>
      </c>
    </row>
    <row r="38" spans="2:3">
      <c r="C38" t="s">
        <v>5696</v>
      </c>
    </row>
    <row r="40" spans="2:3">
      <c r="C40" s="42" t="s">
        <v>8110</v>
      </c>
    </row>
    <row r="41" spans="2:3">
      <c r="B41" t="s">
        <v>8111</v>
      </c>
      <c r="C41" t="s">
        <v>8243</v>
      </c>
    </row>
    <row r="43" spans="2:3">
      <c r="C43" s="42" t="s">
        <v>5697</v>
      </c>
    </row>
    <row r="44" spans="2:3">
      <c r="B44" t="s">
        <v>5698</v>
      </c>
      <c r="C44" t="s">
        <v>342</v>
      </c>
    </row>
    <row r="45" spans="2:3">
      <c r="B45" t="s">
        <v>5699</v>
      </c>
      <c r="C45" t="s">
        <v>265</v>
      </c>
    </row>
    <row r="46" spans="2:3">
      <c r="B46" t="s">
        <v>5700</v>
      </c>
      <c r="C46" t="s">
        <v>260</v>
      </c>
    </row>
    <row r="47" spans="2:3">
      <c r="B47" t="s">
        <v>5701</v>
      </c>
      <c r="C47" t="s">
        <v>35</v>
      </c>
    </row>
    <row r="48" spans="2:3">
      <c r="B48" t="s">
        <v>5702</v>
      </c>
      <c r="C48" t="s">
        <v>2975</v>
      </c>
    </row>
    <row r="49" spans="2:3">
      <c r="B49" t="s">
        <v>5703</v>
      </c>
      <c r="C49" t="s">
        <v>5704</v>
      </c>
    </row>
    <row r="50" spans="2:3">
      <c r="B50" t="s">
        <v>5705</v>
      </c>
      <c r="C50" t="s">
        <v>2891</v>
      </c>
    </row>
    <row r="51" spans="2:3">
      <c r="B51" t="s">
        <v>5706</v>
      </c>
      <c r="C51" t="s">
        <v>1810</v>
      </c>
    </row>
    <row r="52" spans="2:3">
      <c r="B52" t="s">
        <v>3058</v>
      </c>
      <c r="C52" t="s">
        <v>3364</v>
      </c>
    </row>
    <row r="53" spans="2:3">
      <c r="B53" t="s">
        <v>5707</v>
      </c>
      <c r="C53" t="s">
        <v>1077</v>
      </c>
    </row>
    <row r="54" spans="2:3">
      <c r="B54" t="s">
        <v>5708</v>
      </c>
      <c r="C54" t="s">
        <v>934</v>
      </c>
    </row>
    <row r="55" spans="2:3">
      <c r="B55" t="s">
        <v>412</v>
      </c>
      <c r="C55" t="s">
        <v>2316</v>
      </c>
    </row>
    <row r="56" spans="2:3">
      <c r="B56" t="s">
        <v>5709</v>
      </c>
      <c r="C56" t="s">
        <v>5710</v>
      </c>
    </row>
    <row r="57" spans="2:3">
      <c r="B57" t="s">
        <v>485</v>
      </c>
      <c r="C57" t="s">
        <v>5711</v>
      </c>
    </row>
    <row r="58" spans="2:3">
      <c r="B58" t="s">
        <v>5712</v>
      </c>
      <c r="C58" t="s">
        <v>5713</v>
      </c>
    </row>
    <row r="59" spans="2:3">
      <c r="B59" t="s">
        <v>5714</v>
      </c>
      <c r="C59" t="s">
        <v>1881</v>
      </c>
    </row>
    <row r="60" spans="2:3">
      <c r="B60" t="s">
        <v>5715</v>
      </c>
      <c r="C60" t="s">
        <v>579</v>
      </c>
    </row>
    <row r="61" spans="2:3">
      <c r="B61" t="s">
        <v>1504</v>
      </c>
      <c r="C61" t="s">
        <v>5873</v>
      </c>
    </row>
    <row r="62" spans="2:3">
      <c r="B62" t="s">
        <v>5933</v>
      </c>
      <c r="C62" t="s">
        <v>5934</v>
      </c>
    </row>
    <row r="63" spans="2:3">
      <c r="B63" t="s">
        <v>5935</v>
      </c>
      <c r="C63" t="s">
        <v>5936</v>
      </c>
    </row>
    <row r="64" spans="2:3">
      <c r="B64" t="s">
        <v>5948</v>
      </c>
      <c r="C64" t="s">
        <v>5949</v>
      </c>
    </row>
    <row r="65" spans="2:3">
      <c r="B65" t="s">
        <v>5950</v>
      </c>
      <c r="C65" t="s">
        <v>894</v>
      </c>
    </row>
    <row r="66" spans="2:3">
      <c r="B66" t="s">
        <v>5972</v>
      </c>
      <c r="C66" t="s">
        <v>5973</v>
      </c>
    </row>
    <row r="67" spans="2:3">
      <c r="B67" t="s">
        <v>5993</v>
      </c>
      <c r="C67" t="s">
        <v>3646</v>
      </c>
    </row>
    <row r="68" spans="2:3">
      <c r="B68" t="s">
        <v>5996</v>
      </c>
      <c r="C68" t="s">
        <v>5997</v>
      </c>
    </row>
    <row r="69" spans="2:3">
      <c r="B69" t="s">
        <v>6001</v>
      </c>
      <c r="C69" t="s">
        <v>6002</v>
      </c>
    </row>
    <row r="70" spans="2:3">
      <c r="B70" t="s">
        <v>8249</v>
      </c>
      <c r="C70" t="s">
        <v>8250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number">
                <anchor moveWithCells="1" sizeWithCells="1">
                  <from>
                    <xdr:col>1</xdr:col>
                    <xdr:colOff>285750</xdr:colOff>
                    <xdr:row>19</xdr:row>
                    <xdr:rowOff>0</xdr:rowOff>
                  </from>
                  <to>
                    <xdr:col>1</xdr:col>
                    <xdr:colOff>1000125</xdr:colOff>
                    <xdr:row>20</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DDM2">
                <anchor moveWithCells="1" sizeWithCells="1">
                  <from>
                    <xdr:col>1</xdr:col>
                    <xdr:colOff>409575</xdr:colOff>
                    <xdr:row>20</xdr:row>
                    <xdr:rowOff>9525</xdr:rowOff>
                  </from>
                  <to>
                    <xdr:col>1</xdr:col>
                    <xdr:colOff>904875</xdr:colOff>
                    <xdr:row>21</xdr:row>
                    <xdr:rowOff>0</xdr:rowOff>
                  </to>
                </anchor>
              </controlPr>
            </control>
          </mc:Choice>
        </mc:AlternateContent>
        <mc:AlternateContent xmlns:mc="http://schemas.openxmlformats.org/markup-compatibility/2006">
          <mc:Choice Requires="x14">
            <control shapeId="2053" r:id="rId6" name="Button 5">
              <controlPr defaultSize="0" print="0" autoFill="0" autoPict="0" macro="[0]!Add_enum">
                <anchor moveWithCells="1" sizeWithCells="1">
                  <from>
                    <xdr:col>1</xdr:col>
                    <xdr:colOff>295275</xdr:colOff>
                    <xdr:row>21</xdr:row>
                    <xdr:rowOff>9525</xdr:rowOff>
                  </from>
                  <to>
                    <xdr:col>1</xdr:col>
                    <xdr:colOff>1000125</xdr:colOff>
                    <xdr:row>22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223EF-A49F-45B7-883E-595C8CC2F1A3}">
  <sheetPr codeName="Blad8"/>
  <dimension ref="A1:C12"/>
  <sheetViews>
    <sheetView workbookViewId="0"/>
  </sheetViews>
  <sheetFormatPr defaultRowHeight="15"/>
  <cols>
    <col min="1" max="1" width="135.42578125" customWidth="1"/>
    <col min="2" max="2" width="54.28515625" customWidth="1"/>
    <col min="3" max="3" width="61.85546875" customWidth="1"/>
    <col min="4" max="4" width="90.7109375" customWidth="1"/>
  </cols>
  <sheetData>
    <row r="1" spans="1:3" ht="180">
      <c r="A1" s="40" t="s">
        <v>9568</v>
      </c>
    </row>
    <row r="2" spans="1:3">
      <c r="A2" s="40"/>
    </row>
    <row r="3" spans="1:3" ht="90">
      <c r="A3" s="40" t="s">
        <v>5716</v>
      </c>
      <c r="C3" s="39"/>
    </row>
    <row r="4" spans="1:3" ht="409.5">
      <c r="A4" s="40" t="s">
        <v>8962</v>
      </c>
    </row>
    <row r="5" spans="1:3" ht="150">
      <c r="A5" s="40" t="s">
        <v>8961</v>
      </c>
    </row>
    <row r="6" spans="1:3" ht="75">
      <c r="A6" s="38" t="s">
        <v>6006</v>
      </c>
    </row>
    <row r="7" spans="1:3" ht="75">
      <c r="A7" s="38" t="s">
        <v>6007</v>
      </c>
    </row>
    <row r="8" spans="1:3" ht="75">
      <c r="A8" s="38" t="s">
        <v>6008</v>
      </c>
    </row>
    <row r="9" spans="1:3" ht="75">
      <c r="A9" s="40" t="s">
        <v>5717</v>
      </c>
    </row>
    <row r="10" spans="1:3">
      <c r="A10" s="38" t="s">
        <v>8976</v>
      </c>
    </row>
    <row r="11" spans="1:3">
      <c r="A11" s="38" t="s">
        <v>8977</v>
      </c>
    </row>
    <row r="12" spans="1:3" ht="30">
      <c r="A12" s="38" t="s">
        <v>9289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7d99a434-b780-4637-acc3-40baeb23e6fe">
      <UserInfo>
        <DisplayName>Andreas Lundeen</DisplayName>
        <AccountId>568</AccountId>
        <AccountType/>
      </UserInfo>
      <UserInfo>
        <DisplayName>Ulf Landberger</DisplayName>
        <AccountId>6</AccountId>
        <AccountType/>
      </UserInfo>
      <UserInfo>
        <DisplayName>Luka Zagar (EXT)</DisplayName>
        <AccountId>971</AccountId>
        <AccountType/>
      </UserInfo>
      <UserInfo>
        <DisplayName>Luka Zagar (Guest)</DisplayName>
        <AccountId>1189</AccountId>
        <AccountType/>
      </UserInfo>
      <UserInfo>
        <DisplayName>Sebastien Fortin</DisplayName>
        <AccountId>309</AccountId>
        <AccountType/>
      </UserInfo>
    </SharedWithUsers>
    <lcf76f155ced4ddcb4097134ff3c332f xmlns="fdfe3c2d-dc96-477a-b6af-b3c509c574a3">
      <Terms xmlns="http://schemas.microsoft.com/office/infopath/2007/PartnerControls"/>
    </lcf76f155ced4ddcb4097134ff3c332f>
    <TaxCatchAll xmlns="595180ff-07e2-45a6-b84e-60f52744539d" xsi:nil="true"/>
    <_Flow_SignoffStatus xmlns="fdfe3c2d-dc96-477a-b6af-b3c509c574a3" xsi:nil="true"/>
    <Date xmlns="fdfe3c2d-dc96-477a-b6af-b3c509c574a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C2FD2895650B948B7E88D6737F9CAD2" ma:contentTypeVersion="19" ma:contentTypeDescription="Create a new document." ma:contentTypeScope="" ma:versionID="6b4a869ebbb2e7fbeb7272d2cda7bfab">
  <xsd:schema xmlns:xsd="http://www.w3.org/2001/XMLSchema" xmlns:xs="http://www.w3.org/2001/XMLSchema" xmlns:p="http://schemas.microsoft.com/office/2006/metadata/properties" xmlns:ns2="fdfe3c2d-dc96-477a-b6af-b3c509c574a3" xmlns:ns3="7d99a434-b780-4637-acc3-40baeb23e6fe" xmlns:ns4="595180ff-07e2-45a6-b84e-60f52744539d" targetNamespace="http://schemas.microsoft.com/office/2006/metadata/properties" ma:root="true" ma:fieldsID="6122c775f30b32ff793056889b36468a" ns2:_="" ns3:_="" ns4:_="">
    <xsd:import namespace="fdfe3c2d-dc96-477a-b6af-b3c509c574a3"/>
    <xsd:import namespace="7d99a434-b780-4637-acc3-40baeb23e6fe"/>
    <xsd:import namespace="595180ff-07e2-45a6-b84e-60f5274453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OCR" minOccurs="0"/>
                <xsd:element ref="ns2:MediaServiceLocation" minOccurs="0"/>
                <xsd:element ref="ns2:MediaLengthInSeconds" minOccurs="0"/>
                <xsd:element ref="ns2:lcf76f155ced4ddcb4097134ff3c332f" minOccurs="0"/>
                <xsd:element ref="ns4:TaxCatchAll" minOccurs="0"/>
                <xsd:element ref="ns2:_Flow_SignoffStatus" minOccurs="0"/>
                <xsd:element ref="ns2:Dat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fe3c2d-dc96-477a-b6af-b3c509c574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0518e1da-98c2-43a5-9805-912b7989ce97"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Godkännandestatus" ma:internalName="Godk_x00e4_nnandestatus">
      <xsd:simpleType>
        <xsd:restriction base="dms:Text"/>
      </xsd:simpleType>
    </xsd:element>
    <xsd:element name="Date" ma:index="25" nillable="true" ma:displayName="Date" ma:format="DateOnly" ma:internalName="Date">
      <xsd:simpleType>
        <xsd:restriction base="dms:DateTim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d99a434-b780-4637-acc3-40baeb23e6f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95180ff-07e2-45a6-b84e-60f52744539d"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e599fcf-4a56-4f18-95f7-e6d55a32ff53}" ma:internalName="TaxCatchAll" ma:showField="CatchAllData" ma:web="7d99a434-b780-4637-acc3-40baeb23e6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6A36C1-8249-4746-BC7D-A14FBDD2BDE2}">
  <ds:schemaRefs>
    <ds:schemaRef ds:uri="http://schemas.microsoft.com/sharepoint/v3/contenttype/forms"/>
  </ds:schemaRefs>
</ds:datastoreItem>
</file>

<file path=customXml/itemProps2.xml><?xml version="1.0" encoding="utf-8"?>
<ds:datastoreItem xmlns:ds="http://schemas.openxmlformats.org/officeDocument/2006/customXml" ds:itemID="{5D4D3B59-1519-4460-8108-F713FEBD8F1B}">
  <ds:schemaRefs>
    <ds:schemaRef ds:uri="http://purl.org/dc/terms/"/>
    <ds:schemaRef ds:uri="http://purl.org/dc/elements/1.1/"/>
    <ds:schemaRef ds:uri="http://schemas.microsoft.com/office/2006/metadata/properties"/>
    <ds:schemaRef ds:uri="http://purl.org/dc/dcmitype/"/>
    <ds:schemaRef ds:uri="595180ff-07e2-45a6-b84e-60f52744539d"/>
    <ds:schemaRef ds:uri="http://www.w3.org/XML/1998/namespace"/>
    <ds:schemaRef ds:uri="http://schemas.openxmlformats.org/package/2006/metadata/core-properties"/>
    <ds:schemaRef ds:uri="http://schemas.microsoft.com/office/2006/documentManagement/types"/>
    <ds:schemaRef ds:uri="http://schemas.microsoft.com/office/infopath/2007/PartnerControls"/>
    <ds:schemaRef ds:uri="7d99a434-b780-4637-acc3-40baeb23e6fe"/>
    <ds:schemaRef ds:uri="fdfe3c2d-dc96-477a-b6af-b3c509c574a3"/>
  </ds:schemaRefs>
</ds:datastoreItem>
</file>

<file path=customXml/itemProps3.xml><?xml version="1.0" encoding="utf-8"?>
<ds:datastoreItem xmlns:ds="http://schemas.openxmlformats.org/officeDocument/2006/customXml" ds:itemID="{D3736BF7-7AED-4538-BD13-2A8EBC7019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fe3c2d-dc96-477a-b6af-b3c509c574a3"/>
    <ds:schemaRef ds:uri="7d99a434-b780-4637-acc3-40baeb23e6fe"/>
    <ds:schemaRef ds:uri="595180ff-07e2-45a6-b84e-60f5274453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D0749FE-EEC4-4674-B7EA-AA1DC0EDD1C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11</vt:i4>
      </vt:variant>
      <vt:variant>
        <vt:lpstr>Named Ranges</vt:lpstr>
      </vt:variant>
      <vt:variant>
        <vt:i4>237</vt:i4>
      </vt:variant>
    </vt:vector>
  </HeadingPairs>
  <TitlesOfParts>
    <vt:vector size="248" baseType="lpstr">
      <vt:lpstr>Parameters</vt:lpstr>
      <vt:lpstr>Types</vt:lpstr>
      <vt:lpstr>Enums</vt:lpstr>
      <vt:lpstr>Errorcodes</vt:lpstr>
      <vt:lpstr>Appliance</vt:lpstr>
      <vt:lpstr>MiniDDM Parameters</vt:lpstr>
      <vt:lpstr>BLE Sensor Nodes</vt:lpstr>
      <vt:lpstr>BLE Sensors</vt:lpstr>
      <vt:lpstr>Bytes</vt:lpstr>
      <vt:lpstr>Help</vt:lpstr>
      <vt:lpstr>Export snippets</vt:lpstr>
      <vt:lpstr>ac_ac_0_fanspeed</vt:lpstr>
      <vt:lpstr>ac_ac_0_mode</vt:lpstr>
      <vt:lpstr>ac_ac_0_model</vt:lpstr>
      <vt:lpstr>ac0actext_in</vt:lpstr>
      <vt:lpstr>ac0actext_out</vt:lpstr>
      <vt:lpstr>ac0currlim</vt:lpstr>
      <vt:lpstr>ac0feature</vt:lpstr>
      <vt:lpstr>ac0filter</vt:lpstr>
      <vt:lpstr>ac0filter_in</vt:lpstr>
      <vt:lpstr>ac0filter_out</vt:lpstr>
      <vt:lpstr>ac0flaps</vt:lpstr>
      <vt:lpstr>ac0fmd</vt:lpstr>
      <vt:lpstr>ac0hmode</vt:lpstr>
      <vt:lpstr>ac0operst</vt:lpstr>
      <vt:lpstr>ac0test</vt:lpstr>
      <vt:lpstr>ac0tmd</vt:lpstr>
      <vt:lpstr>accm0event</vt:lpstr>
      <vt:lpstr>arrayi32_t</vt:lpstr>
      <vt:lpstr>bms0flow</vt:lpstr>
      <vt:lpstr>boolarr_t</vt:lpstr>
      <vt:lpstr>bt0addwl_t</vt:lpstr>
      <vt:lpstr>bt0pair</vt:lpstr>
      <vt:lpstr>bt0pair_in</vt:lpstr>
      <vt:lpstr>bt0pair_out</vt:lpstr>
      <vt:lpstr>bt0scan_t</vt:lpstr>
      <vt:lpstr>btaddwl_t</vt:lpstr>
      <vt:lpstr>btwl0addr_t</vt:lpstr>
      <vt:lpstr>btwl0addr_type</vt:lpstr>
      <vt:lpstr>btwl0addrtp</vt:lpstr>
      <vt:lpstr>btwl0class</vt:lpstr>
      <vt:lpstr>btwl0cnct</vt:lpstr>
      <vt:lpstr>btwl0nodec</vt:lpstr>
      <vt:lpstr>btwl0nodei</vt:lpstr>
      <vt:lpstr>cbs0days</vt:lpstr>
      <vt:lpstr>cbs0smode</vt:lpstr>
      <vt:lpstr>cc0acpt</vt:lpstr>
      <vt:lpstr>cc0batprotlvl</vt:lpstr>
      <vt:lpstr>cc0pcy</vt:lpstr>
      <vt:lpstr>cc0phpos</vt:lpstr>
      <vt:lpstr>cc0powsrc</vt:lpstr>
      <vt:lpstr>cc0ppst</vt:lpstr>
      <vt:lpstr>cc0ptype</vt:lpstr>
      <vt:lpstr>cc0sts</vt:lpstr>
      <vt:lpstr>cc0tempunit</vt:lpstr>
      <vt:lpstr>cfg0ostat</vt:lpstr>
      <vt:lpstr>cz0filind</vt:lpstr>
      <vt:lpstr>cz0ftdiff</vt:lpstr>
      <vt:lpstr>cz0hmd</vt:lpstr>
      <vt:lpstr>cz0hprio</vt:lpstr>
      <vt:lpstr>cz0smode</vt:lpstr>
      <vt:lpstr>demo0mode</vt:lpstr>
      <vt:lpstr>dim0type</vt:lpstr>
      <vt:lpstr>door0status</vt:lpstr>
      <vt:lpstr>enum</vt:lpstr>
      <vt:lpstr>error_t</vt:lpstr>
      <vt:lpstr>evm0cmd</vt:lpstr>
      <vt:lpstr>evm0nack_t</vt:lpstr>
      <vt:lpstr>evm0trig_t</vt:lpstr>
      <vt:lpstr>fridge_fridge_0_mode</vt:lpstr>
      <vt:lpstr>group0active</vt:lpstr>
      <vt:lpstr>group0enable</vt:lpstr>
      <vt:lpstr>group0type</vt:lpstr>
      <vt:lpstr>groupclasses_t</vt:lpstr>
      <vt:lpstr>gw0btpair</vt:lpstr>
      <vt:lpstr>gw0btpair_in</vt:lpstr>
      <vt:lpstr>gw0btpair_out</vt:lpstr>
      <vt:lpstr>gw0cupd</vt:lpstr>
      <vt:lpstr>gw0inv_t</vt:lpstr>
      <vt:lpstr>gw0ptype</vt:lpstr>
      <vt:lpstr>gw0rrsn</vt:lpstr>
      <vt:lpstr>hd0batprot</vt:lpstr>
      <vt:lpstr>hd0ptype</vt:lpstr>
      <vt:lpstr>hd0tempcm</vt:lpstr>
      <vt:lpstr>heater_htr_0_energySel</vt:lpstr>
      <vt:lpstr>heater_htr_0_model</vt:lpstr>
      <vt:lpstr>heater_htr_0_wtrTemp</vt:lpstr>
      <vt:lpstr>hmi0event_t</vt:lpstr>
      <vt:lpstr>hmi0sound</vt:lpstr>
      <vt:lpstr>hmi0tempunit</vt:lpstr>
      <vt:lpstr>hmi0timeformat</vt:lpstr>
      <vt:lpstr>htr0el</vt:lpstr>
      <vt:lpstr>iv0aqst</vt:lpstr>
      <vt:lpstr>iv0blreq</vt:lpstr>
      <vt:lpstr>iv0errst</vt:lpstr>
      <vt:lpstr>iv0fav</vt:lpstr>
      <vt:lpstr>iv0filstat</vt:lpstr>
      <vt:lpstr>iv0ionst</vt:lpstr>
      <vt:lpstr>iv0mode</vt:lpstr>
      <vt:lpstr>iv0prst</vt:lpstr>
      <vt:lpstr>iv0pwron</vt:lpstr>
      <vt:lpstr>iv0pwrsrc</vt:lpstr>
      <vt:lpstr>iv0stgt</vt:lpstr>
      <vt:lpstr>iv0vehmd</vt:lpstr>
      <vt:lpstr>iv0warn</vt:lpstr>
      <vt:lpstr>ivpmgr0state</vt:lpstr>
      <vt:lpstr>key0door</vt:lpstr>
      <vt:lpstr>linkedclass_t</vt:lpstr>
      <vt:lpstr>lsrcfg0bindata_t</vt:lpstr>
      <vt:lpstr>macin0freqst</vt:lpstr>
      <vt:lpstr>macin0qualst</vt:lpstr>
      <vt:lpstr>macin0voltst</vt:lpstr>
      <vt:lpstr>macout0phase</vt:lpstr>
      <vt:lpstr>mbat0hmode</vt:lpstr>
      <vt:lpstr>mbat0htr</vt:lpstr>
      <vt:lpstr>mchrg0algo</vt:lpstr>
      <vt:lpstr>mchrg0force</vt:lpstr>
      <vt:lpstr>mchrg0fstatus</vt:lpstr>
      <vt:lpstr>mchrg0mode</vt:lpstr>
      <vt:lpstr>mchrg0oper</vt:lpstr>
      <vt:lpstr>mchrg0type</vt:lpstr>
      <vt:lpstr>minvert0stack</vt:lpstr>
      <vt:lpstr>mpcsvc0region</vt:lpstr>
      <vt:lpstr>mpcsvc0size</vt:lpstr>
      <vt:lpstr>mpcsvc0unit</vt:lpstr>
      <vt:lpstr>mqtt0stat</vt:lpstr>
      <vt:lpstr>mshunt0type</vt:lpstr>
      <vt:lpstr>mtr0dir</vt:lpstr>
      <vt:lpstr>ngn0trans</vt:lpstr>
      <vt:lpstr>nrx0errst</vt:lpstr>
      <vt:lpstr>nrx0level</vt:lpstr>
      <vt:lpstr>nrx0mode</vt:lpstr>
      <vt:lpstr>pir0event</vt:lpstr>
      <vt:lpstr>pmic0bhlt</vt:lpstr>
      <vt:lpstr>pmic0bstat</vt:lpstr>
      <vt:lpstr>pmic0chrgt</vt:lpstr>
      <vt:lpstr>prod0prop_t</vt:lpstr>
      <vt:lpstr>prod0reset</vt:lpstr>
      <vt:lpstr>rfan0dmclsfoff</vt:lpstr>
      <vt:lpstr>rfan0dmmode</vt:lpstr>
      <vt:lpstr>rfan0feature</vt:lpstr>
      <vt:lpstr>rfan0fm</vt:lpstr>
      <vt:lpstr>rfan0foffdmcls</vt:lpstr>
      <vt:lpstr>rfan0fspdincdec</vt:lpstr>
      <vt:lpstr>rfan0rainsns</vt:lpstr>
      <vt:lpstr>rfan0rainsnssts</vt:lpstr>
      <vt:lpstr>rfan0setpctldm</vt:lpstr>
      <vt:lpstr>rfan0sleepfmode</vt:lpstr>
      <vt:lpstr>rfan0spdmd</vt:lpstr>
      <vt:lpstr>rfan0syst</vt:lpstr>
      <vt:lpstr>rfan0winddrsw</vt:lpstr>
      <vt:lpstr>rvc2ac0compstat</vt:lpstr>
      <vt:lpstr>rvc2dcsrc0timeremtype</vt:lpstr>
      <vt:lpstr>rvc2dcsrcconn0func</vt:lpstr>
      <vt:lpstr>rvc2dim0cmd</vt:lpstr>
      <vt:lpstr>rvc2rfan0rainsns</vt:lpstr>
      <vt:lpstr>rvc2th0noise</vt:lpstr>
      <vt:lpstr>rvc2thsched0sun</vt:lpstr>
      <vt:lpstr>rvc4dcsrc0chgst</vt:lpstr>
      <vt:lpstr>rvc4dcsrc0type</vt:lpstr>
      <vt:lpstr>rvcacfour0qual</vt:lpstr>
      <vt:lpstr>rvcacfour0voltfault</vt:lpstr>
      <vt:lpstr>rvcacthree0phase</vt:lpstr>
      <vt:lpstr>rvcbattcell0tempsts</vt:lpstr>
      <vt:lpstr>rvcbattcell0voltsts</vt:lpstr>
      <vt:lpstr>rvcbattsum0tempsts</vt:lpstr>
      <vt:lpstr>rvcbattsum0voltsts</vt:lpstr>
      <vt:lpstr>rvcchrg0force</vt:lpstr>
      <vt:lpstr>rvcchrg0operst</vt:lpstr>
      <vt:lpstr>rvcchrgthree0derreas</vt:lpstr>
      <vt:lpstr>rvcdm0opst</vt:lpstr>
      <vt:lpstr>rvcfurnace0hsrc</vt:lpstr>
      <vt:lpstr>rvchtr0esrc</vt:lpstr>
      <vt:lpstr>rvchtrfault0one</vt:lpstr>
      <vt:lpstr>rvchtrst0acairst</vt:lpstr>
      <vt:lpstr>rvchtrst0acwtrst</vt:lpstr>
      <vt:lpstr>rvchtrst0gairst</vt:lpstr>
      <vt:lpstr>rvchtrst0gwtrst</vt:lpstr>
      <vt:lpstr>rvchtrst0wtemp</vt:lpstr>
      <vt:lpstr>rvcinvertac0inst</vt:lpstr>
      <vt:lpstr>rvcinvertcfgthree0stackmode</vt:lpstr>
      <vt:lpstr>rvcmgnt0ack_t</vt:lpstr>
      <vt:lpstr>rvcmgnt0download_t</vt:lpstr>
      <vt:lpstr>rvcmgnt0rawrx_t</vt:lpstr>
      <vt:lpstr>rvcmgnt0rawtx_t</vt:lpstr>
      <vt:lpstr>rvcmgnt0req_t</vt:lpstr>
      <vt:lpstr>rvcmgnt0resetconf</vt:lpstr>
      <vt:lpstr>rvcprop0data_t</vt:lpstr>
      <vt:lpstr>rvcrefrig0cav</vt:lpstr>
      <vt:lpstr>rvcrefrig0door</vt:lpstr>
      <vt:lpstr>rvcrefrig0fuel</vt:lpstr>
      <vt:lpstr>rvcrefrig0lgt</vt:lpstr>
      <vt:lpstr>rvcrefrig0mode</vt:lpstr>
      <vt:lpstr>rvcsolar0force</vt:lpstr>
      <vt:lpstr>rvcsolar0oper</vt:lpstr>
      <vt:lpstr>rvcsolarcfg0algo</vt:lpstr>
      <vt:lpstr>rvcsolarcfg0mode</vt:lpstr>
      <vt:lpstr>rvcth0fmode</vt:lpstr>
      <vt:lpstr>rvcth0mode</vt:lpstr>
      <vt:lpstr>rvcth0smode</vt:lpstr>
      <vt:lpstr>saccm0bw</vt:lpstr>
      <vt:lpstr>saccm0datarate</vt:lpstr>
      <vt:lpstr>saccm0dbm</vt:lpstr>
      <vt:lpstr>saccm0event</vt:lpstr>
      <vt:lpstr>saccm0eventsel</vt:lpstr>
      <vt:lpstr>saccm0fallthresh</vt:lpstr>
      <vt:lpstr>saccm0filtpath</vt:lpstr>
      <vt:lpstr>saccm0fullscale</vt:lpstr>
      <vt:lpstr>saccm0powerm</vt:lpstr>
      <vt:lpstr>saccm0sendaccx</vt:lpstr>
      <vt:lpstr>saccm0tapdir</vt:lpstr>
      <vt:lpstr>saccm0tapmode</vt:lpstr>
      <vt:lpstr>saccm0tapp</vt:lpstr>
      <vt:lpstr>saccm0taprecogx</vt:lpstr>
      <vt:lpstr>saccm0tiltt</vt:lpstr>
      <vt:lpstr>sat_kat_0_cmd</vt:lpstr>
      <vt:lpstr>sat_kat_0_model</vt:lpstr>
      <vt:lpstr>sat_kat_0_orbitPos</vt:lpstr>
      <vt:lpstr>sat_kat_0_status</vt:lpstr>
      <vt:lpstr>sbmeb0samprate</vt:lpstr>
      <vt:lpstr>sdev0mdl</vt:lpstr>
      <vt:lpstr>shallan0evt</vt:lpstr>
      <vt:lpstr>snode0mfgr</vt:lpstr>
      <vt:lpstr>spir0evt</vt:lpstr>
      <vt:lpstr>sup0stype</vt:lpstr>
      <vt:lpstr>sup0type</vt:lpstr>
      <vt:lpstr>sv0mc</vt:lpstr>
      <vt:lpstr>sv0psts</vt:lpstr>
      <vt:lpstr>svc0gpior</vt:lpstr>
      <vt:lpstr>svc0gpiow</vt:lpstr>
      <vt:lpstr>svc0tsrc</vt:lpstr>
      <vt:lpstr>sw0icon</vt:lpstr>
      <vt:lpstr>sw0mind</vt:lpstr>
      <vt:lpstr>sw0mstate</vt:lpstr>
      <vt:lpstr>sw0type</vt:lpstr>
      <vt:lpstr>sys_sys_0_logoType</vt:lpstr>
      <vt:lpstr>sysappl0smarteco</vt:lpstr>
      <vt:lpstr>temparr_t</vt:lpstr>
      <vt:lpstr>temprangearr_t</vt:lpstr>
      <vt:lpstr>test_t</vt:lpstr>
      <vt:lpstr>th0fav</vt:lpstr>
      <vt:lpstr>updlinkedclass_t</vt:lpstr>
      <vt:lpstr>usm0mode</vt:lpstr>
      <vt:lpstr>usm0stat</vt:lpstr>
      <vt:lpstr>usm0state</vt:lpstr>
      <vt:lpstr>wifi0ev</vt:lpstr>
      <vt:lpstr>wifi0md</vt:lpstr>
      <vt:lpstr>wifi0scan_t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 Henningsohn</dc:creator>
  <cp:keywords/>
  <dc:description/>
  <cp:lastModifiedBy>Andreas Lundeen</cp:lastModifiedBy>
  <cp:revision/>
  <dcterms:created xsi:type="dcterms:W3CDTF">2019-12-04T06:43:51Z</dcterms:created>
  <dcterms:modified xsi:type="dcterms:W3CDTF">2026-01-26T09:56:01Z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0x0101004C2FD2895650B948B7E88D6737F9CAD2</vt:lpwstr>
  </property>
  <property fmtid="{D5CDD505-2E9C-101B-9397-08002B2CF9AE}" pid="3" name="MediaServiceImageTags">
    <vt:lpwstr/>
  </property>
</Properties>
</file>